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esktop\R_Union\"/>
    </mc:Choice>
  </mc:AlternateContent>
  <xr:revisionPtr revIDLastSave="0" documentId="13_ncr:1_{BF4E9B20-F6CD-4085-A047-C1CCC3D9900A}" xr6:coauthVersionLast="47" xr6:coauthVersionMax="47" xr10:uidLastSave="{00000000-0000-0000-0000-000000000000}"/>
  <bookViews>
    <workbookView xWindow="-110" yWindow="-110" windowWidth="19420" windowHeight="10420" tabRatio="839" firstSheet="1" activeTab="1" xr2:uid="{00000000-000D-0000-FFFF-FFFF00000000}"/>
  </bookViews>
  <sheets>
    <sheet name="FX" sheetId="3" r:id="rId1"/>
    <sheet name="Commodity" sheetId="6" r:id="rId2"/>
    <sheet name="Economic" sheetId="7" r:id="rId3"/>
    <sheet name="Money Market" sheetId="8" r:id="rId4"/>
    <sheet name="Rates" sheetId="4" r:id="rId5"/>
    <sheet name="Equity" sheetId="5" r:id="rId6"/>
    <sheet name="List" sheetId="2" state="hidden" r:id="rId7"/>
    <sheet name="Vol" sheetId="9" r:id="rId8"/>
    <sheet name="Others&amp;ToAdd" sheetId="10" r:id="rId9"/>
    <sheet name="ToCheck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7" l="1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H51" i="7"/>
  <c r="H52" i="7"/>
  <c r="H53" i="7"/>
  <c r="H54" i="7"/>
  <c r="H55" i="7"/>
  <c r="H56" i="7"/>
  <c r="H57" i="7"/>
  <c r="H58" i="7"/>
  <c r="H59" i="7"/>
  <c r="H60" i="7"/>
  <c r="H61" i="7"/>
  <c r="H62" i="7"/>
  <c r="H50" i="7"/>
  <c r="I50" i="7"/>
  <c r="J50" i="7"/>
  <c r="G51" i="7"/>
  <c r="G52" i="7"/>
  <c r="G53" i="7"/>
  <c r="G54" i="7"/>
  <c r="G55" i="7"/>
  <c r="G56" i="7"/>
  <c r="G57" i="7"/>
  <c r="G58" i="7"/>
  <c r="G59" i="7"/>
  <c r="G60" i="7"/>
  <c r="G61" i="7"/>
  <c r="G62" i="7"/>
  <c r="G50" i="7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" i="9"/>
  <c r="H3" i="9"/>
  <c r="J3" i="9"/>
  <c r="L3" i="9"/>
  <c r="M3" i="9"/>
  <c r="N3" i="9"/>
  <c r="O3" i="9"/>
  <c r="H4" i="9"/>
  <c r="J4" i="9"/>
  <c r="L4" i="9"/>
  <c r="M4" i="9"/>
  <c r="N4" i="9"/>
  <c r="O4" i="9"/>
  <c r="H5" i="9"/>
  <c r="J5" i="9"/>
  <c r="L5" i="9"/>
  <c r="M5" i="9"/>
  <c r="N5" i="9"/>
  <c r="O5" i="9"/>
  <c r="H6" i="9"/>
  <c r="J6" i="9"/>
  <c r="L6" i="9"/>
  <c r="M6" i="9"/>
  <c r="N6" i="9"/>
  <c r="O6" i="9"/>
  <c r="H7" i="9"/>
  <c r="J7" i="9"/>
  <c r="L7" i="9"/>
  <c r="M7" i="9"/>
  <c r="N7" i="9"/>
  <c r="O7" i="9"/>
  <c r="H8" i="9"/>
  <c r="J8" i="9"/>
  <c r="L8" i="9"/>
  <c r="M8" i="9"/>
  <c r="N8" i="9"/>
  <c r="O8" i="9"/>
  <c r="H9" i="9"/>
  <c r="J9" i="9"/>
  <c r="L9" i="9"/>
  <c r="M9" i="9"/>
  <c r="N9" i="9"/>
  <c r="O9" i="9"/>
  <c r="H10" i="9"/>
  <c r="J10" i="9"/>
  <c r="L10" i="9"/>
  <c r="M10" i="9"/>
  <c r="N10" i="9"/>
  <c r="O10" i="9"/>
  <c r="H11" i="9"/>
  <c r="J11" i="9"/>
  <c r="L11" i="9"/>
  <c r="M11" i="9"/>
  <c r="N11" i="9"/>
  <c r="O11" i="9"/>
  <c r="H12" i="9"/>
  <c r="J12" i="9"/>
  <c r="L12" i="9"/>
  <c r="M12" i="9"/>
  <c r="N12" i="9"/>
  <c r="O12" i="9"/>
  <c r="H13" i="9"/>
  <c r="J13" i="9"/>
  <c r="L13" i="9"/>
  <c r="M13" i="9"/>
  <c r="N13" i="9"/>
  <c r="O13" i="9"/>
  <c r="H14" i="9"/>
  <c r="J14" i="9"/>
  <c r="L14" i="9"/>
  <c r="M14" i="9"/>
  <c r="N14" i="9"/>
  <c r="O14" i="9"/>
  <c r="H15" i="9"/>
  <c r="J15" i="9"/>
  <c r="L15" i="9"/>
  <c r="M15" i="9"/>
  <c r="N15" i="9"/>
  <c r="O15" i="9"/>
  <c r="H16" i="9"/>
  <c r="J16" i="9"/>
  <c r="L16" i="9"/>
  <c r="M16" i="9"/>
  <c r="N16" i="9"/>
  <c r="O16" i="9"/>
  <c r="H17" i="9"/>
  <c r="J17" i="9"/>
  <c r="L17" i="9"/>
  <c r="M17" i="9"/>
  <c r="N17" i="9"/>
  <c r="O17" i="9"/>
  <c r="H18" i="9"/>
  <c r="J18" i="9"/>
  <c r="L18" i="9"/>
  <c r="M18" i="9"/>
  <c r="N18" i="9"/>
  <c r="O18" i="9"/>
  <c r="H19" i="9"/>
  <c r="J19" i="9"/>
  <c r="L19" i="9"/>
  <c r="M19" i="9"/>
  <c r="N19" i="9"/>
  <c r="O19" i="9"/>
  <c r="H20" i="9"/>
  <c r="J20" i="9"/>
  <c r="L20" i="9"/>
  <c r="M20" i="9"/>
  <c r="N20" i="9"/>
  <c r="O20" i="9"/>
  <c r="H21" i="9"/>
  <c r="J21" i="9"/>
  <c r="L21" i="9"/>
  <c r="M21" i="9"/>
  <c r="N21" i="9"/>
  <c r="O21" i="9"/>
  <c r="O2" i="9"/>
  <c r="N2" i="9"/>
  <c r="M2" i="9"/>
  <c r="L2" i="9"/>
  <c r="H2" i="9"/>
</calcChain>
</file>

<file path=xl/sharedStrings.xml><?xml version="1.0" encoding="utf-8"?>
<sst xmlns="http://schemas.openxmlformats.org/spreadsheetml/2006/main" count="2825" uniqueCount="2445">
  <si>
    <t>Ticker</t>
    <phoneticPr fontId="1" type="noConversion"/>
  </si>
  <si>
    <t>Field</t>
    <phoneticPr fontId="1" type="noConversion"/>
  </si>
  <si>
    <t>des</t>
    <phoneticPr fontId="1" type="noConversion"/>
  </si>
  <si>
    <t>categories</t>
    <phoneticPr fontId="1" type="noConversion"/>
  </si>
  <si>
    <t>Equity</t>
    <phoneticPr fontId="1" type="noConversion"/>
  </si>
  <si>
    <t>Catergories</t>
    <phoneticPr fontId="1" type="noConversion"/>
  </si>
  <si>
    <t>Rates</t>
    <phoneticPr fontId="1" type="noConversion"/>
  </si>
  <si>
    <t>Commodity</t>
    <phoneticPr fontId="1" type="noConversion"/>
  </si>
  <si>
    <t>FX</t>
    <phoneticPr fontId="1" type="noConversion"/>
  </si>
  <si>
    <t>Economic</t>
    <phoneticPr fontId="1" type="noConversion"/>
  </si>
  <si>
    <t>Vol</t>
    <phoneticPr fontId="1" type="noConversion"/>
  </si>
  <si>
    <t>Money Market</t>
    <phoneticPr fontId="1" type="noConversion"/>
  </si>
  <si>
    <t>Credit</t>
    <phoneticPr fontId="1" type="noConversion"/>
  </si>
  <si>
    <t>Equity</t>
  </si>
  <si>
    <t>Rates</t>
  </si>
  <si>
    <t>Countries</t>
    <phoneticPr fontId="1" type="noConversion"/>
  </si>
  <si>
    <t>China</t>
  </si>
  <si>
    <t>China</t>
    <phoneticPr fontId="1" type="noConversion"/>
  </si>
  <si>
    <t>US</t>
  </si>
  <si>
    <t>US</t>
    <phoneticPr fontId="1" type="noConversion"/>
  </si>
  <si>
    <t>JP</t>
  </si>
  <si>
    <t>JP</t>
    <phoneticPr fontId="1" type="noConversion"/>
  </si>
  <si>
    <t>Australia</t>
    <phoneticPr fontId="1" type="noConversion"/>
  </si>
  <si>
    <t>Korea</t>
  </si>
  <si>
    <t>Korea</t>
    <phoneticPr fontId="1" type="noConversion"/>
  </si>
  <si>
    <t>Canada</t>
    <phoneticPr fontId="1" type="noConversion"/>
  </si>
  <si>
    <t>EURO Zone</t>
  </si>
  <si>
    <t>EURO Zone</t>
    <phoneticPr fontId="1" type="noConversion"/>
  </si>
  <si>
    <t>German</t>
    <phoneticPr fontId="1" type="noConversion"/>
  </si>
  <si>
    <t>UK</t>
  </si>
  <si>
    <t>UK</t>
    <phoneticPr fontId="1" type="noConversion"/>
  </si>
  <si>
    <t>Global</t>
    <phoneticPr fontId="1" type="noConversion"/>
  </si>
  <si>
    <t>Switherland</t>
    <phoneticPr fontId="1" type="noConversion"/>
  </si>
  <si>
    <t>HK</t>
  </si>
  <si>
    <t>HK</t>
    <phoneticPr fontId="1" type="noConversion"/>
  </si>
  <si>
    <t>countries</t>
    <phoneticPr fontId="1" type="noConversion"/>
  </si>
  <si>
    <t>Indonesia</t>
    <phoneticPr fontId="1" type="noConversion"/>
  </si>
  <si>
    <t>India</t>
    <phoneticPr fontId="1" type="noConversion"/>
  </si>
  <si>
    <t>Singapore</t>
    <phoneticPr fontId="1" type="noConversion"/>
  </si>
  <si>
    <t>S&amp;P 500 Index</t>
  </si>
  <si>
    <t>Nasdaq 100 Index</t>
  </si>
  <si>
    <t>CSI 300 Index</t>
  </si>
  <si>
    <t>Shanghai &amp; Shenzhen Composite Index</t>
  </si>
  <si>
    <t>Hang Seng Index</t>
  </si>
  <si>
    <t>Nikkei 225 Index</t>
  </si>
  <si>
    <t>TOPIX Index</t>
  </si>
  <si>
    <t>KOSPI Index</t>
  </si>
  <si>
    <t>Russell 2000 Index</t>
  </si>
  <si>
    <t>FTSE 100 Index</t>
  </si>
  <si>
    <t>DAX Index</t>
  </si>
  <si>
    <t>US Treasury 2Y Yield</t>
  </si>
  <si>
    <t>US Treasury 5Y Yield</t>
  </si>
  <si>
    <t>US Treasury 10Y Yield</t>
  </si>
  <si>
    <t>US Treasury 30Y Yield</t>
  </si>
  <si>
    <t>US OIS 2Y</t>
  </si>
  <si>
    <t>US OIS 5Y</t>
  </si>
  <si>
    <t>US OIS 10Y</t>
  </si>
  <si>
    <t>US OIS 30Y</t>
  </si>
  <si>
    <t>US MBS Option-Adjusted Spread</t>
  </si>
  <si>
    <t>US 5Y Real Yield</t>
  </si>
  <si>
    <t>US 10Y Real Yield</t>
  </si>
  <si>
    <t>US 2Y Real Yield</t>
  </si>
  <si>
    <t>US 5Y5Y Inflation Breakeven</t>
  </si>
  <si>
    <t>US 10Y Swap Spread</t>
  </si>
  <si>
    <t>German Bund 2Y Yield</t>
  </si>
  <si>
    <t>German Bund 5Y Yield</t>
  </si>
  <si>
    <t>German Bund 10Y Yield</t>
  </si>
  <si>
    <t>French OAT 10Y Yield</t>
  </si>
  <si>
    <t>Japanese JGB 10Y Yield</t>
  </si>
  <si>
    <t>Japanese JGB 2Y Yield</t>
  </si>
  <si>
    <t>Japanese JGB 30Y Yield</t>
  </si>
  <si>
    <t>EUR 2Y Swap Rate</t>
  </si>
  <si>
    <t>EUR 10Y Swap Rate</t>
  </si>
  <si>
    <t>UK Gilt 10Y Yield</t>
  </si>
  <si>
    <t>UK Gilt 2Y Yield</t>
  </si>
  <si>
    <t>UK Gilt 5Y Yield</t>
  </si>
  <si>
    <t>Swiss 2Y Swap Rate</t>
  </si>
  <si>
    <t>Swiss 5Y Swap Rate</t>
  </si>
  <si>
    <t>Swiss 10Y Swap Rate</t>
  </si>
  <si>
    <t>AUD 2Y Swap Rate</t>
  </si>
  <si>
    <t>AUD 10Y Swap Rate</t>
  </si>
  <si>
    <t>AUD BBSW 2Y</t>
  </si>
  <si>
    <t>AUD BBSW 10Y</t>
  </si>
  <si>
    <t>CAD 2Y Swap Rate</t>
  </si>
  <si>
    <t>CAD 10Y Swap Rate</t>
  </si>
  <si>
    <t>China Govt Bond 10Y</t>
  </si>
  <si>
    <t>China Govt Bond 2Y</t>
  </si>
  <si>
    <t>China Govt Bond 5Y</t>
  </si>
  <si>
    <t>China Development Bank 2Y</t>
  </si>
  <si>
    <t>China Development Bank 5Y</t>
  </si>
  <si>
    <t>China Development Bank 10Y</t>
  </si>
  <si>
    <t>CNY 2Y IRS</t>
  </si>
  <si>
    <t>CNY 5Y IRS</t>
  </si>
  <si>
    <t>CNY 10Y IRS</t>
  </si>
  <si>
    <t>CNY 2Y Non-Deliverable IRS</t>
  </si>
  <si>
    <t>CNY 5Y Non-Deliverable IRS</t>
  </si>
  <si>
    <t>CNY 10Y Non-Deliverable IRS</t>
  </si>
  <si>
    <t>KRW 5Y CD IRS</t>
  </si>
  <si>
    <t>KRW 2Y CD IRS</t>
  </si>
  <si>
    <t>Indonesia Govt Bond 2Y</t>
  </si>
  <si>
    <t>Indonesia Govt Bond 5Y</t>
  </si>
  <si>
    <t>Indonesia Govt Bond 10Y</t>
  </si>
  <si>
    <t>INR 2Y NDOIS</t>
  </si>
  <si>
    <t>INR 5Y NDOIS</t>
  </si>
  <si>
    <t>INR 10Y NDOIS</t>
  </si>
  <si>
    <t>US 144A New Issue</t>
  </si>
  <si>
    <t>US Registered New Issue</t>
  </si>
  <si>
    <t>CNY Shibor 5Y</t>
  </si>
  <si>
    <t>HKD 2Y IRS</t>
  </si>
  <si>
    <t>HKD 5Y IRS</t>
  </si>
  <si>
    <t>HKD 10Y IRS</t>
  </si>
  <si>
    <t>SGD 2Y OIS</t>
  </si>
  <si>
    <t>SGD 5Y OIS</t>
  </si>
  <si>
    <t>SGD 10Y OIS</t>
  </si>
  <si>
    <t>JPY 2Y OIS</t>
  </si>
  <si>
    <t>JPY 5Y OIS</t>
  </si>
  <si>
    <t>JPY 10Y OIS</t>
  </si>
  <si>
    <t>EURUSD</t>
    <phoneticPr fontId="1" type="noConversion"/>
  </si>
  <si>
    <t>FX</t>
  </si>
  <si>
    <t>USDJPY</t>
    <phoneticPr fontId="1" type="noConversion"/>
  </si>
  <si>
    <t>GBPUSD</t>
    <phoneticPr fontId="1" type="noConversion"/>
  </si>
  <si>
    <t>AUDUSD</t>
    <phoneticPr fontId="1" type="noConversion"/>
  </si>
  <si>
    <t>USDCAD</t>
    <phoneticPr fontId="1" type="noConversion"/>
  </si>
  <si>
    <t>NZDUSD</t>
    <phoneticPr fontId="1" type="noConversion"/>
  </si>
  <si>
    <t>USDCHF</t>
    <phoneticPr fontId="1" type="noConversion"/>
  </si>
  <si>
    <t>USDNOK</t>
    <phoneticPr fontId="1" type="noConversion"/>
  </si>
  <si>
    <t>USDCNH</t>
    <phoneticPr fontId="1" type="noConversion"/>
  </si>
  <si>
    <t>USDKRW</t>
    <phoneticPr fontId="1" type="noConversion"/>
  </si>
  <si>
    <t>USDTWD</t>
    <phoneticPr fontId="1" type="noConversion"/>
  </si>
  <si>
    <t>USDSGD</t>
    <phoneticPr fontId="1" type="noConversion"/>
  </si>
  <si>
    <t>USDTRY</t>
    <phoneticPr fontId="1" type="noConversion"/>
  </si>
  <si>
    <t>Others</t>
    <phoneticPr fontId="1" type="noConversion"/>
  </si>
  <si>
    <t>USDIDR</t>
    <phoneticPr fontId="1" type="noConversion"/>
  </si>
  <si>
    <t>USDINR</t>
    <phoneticPr fontId="1" type="noConversion"/>
  </si>
  <si>
    <t>USDPHP</t>
    <phoneticPr fontId="1" type="noConversion"/>
  </si>
  <si>
    <t>USDHKD</t>
    <phoneticPr fontId="1" type="noConversion"/>
  </si>
  <si>
    <t>USDZAR</t>
    <phoneticPr fontId="1" type="noConversion"/>
  </si>
  <si>
    <t>USDMXN</t>
    <phoneticPr fontId="1" type="noConversion"/>
  </si>
  <si>
    <t>USDCNY</t>
    <phoneticPr fontId="1" type="noConversion"/>
  </si>
  <si>
    <t>DXY</t>
    <phoneticPr fontId="1" type="noConversion"/>
  </si>
  <si>
    <t>EURUSD 3m forward point</t>
  </si>
  <si>
    <t>USDJPY 3m forward point</t>
  </si>
  <si>
    <t>GBPUSD 3m forward point</t>
  </si>
  <si>
    <t>AUDUSD 3m forward point</t>
  </si>
  <si>
    <t>USDCAD 3m forward point</t>
  </si>
  <si>
    <t>NZDUSD 3m forward point</t>
  </si>
  <si>
    <t>USDCHF 3m forward point</t>
  </si>
  <si>
    <t>USDNOK 3m forward point</t>
  </si>
  <si>
    <t>USDCNH 3m forward point</t>
  </si>
  <si>
    <t>USDSGD 3m forward point</t>
  </si>
  <si>
    <t>USDTRY 3m forward point</t>
  </si>
  <si>
    <t>USDHKD 3m forward point</t>
  </si>
  <si>
    <t>USDZAR 3m forward point</t>
  </si>
  <si>
    <t>USDMXN 3m forward point</t>
  </si>
  <si>
    <t>USDCNY 3m NDF</t>
  </si>
  <si>
    <t>USDKRW 3m NDF</t>
  </si>
  <si>
    <t>USDTWD 3m NDF</t>
  </si>
  <si>
    <t>USDIDR 3m NDF</t>
  </si>
  <si>
    <t>USDINR 3m NDF</t>
  </si>
  <si>
    <t>USDPHP 3m NDF</t>
  </si>
  <si>
    <t>EURUSD 3m implied yield</t>
  </si>
  <si>
    <t>USDJPY 3m implied yield</t>
  </si>
  <si>
    <t>GBPUSD 3m implied yield</t>
  </si>
  <si>
    <t>AUDUSD 3m implied yield</t>
  </si>
  <si>
    <t>USDCAD 3m implied yield</t>
  </si>
  <si>
    <t>NZDUSD 3m implied yield</t>
  </si>
  <si>
    <t>USDCHF 3m implied yield</t>
  </si>
  <si>
    <t>USDNOK 3m implied yield</t>
  </si>
  <si>
    <t>USDCNH 3m implied yield</t>
  </si>
  <si>
    <t>USDSGD 3m implied yield</t>
  </si>
  <si>
    <t>USDTRY 3m implied yield</t>
  </si>
  <si>
    <t>USDHKD 3m implied yield</t>
  </si>
  <si>
    <t>USDZAR 3m implied yield</t>
  </si>
  <si>
    <t>USDMXN 3m implied yield</t>
  </si>
  <si>
    <t>USDCNY 3m NDF implied yield</t>
  </si>
  <si>
    <t>USDKRW 3m NDF implied yield</t>
  </si>
  <si>
    <t>USDTWD 3m NDF implied yield</t>
  </si>
  <si>
    <t>USDIDR 3m NDF implied yield</t>
  </si>
  <si>
    <t>USDINR 3m NDF implied yield</t>
  </si>
  <si>
    <t>USDPHP 3m NDF implied yield</t>
  </si>
  <si>
    <t>EURUSD 6m forward point</t>
  </si>
  <si>
    <t>USDJPY 6m forward point</t>
  </si>
  <si>
    <t>GBPUSD 6m forward point</t>
  </si>
  <si>
    <t>AUDUSD 6m forward point</t>
  </si>
  <si>
    <t>USDCAD 6m forward point</t>
  </si>
  <si>
    <t>NZDUSD 6m forward point</t>
  </si>
  <si>
    <t>USDCHF 6m forward point</t>
  </si>
  <si>
    <t>USDNOK 6m forward point</t>
  </si>
  <si>
    <t>USDCNH 6m forward point</t>
  </si>
  <si>
    <t>USDSGD 6m forward point</t>
  </si>
  <si>
    <t>USDTRY 6m forward point</t>
  </si>
  <si>
    <t>USDHKD 6m forward point</t>
  </si>
  <si>
    <t>USDZAR 6m forward point</t>
  </si>
  <si>
    <t>USDMXN 6m forward point</t>
  </si>
  <si>
    <t>USDCNY 6m NDF</t>
  </si>
  <si>
    <t>USDKRW 6m NDF</t>
  </si>
  <si>
    <t>USDTWD 6m NDF</t>
  </si>
  <si>
    <t>USDIDR 6m NDF</t>
  </si>
  <si>
    <t>USDINR 6m NDF</t>
  </si>
  <si>
    <t>USDPHP 6m NDF</t>
  </si>
  <si>
    <t>EURUSD 6m implied yield</t>
  </si>
  <si>
    <t>USDJPY 6m implied yield</t>
  </si>
  <si>
    <t>GBPUSD 6m implied yield</t>
  </si>
  <si>
    <t>AUDUSD 6m implied yield</t>
  </si>
  <si>
    <t>USDCAD 6m implied yield</t>
  </si>
  <si>
    <t>NZDUSD 6m implied yield</t>
  </si>
  <si>
    <t>USDCHF 6m implied yield</t>
  </si>
  <si>
    <t>USDNOK 6m implied yield</t>
  </si>
  <si>
    <t>USDCNH 6m implied yield</t>
  </si>
  <si>
    <t>USDSGD 6m implied yield</t>
  </si>
  <si>
    <t>USDTRY 6m implied yield</t>
  </si>
  <si>
    <t>USDHKD 6m implied yield</t>
  </si>
  <si>
    <t>USDZAR 6m implied yield</t>
  </si>
  <si>
    <t>USDMXN 6m implied yield</t>
  </si>
  <si>
    <t>USDCNY 6m NDF implied yield</t>
  </si>
  <si>
    <t>USDKRW 6m NDF implied yield</t>
  </si>
  <si>
    <t>USDTWD 6m NDF implied yield</t>
  </si>
  <si>
    <t>USDIDR 6m NDF implied yield</t>
  </si>
  <si>
    <t>USDINR 6m NDF implied yield</t>
  </si>
  <si>
    <t>USDPHP 6m NDF implied yield</t>
  </si>
  <si>
    <t>EURUSD 12m forward point</t>
  </si>
  <si>
    <t>USDJPY 12m forward point</t>
  </si>
  <si>
    <t>GBPUSD 12m forward point</t>
  </si>
  <si>
    <t>AUDUSD 12m forward point</t>
  </si>
  <si>
    <t>USDCAD 12m forward point</t>
  </si>
  <si>
    <t>NZDUSD 12m forward point</t>
  </si>
  <si>
    <t>USDCHF 12m forward point</t>
  </si>
  <si>
    <t>USDNOK 12m forward point</t>
  </si>
  <si>
    <t>USDCNH 12m forward point</t>
  </si>
  <si>
    <t>USDSGD 12m forward point</t>
  </si>
  <si>
    <t>USDTRY 12m forward point</t>
  </si>
  <si>
    <t>USDHKD 12m forward point</t>
  </si>
  <si>
    <t>USDZAR 12m forward point</t>
  </si>
  <si>
    <t>USDMXN 12m forward point</t>
  </si>
  <si>
    <t>USDCNY 12m NDF</t>
  </si>
  <si>
    <t>USDKRW 12m NDF</t>
  </si>
  <si>
    <t>USDTWD 12m NDF</t>
  </si>
  <si>
    <t>USDIDR 12m NDF</t>
  </si>
  <si>
    <t>USDINR 12m NDF</t>
  </si>
  <si>
    <t>USDPHP 12m NDF</t>
  </si>
  <si>
    <t>EURUSD 12m implied yield</t>
  </si>
  <si>
    <t>USDJPY 12m implied yield</t>
  </si>
  <si>
    <t>GBPUSD 12m implied yield</t>
  </si>
  <si>
    <t>AUDUSD 12m implied yield</t>
  </si>
  <si>
    <t>USDCAD 12m implied yield</t>
  </si>
  <si>
    <t>NZDUSD 12m implied yield</t>
  </si>
  <si>
    <t>USDCHF 12m implied yield</t>
  </si>
  <si>
    <t>USDNOK 12m implied yield</t>
  </si>
  <si>
    <t>USDCNH 12m implied yield</t>
  </si>
  <si>
    <t>USDSGD 12m implied yield</t>
  </si>
  <si>
    <t>USDTRY 12m implied yield</t>
  </si>
  <si>
    <t>USDHKD 12m implied yield</t>
  </si>
  <si>
    <t>USDZAR 12m implied yield</t>
  </si>
  <si>
    <t>USDMXN 12m implied yield</t>
  </si>
  <si>
    <t>USDCNY 12m NDF implied yield</t>
  </si>
  <si>
    <t>USDKRW 12m NDF implied yield</t>
  </si>
  <si>
    <t>USDTWD 12m NDF implied yield</t>
  </si>
  <si>
    <t>USDIDR 12m NDF implied yield</t>
  </si>
  <si>
    <t>USDINR 12m NDF implied yield</t>
  </si>
  <si>
    <t>USDPHP 12m NDF implied yield</t>
  </si>
  <si>
    <t>EURUSD 2w forward point</t>
  </si>
  <si>
    <t>USDJPY 2w forward point</t>
  </si>
  <si>
    <t>GBPUSD 2w forward point</t>
  </si>
  <si>
    <t>AUDUSD 2w forward point</t>
  </si>
  <si>
    <t>USDCAD 2w forward point</t>
  </si>
  <si>
    <t>NZDUSD 2w forward point</t>
  </si>
  <si>
    <t>USDCHF 2w forward point</t>
  </si>
  <si>
    <t>USDNOK 2w forward point</t>
  </si>
  <si>
    <t>USDCNH 2w forward point</t>
  </si>
  <si>
    <t>USDSGD 2w forward point</t>
  </si>
  <si>
    <t>USDTRY 2w forward point</t>
  </si>
  <si>
    <t>USDHKD 2w forward point</t>
  </si>
  <si>
    <t>USDZAR 2w forward point</t>
  </si>
  <si>
    <t>USDMXN 2w forward point</t>
  </si>
  <si>
    <t>EURUSD  Carry Return</t>
  </si>
  <si>
    <t>USDJPY  Carry Return</t>
  </si>
  <si>
    <t>GBPUSD  Carry Return</t>
  </si>
  <si>
    <t>AUDUSD  Carry Return</t>
  </si>
  <si>
    <t>USDCAD  Carry Return</t>
  </si>
  <si>
    <t>NZDUSD  Carry Return</t>
  </si>
  <si>
    <t>USDCHF  Carry Return</t>
  </si>
  <si>
    <t>USDNOK  Carry Return</t>
  </si>
  <si>
    <t>USDCNH  Carry Return</t>
  </si>
  <si>
    <t>USDSGD  Carry Return</t>
  </si>
  <si>
    <t>USDTRY  Carry Return</t>
  </si>
  <si>
    <t>USDHKD  Carry Return</t>
  </si>
  <si>
    <t>USDZAR  Carry Return</t>
  </si>
  <si>
    <t>USDMXN  Carry Return</t>
  </si>
  <si>
    <t>Philippine</t>
    <phoneticPr fontId="1" type="noConversion"/>
  </si>
  <si>
    <t>EURUSDV1M Curncy</t>
  </si>
  <si>
    <t>USDJPYV1M Curncy</t>
  </si>
  <si>
    <t>GBPUSDV1M Curncy</t>
  </si>
  <si>
    <t>AUDUSDV1M Curncy</t>
  </si>
  <si>
    <t>USDCADV1M Curncy</t>
  </si>
  <si>
    <t>NZDUSDV1M Curncy</t>
  </si>
  <si>
    <t>USDCHFV1M Curncy</t>
  </si>
  <si>
    <t>USDNOKV1M Curncy</t>
  </si>
  <si>
    <t>USDCNHV1M Curncy</t>
  </si>
  <si>
    <t>USDSGDV1M Curncy</t>
  </si>
  <si>
    <t>USDTRYV1M Curncy</t>
  </si>
  <si>
    <t>USDHKDV1M Curncy</t>
  </si>
  <si>
    <t>USDZARV1M Curncy</t>
  </si>
  <si>
    <t>USDMXNV1M Curncy</t>
  </si>
  <si>
    <t>USDCNYV1M Curncy</t>
  </si>
  <si>
    <t>USDKRWV1M Curncy</t>
  </si>
  <si>
    <t>USDTWDV1M Curncy</t>
  </si>
  <si>
    <t>USDIDRV1M Curncy</t>
  </si>
  <si>
    <t>USDINRV1M Curncy</t>
  </si>
  <si>
    <t>USDPHPV1M Curncy</t>
  </si>
  <si>
    <t>EURUSDV3M Curncy</t>
  </si>
  <si>
    <t>USDJPYV3M Curncy</t>
  </si>
  <si>
    <t>GBPUSDV3M Curncy</t>
  </si>
  <si>
    <t>AUDUSDV3M Curncy</t>
  </si>
  <si>
    <t>USDCADV3M Curncy</t>
  </si>
  <si>
    <t>NZDUSDV3M Curncy</t>
  </si>
  <si>
    <t>USDCHFV3M Curncy</t>
  </si>
  <si>
    <t>USDNOKV3M Curncy</t>
  </si>
  <si>
    <t>USDCNHV3M Curncy</t>
  </si>
  <si>
    <t>USDSGDV3M Curncy</t>
  </si>
  <si>
    <t>USDTRYV3M Curncy</t>
  </si>
  <si>
    <t>USDHKDV3M Curncy</t>
  </si>
  <si>
    <t>USDZARV3M Curncy</t>
  </si>
  <si>
    <t>USDMXNV3M Curncy</t>
  </si>
  <si>
    <t>USDCNYV3M Curncy</t>
  </si>
  <si>
    <t>USDKRWV3M Curncy</t>
  </si>
  <si>
    <t>USDTWDV3M Curncy</t>
  </si>
  <si>
    <t>USDIDRV3M Curncy</t>
  </si>
  <si>
    <t>USDINRV3M Curncy</t>
  </si>
  <si>
    <t>USDPHPV3M Curncy</t>
  </si>
  <si>
    <t>EURUSDV6M Curncy</t>
  </si>
  <si>
    <t>USDJPYV6M Curncy</t>
  </si>
  <si>
    <t>GBPUSDV6M Curncy</t>
  </si>
  <si>
    <t>AUDUSDV6M Curncy</t>
  </si>
  <si>
    <t>USDCADV6M Curncy</t>
  </si>
  <si>
    <t>NZDUSDV6M Curncy</t>
  </si>
  <si>
    <t>USDCHFV6M Curncy</t>
  </si>
  <si>
    <t>USDNOKV6M Curncy</t>
  </si>
  <si>
    <t>USDCNHV6M Curncy</t>
  </si>
  <si>
    <t>USDSGDV6M Curncy</t>
  </si>
  <si>
    <t>USDTRYV6M Curncy</t>
  </si>
  <si>
    <t>USDHKDV6M Curncy</t>
  </si>
  <si>
    <t>USDZARV6M Curncy</t>
  </si>
  <si>
    <t>USDMXNV6M Curncy</t>
  </si>
  <si>
    <t>USDCNYV6M Curncy</t>
  </si>
  <si>
    <t>USDKRWV6M Curncy</t>
  </si>
  <si>
    <t>USDTWDV6M Curncy</t>
  </si>
  <si>
    <t>USDIDRV6M Curncy</t>
  </si>
  <si>
    <t>USDINRV6M Curncy</t>
  </si>
  <si>
    <t>USDPHPV6M Curncy</t>
  </si>
  <si>
    <t>EURUSDV12M Curncy</t>
  </si>
  <si>
    <t>USDJPYV12M Curncy</t>
  </si>
  <si>
    <t>GBPUSDV12M Curncy</t>
  </si>
  <si>
    <t>AUDUSDV12M Curncy</t>
  </si>
  <si>
    <t>USDCADV12M Curncy</t>
  </si>
  <si>
    <t>NZDUSDV12M Curncy</t>
  </si>
  <si>
    <t>USDCHFV12M Curncy</t>
  </si>
  <si>
    <t>USDNOKV12M Curncy</t>
  </si>
  <si>
    <t>USDCNHV12M Curncy</t>
  </si>
  <si>
    <t>USDSGDV12M Curncy</t>
  </si>
  <si>
    <t>USDTRYV12M Curncy</t>
  </si>
  <si>
    <t>USDHKDV12M Curncy</t>
  </si>
  <si>
    <t>USDZARV12M Curncy</t>
  </si>
  <si>
    <t>USDMXNV12M Curncy</t>
  </si>
  <si>
    <t>USDCNYV12M Curncy</t>
  </si>
  <si>
    <t>USDKRWV12M Curncy</t>
  </si>
  <si>
    <t>USDTWDV12M Curncy</t>
  </si>
  <si>
    <t>USDIDRV12M Curncy</t>
  </si>
  <si>
    <t>USDINRV12M Curncy</t>
  </si>
  <si>
    <t>USDPHPV12M Curncy</t>
  </si>
  <si>
    <t>EURUSDH3M Curncy</t>
  </si>
  <si>
    <t>USDJPYH3M Curncy</t>
  </si>
  <si>
    <t>GBPUSDH3M Curncy</t>
  </si>
  <si>
    <t>AUDUSDH3M Curncy</t>
  </si>
  <si>
    <t>USDCADH3M Curncy</t>
  </si>
  <si>
    <t>NZDUSDH3M Curncy</t>
  </si>
  <si>
    <t>USDCHFH3M Curncy</t>
  </si>
  <si>
    <t>USDNOKH3M Curncy</t>
  </si>
  <si>
    <t>USDCNHH3M Curncy</t>
  </si>
  <si>
    <t>USDSGDH3M Curncy</t>
  </si>
  <si>
    <t>USDTRYH3M Curncy</t>
  </si>
  <si>
    <t>USDHKDH3M Curncy</t>
  </si>
  <si>
    <t>USDZARH3M Curncy</t>
  </si>
  <si>
    <t>USDMXNH3M Curncy</t>
  </si>
  <si>
    <t>USDCNYH3M Curncy</t>
  </si>
  <si>
    <t>USDKRWH3M Curncy</t>
  </si>
  <si>
    <t>USDTWDH3M Curncy</t>
  </si>
  <si>
    <t>USDIDRH3M Curncy</t>
  </si>
  <si>
    <t>USDINRH3M Curncy</t>
  </si>
  <si>
    <t>USDPHPH3M Curncy</t>
  </si>
  <si>
    <t>EURUSD25R3M Curncy</t>
  </si>
  <si>
    <t>USDJPY25R3M Curncy</t>
  </si>
  <si>
    <t>GBPUSD25R3M Curncy</t>
  </si>
  <si>
    <t>AUDUSD25R3M Curncy</t>
  </si>
  <si>
    <t>USDCAD25R3M Curncy</t>
  </si>
  <si>
    <t>NZDUSD25R3M Curncy</t>
  </si>
  <si>
    <t>USDCHF25R3M Curncy</t>
  </si>
  <si>
    <t>USDNOK25R3M Curncy</t>
  </si>
  <si>
    <t>USDCNH25R3M Curncy</t>
  </si>
  <si>
    <t>USDSGD25R3M Curncy</t>
  </si>
  <si>
    <t>USDTRY25R3M Curncy</t>
  </si>
  <si>
    <t>USDHKD25R3M Curncy</t>
  </si>
  <si>
    <t>USDZAR25R3M Curncy</t>
  </si>
  <si>
    <t>USDMXN25R3M Curncy</t>
  </si>
  <si>
    <t>USDCNY25R3M Curncy</t>
  </si>
  <si>
    <t>USDKRW25R3M Curncy</t>
  </si>
  <si>
    <t>USDTWD25R3M Curncy</t>
  </si>
  <si>
    <t>USDIDR25R3M Curncy</t>
  </si>
  <si>
    <t>USDINR25R3M Curncy</t>
  </si>
  <si>
    <t>USDPHP25R3M Curncy</t>
  </si>
  <si>
    <t>EURUSD25B3M Curncy</t>
  </si>
  <si>
    <t>USDJPY25B3M Curncy</t>
  </si>
  <si>
    <t>GBPUSD25B3M Curncy</t>
  </si>
  <si>
    <t>AUDUSD25B3M Curncy</t>
  </si>
  <si>
    <t>USDCAD25B3M Curncy</t>
  </si>
  <si>
    <t>NZDUSD25B3M Curncy</t>
  </si>
  <si>
    <t>USDCHF25B3M Curncy</t>
  </si>
  <si>
    <t>USDNOK25B3M Curncy</t>
  </si>
  <si>
    <t>USDCNH25B3M Curncy</t>
  </si>
  <si>
    <t>USDSGD25B3M Curncy</t>
  </si>
  <si>
    <t>USDTRY25B3M Curncy</t>
  </si>
  <si>
    <t>USDHKD25B3M Curncy</t>
  </si>
  <si>
    <t>USDZAR25B3M Curncy</t>
  </si>
  <si>
    <t>USDMXN25B3M Curncy</t>
  </si>
  <si>
    <t>USDCNY25B3M Curncy</t>
  </si>
  <si>
    <t>USDKRW25B3M Curncy</t>
  </si>
  <si>
    <t>USDTWD25B3M Curncy</t>
  </si>
  <si>
    <t>USDIDR25B3M Curncy</t>
  </si>
  <si>
    <t>USDINR25B3M Curncy</t>
  </si>
  <si>
    <t>USDPHP25B3M Curncy</t>
  </si>
  <si>
    <t>EURUSDH1M Curncy</t>
  </si>
  <si>
    <t>USDJPYH1M Curncy</t>
  </si>
  <si>
    <t>GBPUSDH1M Curncy</t>
  </si>
  <si>
    <t>AUDUSDH1M Curncy</t>
  </si>
  <si>
    <t>USDCADH1M Curncy</t>
  </si>
  <si>
    <t>NZDUSDH1M Curncy</t>
  </si>
  <si>
    <t>USDCHFH1M Curncy</t>
  </si>
  <si>
    <t>USDNOKH1M Curncy</t>
  </si>
  <si>
    <t>USDCNHH1M Curncy</t>
  </si>
  <si>
    <t>USDSGDH1M Curncy</t>
  </si>
  <si>
    <t>USDTRYH1M Curncy</t>
  </si>
  <si>
    <t>USDHKDH1M Curncy</t>
  </si>
  <si>
    <t>USDZARH1M Curncy</t>
  </si>
  <si>
    <t>USDMXNH1M Curncy</t>
  </si>
  <si>
    <t>USDCNYH1M Curncy</t>
  </si>
  <si>
    <t>USDKRWH1M Curncy</t>
  </si>
  <si>
    <t>USDTWDH1M Curncy</t>
  </si>
  <si>
    <t>USDIDRH1M Curncy</t>
  </si>
  <si>
    <t>USDINRH1M Curncy</t>
  </si>
  <si>
    <t>USDPHPH1M Curncy</t>
  </si>
  <si>
    <t>SPX 1M 100 VOL BVOL Index</t>
  </si>
  <si>
    <t>VIX Index</t>
  </si>
  <si>
    <t>NKY 3M 100 VOL BVOL Index</t>
  </si>
  <si>
    <t>KOSPI2 3M 100 VOL BVOL Index</t>
  </si>
  <si>
    <t>UKX 3M 100 VOL BVOL Index</t>
  </si>
  <si>
    <t>HSI 3M 100 VOL BVOL Index</t>
    <phoneticPr fontId="1" type="noConversion"/>
  </si>
  <si>
    <t>I02510YV Index</t>
  </si>
  <si>
    <t>10yr treasury vol</t>
    <phoneticPr fontId="1" type="noConversion"/>
  </si>
  <si>
    <t>RXM Index</t>
  </si>
  <si>
    <t>VIX risk reversal</t>
    <phoneticPr fontId="1" type="noConversion"/>
  </si>
  <si>
    <t>US CPI YoY</t>
    <phoneticPr fontId="1" type="noConversion"/>
  </si>
  <si>
    <t>US CPI MoM</t>
    <phoneticPr fontId="1" type="noConversion"/>
  </si>
  <si>
    <t>US Core YoY</t>
    <phoneticPr fontId="1" type="noConversion"/>
  </si>
  <si>
    <t>US Core MoM</t>
    <phoneticPr fontId="1" type="noConversion"/>
  </si>
  <si>
    <t>US PCE YoY</t>
    <phoneticPr fontId="1" type="noConversion"/>
  </si>
  <si>
    <t>US PCE MoM</t>
    <phoneticPr fontId="1" type="noConversion"/>
  </si>
  <si>
    <t>US PPI YoY</t>
    <phoneticPr fontId="1" type="noConversion"/>
  </si>
  <si>
    <t>US GDP YoY</t>
    <phoneticPr fontId="1" type="noConversion"/>
  </si>
  <si>
    <t>US Non-Farm Payroll</t>
    <phoneticPr fontId="1" type="noConversion"/>
  </si>
  <si>
    <t>US unemployment rate</t>
    <phoneticPr fontId="1" type="noConversion"/>
  </si>
  <si>
    <t>US initial jobless</t>
    <phoneticPr fontId="1" type="noConversion"/>
  </si>
  <si>
    <t>US Consumption</t>
    <phoneticPr fontId="1" type="noConversion"/>
  </si>
  <si>
    <t>US Trade Balance</t>
    <phoneticPr fontId="1" type="noConversion"/>
  </si>
  <si>
    <t>US fiscal deficit</t>
    <phoneticPr fontId="1" type="noConversion"/>
  </si>
  <si>
    <t>US housing price</t>
    <phoneticPr fontId="1" type="noConversion"/>
  </si>
  <si>
    <t>US MBA</t>
    <phoneticPr fontId="1" type="noConversion"/>
  </si>
  <si>
    <t>US Confidence Index</t>
    <phoneticPr fontId="1" type="noConversion"/>
  </si>
  <si>
    <t>US 30yr Mortgage Rate</t>
    <phoneticPr fontId="1" type="noConversion"/>
  </si>
  <si>
    <t>CONSSENT Index</t>
    <phoneticPr fontId="1" type="noConversion"/>
  </si>
  <si>
    <t>Durable Order ex YoY</t>
    <phoneticPr fontId="1" type="noConversion"/>
  </si>
  <si>
    <t>DGNOXYOY Index</t>
    <phoneticPr fontId="1" type="noConversion"/>
  </si>
  <si>
    <t>US Retail Sale</t>
    <phoneticPr fontId="1" type="noConversion"/>
  </si>
  <si>
    <t>Labor force participation</t>
    <phoneticPr fontId="1" type="noConversion"/>
  </si>
  <si>
    <t>US PMI Manufacturing</t>
    <phoneticPr fontId="1" type="noConversion"/>
  </si>
  <si>
    <t>Housing Start</t>
    <phoneticPr fontId="1" type="noConversion"/>
  </si>
  <si>
    <t>New Home Sales</t>
    <phoneticPr fontId="1" type="noConversion"/>
  </si>
  <si>
    <t>Building Permits</t>
    <phoneticPr fontId="1" type="noConversion"/>
  </si>
  <si>
    <t>Existing home sales</t>
    <phoneticPr fontId="1" type="noConversion"/>
  </si>
  <si>
    <t>USHBMIDX Index</t>
  </si>
  <si>
    <t>NAHB Housing Index</t>
    <phoneticPr fontId="1" type="noConversion"/>
  </si>
  <si>
    <t>Flow</t>
    <phoneticPr fontId="1" type="noConversion"/>
  </si>
  <si>
    <t>US Capital flow</t>
    <phoneticPr fontId="1" type="noConversion"/>
  </si>
  <si>
    <t>US Corporate Expenditure</t>
    <phoneticPr fontId="1" type="noConversion"/>
  </si>
  <si>
    <t>France PMI</t>
    <phoneticPr fontId="1" type="noConversion"/>
  </si>
  <si>
    <t>German PMI</t>
    <phoneticPr fontId="1" type="noConversion"/>
  </si>
  <si>
    <t>UK PMI</t>
    <phoneticPr fontId="1" type="noConversion"/>
  </si>
  <si>
    <t>EU CPI YOY</t>
    <phoneticPr fontId="1" type="noConversion"/>
  </si>
  <si>
    <t>EU CPI YOY Harmonised</t>
    <phoneticPr fontId="1" type="noConversion"/>
  </si>
  <si>
    <t>Zew Sentiment</t>
    <phoneticPr fontId="1" type="noConversion"/>
  </si>
  <si>
    <t>EU CPI MOM</t>
    <phoneticPr fontId="1" type="noConversion"/>
  </si>
  <si>
    <t>EU PPI</t>
    <phoneticPr fontId="1" type="noConversion"/>
  </si>
  <si>
    <t>EU GDP YOY</t>
    <phoneticPr fontId="1" type="noConversion"/>
  </si>
  <si>
    <t>EUROZONE Retail Sales</t>
    <phoneticPr fontId="1" type="noConversion"/>
  </si>
  <si>
    <t>EUROZONE Consuer Confidence</t>
    <phoneticPr fontId="1" type="noConversion"/>
  </si>
  <si>
    <t>UK Housing Price</t>
    <phoneticPr fontId="1" type="noConversion"/>
  </si>
  <si>
    <t>JP Industrail Production MOM</t>
    <phoneticPr fontId="1" type="noConversion"/>
  </si>
  <si>
    <t>JP CPI YoY</t>
    <phoneticPr fontId="1" type="noConversion"/>
  </si>
  <si>
    <t>JP PPI YoY</t>
    <phoneticPr fontId="1" type="noConversion"/>
  </si>
  <si>
    <t>BoP Current Account Balance</t>
    <phoneticPr fontId="1" type="noConversion"/>
  </si>
  <si>
    <t>JP Retail Sales</t>
    <phoneticPr fontId="1" type="noConversion"/>
  </si>
  <si>
    <t>JP GDP YoY</t>
    <phoneticPr fontId="1" type="noConversion"/>
  </si>
  <si>
    <t>JP Jobs to Applicant Ratio</t>
    <phoneticPr fontId="1" type="noConversion"/>
  </si>
  <si>
    <t>Tankan Manufacturing Index</t>
    <phoneticPr fontId="1" type="noConversion"/>
  </si>
  <si>
    <t>China CPI</t>
    <phoneticPr fontId="1" type="noConversion"/>
  </si>
  <si>
    <t>China PPI</t>
    <phoneticPr fontId="1" type="noConversion"/>
  </si>
  <si>
    <t>China PMI</t>
    <phoneticPr fontId="1" type="noConversion"/>
  </si>
  <si>
    <t>China M2 YoY</t>
    <phoneticPr fontId="1" type="noConversion"/>
  </si>
  <si>
    <t>China Trade Balance</t>
    <phoneticPr fontId="1" type="noConversion"/>
  </si>
  <si>
    <t>China Foreign Reserve</t>
    <phoneticPr fontId="1" type="noConversion"/>
  </si>
  <si>
    <t>China Total Financing</t>
    <phoneticPr fontId="1" type="noConversion"/>
  </si>
  <si>
    <t>CNLNASF  Index</t>
  </si>
  <si>
    <t>China Industrial Production</t>
    <phoneticPr fontId="1" type="noConversion"/>
  </si>
  <si>
    <t>China GDP YoY</t>
    <phoneticPr fontId="1" type="noConversion"/>
  </si>
  <si>
    <t>China Fixed Asset investment</t>
    <phoneticPr fontId="1" type="noConversion"/>
  </si>
  <si>
    <t>China Retail Sales</t>
    <phoneticPr fontId="1" type="noConversion"/>
  </si>
  <si>
    <t>China Housing Price</t>
    <phoneticPr fontId="1" type="noConversion"/>
  </si>
  <si>
    <t>China New Yuan Loan</t>
    <phoneticPr fontId="1" type="noConversion"/>
  </si>
  <si>
    <t>JP CORE CPI YOY</t>
    <phoneticPr fontId="1" type="noConversion"/>
  </si>
  <si>
    <t>AUD</t>
    <phoneticPr fontId="1" type="noConversion"/>
  </si>
  <si>
    <t>NZD</t>
    <phoneticPr fontId="1" type="noConversion"/>
  </si>
  <si>
    <t>KRW</t>
    <phoneticPr fontId="1" type="noConversion"/>
  </si>
  <si>
    <t>CAD</t>
    <phoneticPr fontId="1" type="noConversion"/>
  </si>
  <si>
    <t>NOK</t>
    <phoneticPr fontId="1" type="noConversion"/>
  </si>
  <si>
    <t>CHF</t>
    <phoneticPr fontId="1" type="noConversion"/>
  </si>
  <si>
    <t>INDIA</t>
    <phoneticPr fontId="1" type="noConversion"/>
  </si>
  <si>
    <t>Taiwan</t>
    <phoneticPr fontId="1" type="noConversion"/>
  </si>
  <si>
    <t>PHP</t>
    <phoneticPr fontId="1" type="noConversion"/>
  </si>
  <si>
    <t>ZAR</t>
    <phoneticPr fontId="1" type="noConversion"/>
  </si>
  <si>
    <t>TRY</t>
    <phoneticPr fontId="1" type="noConversion"/>
  </si>
  <si>
    <t>Thailand</t>
    <phoneticPr fontId="1" type="noConversion"/>
  </si>
  <si>
    <t>CPI</t>
    <phoneticPr fontId="1" type="noConversion"/>
  </si>
  <si>
    <t>PPI</t>
    <phoneticPr fontId="1" type="noConversion"/>
  </si>
  <si>
    <t>GDP</t>
    <phoneticPr fontId="1" type="noConversion"/>
  </si>
  <si>
    <t>Unemployment</t>
    <phoneticPr fontId="1" type="noConversion"/>
  </si>
  <si>
    <t>AUD CPI YOY</t>
  </si>
  <si>
    <t>NZD CPI YOY</t>
  </si>
  <si>
    <t>KRW CPI YOY</t>
  </si>
  <si>
    <t>CAD CPI YOY</t>
  </si>
  <si>
    <t>NOK CPI YOY</t>
  </si>
  <si>
    <t>CHF CPI YOY</t>
  </si>
  <si>
    <t>INDIA CPI YOY</t>
  </si>
  <si>
    <t>Indonesia CPI YOY</t>
  </si>
  <si>
    <t>Taiwan CPI YOY</t>
  </si>
  <si>
    <t>PHP CPI YOY</t>
  </si>
  <si>
    <t>ZAR CPI YOY</t>
  </si>
  <si>
    <t>TRY CPI YOY</t>
  </si>
  <si>
    <t>Thailand CPI YOY</t>
  </si>
  <si>
    <t>AUD PPI YOY</t>
  </si>
  <si>
    <t>NZD PPI YOY</t>
  </si>
  <si>
    <t>KRW PPI YOY</t>
  </si>
  <si>
    <t>CAD PPI YOY</t>
  </si>
  <si>
    <t>NOK PPI YOY</t>
  </si>
  <si>
    <t>CHF PPI YOY</t>
  </si>
  <si>
    <t>INDIA PPI YOY</t>
  </si>
  <si>
    <t>Indonesia PPI YOY</t>
  </si>
  <si>
    <t>Taiwan PPI YOY</t>
  </si>
  <si>
    <t>PHP PPI YOY</t>
  </si>
  <si>
    <t>ZAR PPI YOY</t>
  </si>
  <si>
    <t>TRY PPI YOY</t>
  </si>
  <si>
    <t>Thailand PPI YOY</t>
  </si>
  <si>
    <t>AUD GDP YOY</t>
  </si>
  <si>
    <t>NZD GDP YOY</t>
  </si>
  <si>
    <t>KRW GDP YOY</t>
  </si>
  <si>
    <t>CAD GDP YOY</t>
  </si>
  <si>
    <t>NOK GDP YOY</t>
  </si>
  <si>
    <t>CHF GDP YOY</t>
  </si>
  <si>
    <t>INDIA GDP YOY</t>
  </si>
  <si>
    <t>Indonesia GDP YOY</t>
  </si>
  <si>
    <t>Taiwan GDP YOY</t>
  </si>
  <si>
    <t>PHP GDP YOY</t>
  </si>
  <si>
    <t>ZAR GDP YOY</t>
  </si>
  <si>
    <t>TRY GDP YOY</t>
  </si>
  <si>
    <t>Thailand GDP YOY</t>
  </si>
  <si>
    <t>AUD Unemployment YOY</t>
  </si>
  <si>
    <t>NZD Unemployment YOY</t>
  </si>
  <si>
    <t>KRW Unemployment YOY</t>
  </si>
  <si>
    <t>CAD Unemployment YOY</t>
  </si>
  <si>
    <t>NOK Unemployment YOY</t>
  </si>
  <si>
    <t>CHF Unemployment YOY</t>
  </si>
  <si>
    <t>INDIA Unemployment YOY</t>
  </si>
  <si>
    <t>Indonesia Unemployment YOY</t>
  </si>
  <si>
    <t>Taiwan Unemployment YOY</t>
  </si>
  <si>
    <t>PHP Unemployment YOY</t>
  </si>
  <si>
    <t>ZAR Unemployment YOY</t>
  </si>
  <si>
    <t>TRY Unemployment YOY</t>
  </si>
  <si>
    <t>Thailand Unemployment YOY</t>
  </si>
  <si>
    <t>WTI</t>
    <phoneticPr fontId="1" type="noConversion"/>
  </si>
  <si>
    <t>Brent</t>
    <phoneticPr fontId="1" type="noConversion"/>
  </si>
  <si>
    <t>Gold</t>
    <phoneticPr fontId="1" type="noConversion"/>
  </si>
  <si>
    <t>Iron Ore</t>
    <phoneticPr fontId="1" type="noConversion"/>
  </si>
  <si>
    <t>Steel</t>
    <phoneticPr fontId="1" type="noConversion"/>
  </si>
  <si>
    <t>Shipping</t>
    <phoneticPr fontId="1" type="noConversion"/>
  </si>
  <si>
    <t>IPE Gasoil</t>
    <phoneticPr fontId="1" type="noConversion"/>
  </si>
  <si>
    <t>Diesel</t>
    <phoneticPr fontId="1" type="noConversion"/>
  </si>
  <si>
    <t>Jet Fuel</t>
    <phoneticPr fontId="1" type="noConversion"/>
  </si>
  <si>
    <t>Fuel Oil</t>
    <phoneticPr fontId="1" type="noConversion"/>
  </si>
  <si>
    <t>Coal</t>
    <phoneticPr fontId="1" type="noConversion"/>
  </si>
  <si>
    <t>Aluminim</t>
    <phoneticPr fontId="1" type="noConversion"/>
  </si>
  <si>
    <t>RBOB</t>
    <phoneticPr fontId="1" type="noConversion"/>
  </si>
  <si>
    <t>Silver</t>
    <phoneticPr fontId="1" type="noConversion"/>
  </si>
  <si>
    <t>Corn</t>
    <phoneticPr fontId="1" type="noConversion"/>
  </si>
  <si>
    <t>Soybean</t>
    <phoneticPr fontId="1" type="noConversion"/>
  </si>
  <si>
    <t>Dubai</t>
    <phoneticPr fontId="1" type="noConversion"/>
  </si>
  <si>
    <t>Dutch TFF</t>
    <phoneticPr fontId="1" type="noConversion"/>
  </si>
  <si>
    <t>Baltic Index</t>
    <phoneticPr fontId="1" type="noConversion"/>
  </si>
  <si>
    <t>sugar</t>
    <phoneticPr fontId="1" type="noConversion"/>
  </si>
  <si>
    <t>Live cattle</t>
    <phoneticPr fontId="1" type="noConversion"/>
  </si>
  <si>
    <t>Copper US</t>
    <phoneticPr fontId="1" type="noConversion"/>
  </si>
  <si>
    <t>Copper EU</t>
    <phoneticPr fontId="1" type="noConversion"/>
  </si>
  <si>
    <t>所有future的OI</t>
    <phoneticPr fontId="1" type="noConversion"/>
  </si>
  <si>
    <t>所有CFTC position  leverage Index</t>
    <phoneticPr fontId="1" type="noConversion"/>
  </si>
  <si>
    <t>US MBA数据</t>
    <phoneticPr fontId="1" type="noConversion"/>
  </si>
  <si>
    <t>CN</t>
    <phoneticPr fontId="1" type="noConversion"/>
  </si>
  <si>
    <t>Shibor 7D</t>
  </si>
  <si>
    <t>Shibor 7D</t>
    <phoneticPr fontId="1" type="noConversion"/>
  </si>
  <si>
    <t>Shibor 1M</t>
  </si>
  <si>
    <t>Shibor 1M</t>
    <phoneticPr fontId="1" type="noConversion"/>
  </si>
  <si>
    <t>Shibor 1Y</t>
  </si>
  <si>
    <t>Shibor 1Y</t>
    <phoneticPr fontId="1" type="noConversion"/>
  </si>
  <si>
    <t>R7</t>
    <phoneticPr fontId="1" type="noConversion"/>
  </si>
  <si>
    <t>DR7</t>
    <phoneticPr fontId="1" type="noConversion"/>
  </si>
  <si>
    <t>7D Reverse Repo Rate</t>
  </si>
  <si>
    <t>7D Reverse Repo Rate</t>
    <phoneticPr fontId="1" type="noConversion"/>
  </si>
  <si>
    <t>1Y MLF</t>
  </si>
  <si>
    <t>1Y MLF</t>
    <phoneticPr fontId="1" type="noConversion"/>
  </si>
  <si>
    <t>R1</t>
    <phoneticPr fontId="1" type="noConversion"/>
  </si>
  <si>
    <t>DR1</t>
    <phoneticPr fontId="1" type="noConversion"/>
  </si>
  <si>
    <t>Excess Reserve Ratio</t>
  </si>
  <si>
    <t>Excess Reserve Ratio</t>
    <phoneticPr fontId="1" type="noConversion"/>
  </si>
  <si>
    <t>M1</t>
    <phoneticPr fontId="1" type="noConversion"/>
  </si>
  <si>
    <t>CGB 3m Bill</t>
    <phoneticPr fontId="1" type="noConversion"/>
  </si>
  <si>
    <t>OMO Net Injection</t>
  </si>
  <si>
    <t>OMO Net Injection</t>
    <phoneticPr fontId="1" type="noConversion"/>
  </si>
  <si>
    <t>PBOC7L   Index</t>
  </si>
  <si>
    <t>Hibor ON</t>
  </si>
  <si>
    <t>Hibor ON</t>
    <phoneticPr fontId="1" type="noConversion"/>
  </si>
  <si>
    <t>Hibor 1M</t>
  </si>
  <si>
    <t>Hibor 1M</t>
    <phoneticPr fontId="1" type="noConversion"/>
  </si>
  <si>
    <t>Hibor 1Y</t>
  </si>
  <si>
    <t>Hibor 1Y</t>
    <phoneticPr fontId="1" type="noConversion"/>
  </si>
  <si>
    <t>HKMA PLP</t>
  </si>
  <si>
    <t>HKMA PLP</t>
    <phoneticPr fontId="1" type="noConversion"/>
  </si>
  <si>
    <t>HKMAPF16 Index</t>
  </si>
  <si>
    <t>HKMAIR16 Index</t>
  </si>
  <si>
    <t>HKMA Intraday</t>
  </si>
  <si>
    <t>HKMA Intraday</t>
    <phoneticPr fontId="1" type="noConversion"/>
  </si>
  <si>
    <t>Fed Fund Rate</t>
    <phoneticPr fontId="1" type="noConversion"/>
  </si>
  <si>
    <t>SOFR</t>
    <phoneticPr fontId="1" type="noConversion"/>
  </si>
  <si>
    <t>FED ONRRP volume</t>
    <phoneticPr fontId="1" type="noConversion"/>
  </si>
  <si>
    <t>ONRRP take up</t>
    <phoneticPr fontId="1" type="noConversion"/>
  </si>
  <si>
    <t>Term 1M SOFR</t>
    <phoneticPr fontId="1" type="noConversion"/>
  </si>
  <si>
    <t>Term 12M SOFR</t>
    <phoneticPr fontId="1" type="noConversion"/>
  </si>
  <si>
    <t>TSFR12M Index</t>
  </si>
  <si>
    <t>AA Comercial Paper 1M</t>
    <phoneticPr fontId="1" type="noConversion"/>
  </si>
  <si>
    <t>FED BS</t>
    <phoneticPr fontId="1" type="noConversion"/>
  </si>
  <si>
    <t>US MMF AUM</t>
  </si>
  <si>
    <t>US MMF AUM</t>
    <phoneticPr fontId="1" type="noConversion"/>
  </si>
  <si>
    <t>MMFA Index</t>
  </si>
  <si>
    <t>Treasury Auction bid to cover</t>
    <phoneticPr fontId="1" type="noConversion"/>
  </si>
  <si>
    <t>USN10YBC Index</t>
  </si>
  <si>
    <t>USB2YTL Index</t>
  </si>
  <si>
    <t>Treasury Auction 2y tail</t>
    <phoneticPr fontId="1" type="noConversion"/>
  </si>
  <si>
    <t>USN10YTL Index</t>
  </si>
  <si>
    <t>Treasury Auction 10yr tail</t>
    <phoneticPr fontId="1" type="noConversion"/>
  </si>
  <si>
    <t>Treasury Auction dealer</t>
    <phoneticPr fontId="1" type="noConversion"/>
  </si>
  <si>
    <t>USB2IBA% Index</t>
  </si>
  <si>
    <t>Treasury Auction Indirect 2y</t>
    <phoneticPr fontId="1" type="noConversion"/>
  </si>
  <si>
    <t>USB2DBA% Index</t>
  </si>
  <si>
    <t>Treasury Auction direct 2y</t>
    <phoneticPr fontId="1" type="noConversion"/>
  </si>
  <si>
    <t>USB2PDA% Index</t>
  </si>
  <si>
    <t>Revolving Credit</t>
    <phoneticPr fontId="1" type="noConversion"/>
  </si>
  <si>
    <t>NCD 1y rate</t>
    <phoneticPr fontId="1" type="noConversion"/>
  </si>
  <si>
    <t>ECB main refinancing rate</t>
    <phoneticPr fontId="1" type="noConversion"/>
  </si>
  <si>
    <t>ECB deposit facility rate</t>
    <phoneticPr fontId="1" type="noConversion"/>
  </si>
  <si>
    <t>ECB Marginal Lending</t>
  </si>
  <si>
    <t>ECB Marginal Lending</t>
    <phoneticPr fontId="1" type="noConversion"/>
  </si>
  <si>
    <t>EURIBOR 1W</t>
    <phoneticPr fontId="1" type="noConversion"/>
  </si>
  <si>
    <t>TLTRO</t>
  </si>
  <si>
    <t>ESTR ON</t>
  </si>
  <si>
    <t>ESTR ON</t>
    <phoneticPr fontId="1" type="noConversion"/>
  </si>
  <si>
    <t>ER3 Comdty</t>
  </si>
  <si>
    <t>TONAR</t>
    <phoneticPr fontId="1" type="noConversion"/>
  </si>
  <si>
    <t>ECB BS</t>
    <phoneticPr fontId="1" type="noConversion"/>
  </si>
  <si>
    <t>JGB BOJ Ratio</t>
    <phoneticPr fontId="1" type="noConversion"/>
  </si>
  <si>
    <t>JGB Bid to Cover</t>
    <phoneticPr fontId="1" type="noConversion"/>
  </si>
  <si>
    <t>JGB 10y tail</t>
    <phoneticPr fontId="1" type="noConversion"/>
  </si>
  <si>
    <t>BOJ BS</t>
    <phoneticPr fontId="1" type="noConversion"/>
  </si>
  <si>
    <t>Call Rate Overnight</t>
    <phoneticPr fontId="1" type="noConversion"/>
  </si>
  <si>
    <t>Tonar 1st</t>
    <phoneticPr fontId="1" type="noConversion"/>
  </si>
  <si>
    <t>JOA1 Comdty</t>
  </si>
  <si>
    <t>SONIA</t>
    <phoneticPr fontId="1" type="noConversion"/>
  </si>
  <si>
    <t>UKBRBASE Index</t>
  </si>
  <si>
    <t>SFI2 Comdty</t>
    <phoneticPr fontId="1" type="noConversion"/>
  </si>
  <si>
    <t>Sonia 2nd future</t>
    <phoneticPr fontId="1" type="noConversion"/>
  </si>
  <si>
    <t>AUD Cash Rate</t>
    <phoneticPr fontId="1" type="noConversion"/>
  </si>
  <si>
    <t>BBSW 3m</t>
    <phoneticPr fontId="1" type="noConversion"/>
  </si>
  <si>
    <t>OCR</t>
    <phoneticPr fontId="1" type="noConversion"/>
  </si>
  <si>
    <t>RBATCTR Index</t>
    <phoneticPr fontId="1" type="noConversion"/>
  </si>
  <si>
    <t>BBSW3M Index</t>
    <phoneticPr fontId="1" type="noConversion"/>
  </si>
  <si>
    <t>1m Bank Bill</t>
    <phoneticPr fontId="1" type="noConversion"/>
  </si>
  <si>
    <t>ADBB1m Curncy</t>
    <phoneticPr fontId="1" type="noConversion"/>
  </si>
  <si>
    <t>30D Bank bill future 2nd</t>
    <phoneticPr fontId="1" type="noConversion"/>
  </si>
  <si>
    <t>IB2 Comdty</t>
    <phoneticPr fontId="1" type="noConversion"/>
  </si>
  <si>
    <t>ADSWAP1Q Curncy</t>
    <phoneticPr fontId="1" type="noConversion"/>
  </si>
  <si>
    <t>BBSW3m 1Y Swao</t>
    <phoneticPr fontId="1" type="noConversion"/>
  </si>
  <si>
    <t>NZOCR Index</t>
    <phoneticPr fontId="1" type="noConversion"/>
  </si>
  <si>
    <t>bank bill 3m</t>
    <phoneticPr fontId="1" type="noConversion"/>
  </si>
  <si>
    <t>NDBB3M Curncy</t>
    <phoneticPr fontId="1" type="noConversion"/>
  </si>
  <si>
    <t>ZB2 Comdty</t>
    <phoneticPr fontId="1" type="noConversion"/>
  </si>
  <si>
    <t>bank bill 3m 2nd future</t>
    <phoneticPr fontId="1" type="noConversion"/>
  </si>
  <si>
    <t>3M CD</t>
    <phoneticPr fontId="1" type="noConversion"/>
  </si>
  <si>
    <t>KOFR ON</t>
    <phoneticPr fontId="1" type="noConversion"/>
  </si>
  <si>
    <t>KRFRRATE Curncy</t>
    <phoneticPr fontId="1" type="noConversion"/>
  </si>
  <si>
    <t>KWCDC Curncy</t>
    <phoneticPr fontId="1" type="noConversion"/>
  </si>
  <si>
    <t>KRW NDIRS 1Y</t>
    <phoneticPr fontId="1" type="noConversion"/>
  </si>
  <si>
    <t>KWSWNI1 Curncy</t>
    <phoneticPr fontId="1" type="noConversion"/>
  </si>
  <si>
    <t xml:space="preserve">NOWA </t>
    <phoneticPr fontId="1" type="noConversion"/>
  </si>
  <si>
    <t>NOWA Index</t>
    <phoneticPr fontId="1" type="noConversion"/>
  </si>
  <si>
    <t>NKS3M BGN Curncy</t>
  </si>
  <si>
    <t>NOWA 3m Swap</t>
    <phoneticPr fontId="1" type="noConversion"/>
  </si>
  <si>
    <t>SAFRON</t>
    <phoneticPr fontId="1" type="noConversion"/>
  </si>
  <si>
    <t>SAFRON 2nd future</t>
    <phoneticPr fontId="1" type="noConversion"/>
  </si>
  <si>
    <t>SSY2 Comdty</t>
    <phoneticPr fontId="1" type="noConversion"/>
  </si>
  <si>
    <t>SRFXON3 Index</t>
  </si>
  <si>
    <t>CAD ON</t>
    <phoneticPr fontId="1" type="noConversion"/>
  </si>
  <si>
    <t>CORRA 2nd future</t>
    <phoneticPr fontId="1" type="noConversion"/>
  </si>
  <si>
    <t>COR2 Comdty</t>
    <phoneticPr fontId="1" type="noConversion"/>
  </si>
  <si>
    <t>CORRA 1m</t>
    <phoneticPr fontId="1" type="noConversion"/>
  </si>
  <si>
    <t>CDSOA Curncy</t>
    <phoneticPr fontId="1" type="noConversion"/>
  </si>
  <si>
    <t>CABROVER Index</t>
  </si>
  <si>
    <t>INR Repo Rate</t>
    <phoneticPr fontId="1" type="noConversion"/>
  </si>
  <si>
    <t>3m Mibor</t>
    <phoneticPr fontId="1" type="noConversion"/>
  </si>
  <si>
    <t>INR Call Rate</t>
    <phoneticPr fontId="1" type="noConversion"/>
  </si>
  <si>
    <t>IN003M Index</t>
    <phoneticPr fontId="1" type="noConversion"/>
  </si>
  <si>
    <t>IRDR1T CCIL Curncy</t>
  </si>
  <si>
    <t>INRPYLDP Index</t>
  </si>
  <si>
    <t>IN00O/N Index</t>
  </si>
  <si>
    <t>Mibor ON</t>
    <phoneticPr fontId="1" type="noConversion"/>
  </si>
  <si>
    <t>IRSWOF BGN Curncy</t>
  </si>
  <si>
    <t>Mibor 6m Swap</t>
    <phoneticPr fontId="1" type="noConversion"/>
  </si>
  <si>
    <t>Jibor 3M</t>
    <phoneticPr fontId="1" type="noConversion"/>
  </si>
  <si>
    <t>JIINONT Index</t>
    <phoneticPr fontId="1" type="noConversion"/>
  </si>
  <si>
    <t>JIIN3M Index</t>
    <phoneticPr fontId="1" type="noConversion"/>
  </si>
  <si>
    <t>Jibor ON Indonia</t>
    <phoneticPr fontId="1" type="noConversion"/>
  </si>
  <si>
    <t>IHSWOOF BGN Curncy</t>
  </si>
  <si>
    <t>Jibor ON Indonia 6M</t>
    <phoneticPr fontId="1" type="noConversion"/>
  </si>
  <si>
    <t>SARB Repo</t>
    <phoneticPr fontId="1" type="noConversion"/>
  </si>
  <si>
    <t>JIBAR 3m</t>
  </si>
  <si>
    <t>JIBA3M Index</t>
  </si>
  <si>
    <t>SARPRT   Index</t>
    <phoneticPr fontId="1" type="noConversion"/>
  </si>
  <si>
    <t>TRY 1w Repo</t>
    <phoneticPr fontId="1" type="noConversion"/>
  </si>
  <si>
    <t>TRY TLREF ON</t>
    <phoneticPr fontId="1" type="noConversion"/>
  </si>
  <si>
    <t>TRY TLREF 3M</t>
    <phoneticPr fontId="1" type="noConversion"/>
  </si>
  <si>
    <t>TUBR1WRA Index</t>
  </si>
  <si>
    <t>BISTTREF Index</t>
  </si>
  <si>
    <t>MTLREF3M Index</t>
  </si>
  <si>
    <t>BSP O/N RRP</t>
  </si>
  <si>
    <t>SORA</t>
    <phoneticPr fontId="1" type="noConversion"/>
  </si>
  <si>
    <t>Taibor 3M</t>
    <phoneticPr fontId="1" type="noConversion"/>
  </si>
  <si>
    <t>PPCBOND Index</t>
    <phoneticPr fontId="1" type="noConversion"/>
  </si>
  <si>
    <t>BSP O/N RRP 6M Swap</t>
    <phoneticPr fontId="1" type="noConversion"/>
  </si>
  <si>
    <t>PHPORRF Curncy</t>
    <phoneticPr fontId="1" type="noConversion"/>
  </si>
  <si>
    <t>SIBCSORA Index</t>
  </si>
  <si>
    <t>6m SORA</t>
    <phoneticPr fontId="1" type="noConversion"/>
  </si>
  <si>
    <t>SDSOAF Curncy</t>
    <phoneticPr fontId="1" type="noConversion"/>
  </si>
  <si>
    <t>TAIBOR3M Index</t>
    <phoneticPr fontId="1" type="noConversion"/>
  </si>
  <si>
    <t>TDSF30D Index</t>
  </si>
  <si>
    <t>Taibill 3m fix</t>
    <phoneticPr fontId="1" type="noConversion"/>
  </si>
  <si>
    <t>Taibor 1M</t>
    <phoneticPr fontId="1" type="noConversion"/>
  </si>
  <si>
    <t>TAIBOR1M Index</t>
    <phoneticPr fontId="1" type="noConversion"/>
  </si>
  <si>
    <t>BOE base</t>
    <phoneticPr fontId="1" type="noConversion"/>
  </si>
  <si>
    <t>SHIF1W   Index</t>
  </si>
  <si>
    <t>SHIF1M   Index</t>
  </si>
  <si>
    <t>SHIF1Y   Index</t>
  </si>
  <si>
    <t>R7 Repo Fixing</t>
  </si>
  <si>
    <t>DR7 Repo Fixing</t>
  </si>
  <si>
    <t>R1 Repo Fixing</t>
  </si>
  <si>
    <t>DR1 Repo Fixing</t>
  </si>
  <si>
    <t>NDD Spread 5Y</t>
  </si>
  <si>
    <t>7D Repo Volume</t>
  </si>
  <si>
    <t>M1 YoY</t>
  </si>
  <si>
    <t>NCD 1Y</t>
  </si>
  <si>
    <t>CGB 3M Bill Yield</t>
  </si>
  <si>
    <t>Fed Funds Target Rate Upper</t>
  </si>
  <si>
    <t>SOFR ON</t>
  </si>
  <si>
    <t>Fed ONRRP Volume</t>
  </si>
  <si>
    <t>ONRRP Take Up</t>
  </si>
  <si>
    <t>Term SOFR 1M</t>
  </si>
  <si>
    <t>Term SOFR 12M</t>
  </si>
  <si>
    <t>AA CP 1M</t>
  </si>
  <si>
    <t>UST 10Y Auction Bid-to-Cover</t>
  </si>
  <si>
    <t>UST 2Y Auction Tail</t>
  </si>
  <si>
    <t>UST 10Y Auction Tail</t>
  </si>
  <si>
    <t>UST 2Y Auction Indirect</t>
  </si>
  <si>
    <t>UST 2Y Auction Direct</t>
  </si>
  <si>
    <t>UST 2Y Auction Dealer</t>
  </si>
  <si>
    <t>Fed Balance Sheet</t>
  </si>
  <si>
    <t>ECB Main Refinancing Rate</t>
  </si>
  <si>
    <t>ECB Deposit Facility</t>
  </si>
  <si>
    <t>Euribor 3rd Contract</t>
  </si>
  <si>
    <t>Euribor 1W</t>
  </si>
  <si>
    <t>ECB Balance Sheet</t>
  </si>
  <si>
    <t>ECB Bank Reserves</t>
  </si>
  <si>
    <t>CNRR007 Index</t>
    <phoneticPr fontId="1" type="noConversion"/>
  </si>
  <si>
    <t>CNRRDR07 Index</t>
  </si>
  <si>
    <t>CNRR001 Index</t>
    <phoneticPr fontId="1" type="noConversion"/>
  </si>
  <si>
    <t>CNRRDR01 Index</t>
    <phoneticPr fontId="1" type="noConversion"/>
  </si>
  <si>
    <t>CNY onshore IRS 1y</t>
    <phoneticPr fontId="1" type="noConversion"/>
  </si>
  <si>
    <t>CINR7P1Y Index</t>
  </si>
  <si>
    <t>PBOC7P   Index</t>
  </si>
  <si>
    <t>R7 volume</t>
    <phoneticPr fontId="1" type="noConversion"/>
  </si>
  <si>
    <t>CFEBBV1W Index</t>
  </si>
  <si>
    <t>CNLIERR% Index</t>
  </si>
  <si>
    <t>CZINOMNF Index</t>
  </si>
  <si>
    <t>SOFRRATE Index</t>
  </si>
  <si>
    <t>RRPONTSY Index</t>
  </si>
  <si>
    <t>TSFR1M Index</t>
  </si>
  <si>
    <t>DCP1M Index</t>
  </si>
  <si>
    <t>ESTRON Index</t>
  </si>
  <si>
    <t>TONARON Index</t>
  </si>
  <si>
    <t>JGBBSRATIO Index</t>
  </si>
  <si>
    <t>JNA10YBC Index</t>
  </si>
  <si>
    <t>JGB10T G Index</t>
  </si>
  <si>
    <t>BJACTOTL Index</t>
  </si>
  <si>
    <t>JCALLON Index</t>
  </si>
  <si>
    <t>SONIO/N Index</t>
  </si>
  <si>
    <t>CNMS1YOY Index</t>
  </si>
  <si>
    <t>CNTBH1 Index</t>
  </si>
  <si>
    <t>GCNY3M Index</t>
  </si>
  <si>
    <t>HIHDO/N Index</t>
  </si>
  <si>
    <t>HIHD01M Index</t>
  </si>
  <si>
    <t>HIHD12M Index</t>
    <phoneticPr fontId="1" type="noConversion"/>
  </si>
  <si>
    <t>FEDL01   Index</t>
  </si>
  <si>
    <t>FARBAST  Index</t>
  </si>
  <si>
    <t>ECSREU   Index</t>
  </si>
  <si>
    <t>DELIDFRT Index</t>
  </si>
  <si>
    <t>EUORDEPO Index</t>
  </si>
  <si>
    <t>EUR001W Index</t>
  </si>
  <si>
    <t>EUR003M Index</t>
  </si>
  <si>
    <t>EURIBOR 3M</t>
    <phoneticPr fontId="1" type="noConversion"/>
  </si>
  <si>
    <t>EURIbor 3M 3rd Contract</t>
    <phoneticPr fontId="1" type="noConversion"/>
  </si>
  <si>
    <t>TKY2 Comdty</t>
  </si>
  <si>
    <t>ESTR 3M 2nd contract</t>
    <phoneticPr fontId="1" type="noConversion"/>
  </si>
  <si>
    <t>ECB Eurosystem Public Sector Purchase Programme »</t>
  </si>
  <si>
    <t>ECBCPSPP Index</t>
  </si>
  <si>
    <t>ECB Eurosystem Corp Sector Purchase Programme »</t>
  </si>
  <si>
    <t>ECBCCSPP Index</t>
  </si>
  <si>
    <t>EBBSTOTA Index</t>
  </si>
  <si>
    <t>EUMRER   Index</t>
  </si>
  <si>
    <t>ECB Minimum Reserve Excess Reserves »</t>
  </si>
  <si>
    <t>PX</t>
    <phoneticPr fontId="1" type="noConversion"/>
  </si>
  <si>
    <t>PTA</t>
    <phoneticPr fontId="1" type="noConversion"/>
  </si>
  <si>
    <t>rubber canada</t>
    <phoneticPr fontId="1" type="noConversion"/>
  </si>
  <si>
    <t>gasoline</t>
    <phoneticPr fontId="1" type="noConversion"/>
  </si>
  <si>
    <t>coal</t>
    <phoneticPr fontId="1" type="noConversion"/>
  </si>
  <si>
    <t>coking coal</t>
    <phoneticPr fontId="1" type="noConversion"/>
  </si>
  <si>
    <t>EIA storage</t>
    <phoneticPr fontId="1" type="noConversion"/>
  </si>
  <si>
    <t>rigs counts</t>
    <phoneticPr fontId="1" type="noConversion"/>
  </si>
  <si>
    <t>run rate</t>
    <phoneticPr fontId="1" type="noConversion"/>
  </si>
  <si>
    <t>refinery capacity</t>
    <phoneticPr fontId="1" type="noConversion"/>
  </si>
  <si>
    <t>Crude Input to Refineries</t>
  </si>
  <si>
    <t>US production</t>
    <phoneticPr fontId="1" type="noConversion"/>
  </si>
  <si>
    <t>refinery yield gasoline</t>
  </si>
  <si>
    <t>refinery yield distillate</t>
  </si>
  <si>
    <t>refinery yield jet</t>
  </si>
  <si>
    <t>CFFDQPML Index</t>
  </si>
  <si>
    <t>CFFDQPMS Index</t>
  </si>
  <si>
    <t>CFFDQPMN Index</t>
  </si>
  <si>
    <t>CFFDQSWL Index</t>
  </si>
  <si>
    <t>CFFDQSWS Index</t>
  </si>
  <si>
    <t>CFFDQSWD Index</t>
  </si>
  <si>
    <t>CFFDQSWN Index</t>
  </si>
  <si>
    <t>CFFDQMML Index</t>
  </si>
  <si>
    <t>CFFDQMMS Index</t>
  </si>
  <si>
    <t>CFFDQMMD Index</t>
  </si>
  <si>
    <t>CFFDQMMN Index</t>
  </si>
  <si>
    <t>CFFDQORL Index</t>
  </si>
  <si>
    <t>CFFDQORS Index</t>
  </si>
  <si>
    <t>CFFDQORD Index</t>
  </si>
  <si>
    <t>CFFDQORN Index</t>
  </si>
  <si>
    <t>NYM1CNRL Index</t>
  </si>
  <si>
    <t>NYM1CNRS Index</t>
  </si>
  <si>
    <t>NYM1CNRN Index</t>
  </si>
  <si>
    <t>NYM1COIN Index</t>
  </si>
  <si>
    <t>Nymex WTI 生产商/经销商/加工商/使用者 多头持仓</t>
  </si>
  <si>
    <t>Nymex WTI 生产商/经销商/加工商/使用者 空头持仓</t>
  </si>
  <si>
    <t>Nymex WTI 生产商/经销商/加工商/使用者 净持仓</t>
  </si>
  <si>
    <t>Nymex WTI 掉期交易商 多头持仓</t>
  </si>
  <si>
    <t>Nymex WTI 掉期交易商 空头持仓</t>
  </si>
  <si>
    <t>Nymex WTI 掉期交易商 套利持仓</t>
  </si>
  <si>
    <t>Nymex WTI 掉期交易商 净持仓</t>
  </si>
  <si>
    <t>Nymex WTI 资金管理 多头持仓</t>
  </si>
  <si>
    <t>Nymex WTI 资金管理 空头持仓</t>
  </si>
  <si>
    <t>Nymex WTI 资金管理 套利持仓</t>
  </si>
  <si>
    <t>Nymex WTI 资金管理 净持仓</t>
  </si>
  <si>
    <t>Nymex WTI 其他应申报 多头持仓</t>
  </si>
  <si>
    <t>Nymex WTI 其他应申报 空头持仓</t>
  </si>
  <si>
    <t>Nymex WTI 其他应申报 套利持仓</t>
  </si>
  <si>
    <t>Nymex WTI 其他应申报 净持仓</t>
  </si>
  <si>
    <t>Nymex WTI  非报告多头持仓</t>
  </si>
  <si>
    <t>Nymex WTI 非报告空头持仓</t>
  </si>
  <si>
    <t>Nymex WTI 非报告净头寸持仓</t>
  </si>
  <si>
    <t>Nymex WTI 总持仓</t>
  </si>
  <si>
    <t>ICE Brent 生产商/经销商/加工商/使用者 多头持仓</t>
  </si>
  <si>
    <t>ICE Brent 生产商/经销商/加工商/使用者 空头持仓</t>
  </si>
  <si>
    <t>ICE Brent 生产商/经销商/加工商/使用者 净持仓</t>
  </si>
  <si>
    <t>ICE Brent 掉期交易商 多头持仓</t>
  </si>
  <si>
    <t>ICE Brent 掉期交易商 空头持仓</t>
  </si>
  <si>
    <t>ICE Brent 掉期交易商 套利持仓</t>
  </si>
  <si>
    <t>ICE Brent 掉期交易商 净持仓</t>
  </si>
  <si>
    <t>ICE Brent 资金管理 多头持仓</t>
  </si>
  <si>
    <t>ICE Brent 资金管理 空头持仓</t>
  </si>
  <si>
    <t>ICE Brent 资金管理 套利持仓</t>
  </si>
  <si>
    <t>ICE Brent 资金管理 净持仓</t>
  </si>
  <si>
    <t>ICE Brent 其他应申报 多头持仓</t>
  </si>
  <si>
    <t>ICE Brent 其他应申报 空头持仓</t>
  </si>
  <si>
    <t>ICE Brent 其他应申报 套利持仓</t>
  </si>
  <si>
    <t>ICE Brent 其他应申报 净持仓</t>
  </si>
  <si>
    <t>ICE Brent  非报告多头持仓</t>
  </si>
  <si>
    <t>ICE Brent 非报告空头持仓</t>
  </si>
  <si>
    <t>ICE Brent 非报告净头寸持仓</t>
  </si>
  <si>
    <t>ICE Brent 总持仓</t>
  </si>
  <si>
    <t>ICFUBSWL Index</t>
  </si>
  <si>
    <t>ICFUBSWS Index</t>
  </si>
  <si>
    <t>ICFUBSWD Index</t>
  </si>
  <si>
    <t>ICFUBSWN Index</t>
  </si>
  <si>
    <t>ICFUBMML Index</t>
  </si>
  <si>
    <t>ICFUBMMS Index</t>
  </si>
  <si>
    <t>ICFUBMMD Index</t>
  </si>
  <si>
    <t>ICFUBMMN Index</t>
  </si>
  <si>
    <t>ICFUBORL Index</t>
  </si>
  <si>
    <t>ICFUBORS Index</t>
  </si>
  <si>
    <t>ICFUBORD Index</t>
  </si>
  <si>
    <t>ICFUBORN Index</t>
  </si>
  <si>
    <t>ICFUBNRL Index</t>
  </si>
  <si>
    <t>ICFUBNRS Index</t>
  </si>
  <si>
    <t>ICFUBNRN Index</t>
  </si>
  <si>
    <t>ICFUBOIN Index</t>
  </si>
  <si>
    <t>ICFUBPML Index</t>
  </si>
  <si>
    <t>ICFUBPMS Index</t>
  </si>
  <si>
    <t>ICFUBPMN Index</t>
  </si>
  <si>
    <t>ICE Gasoil 生产商/经销商/加工商/使用者 多头持仓</t>
  </si>
  <si>
    <t>ICE Gasoil 生产商/经销商/加工商/使用者 空头持仓</t>
  </si>
  <si>
    <t>ICE Gasoil 生产商/经销商/加工商/使用者 净持仓</t>
  </si>
  <si>
    <t>ICE Gasoil 掉期交易商 多头持仓</t>
  </si>
  <si>
    <t>ICE Gasoil 掉期交易商 空头持仓</t>
  </si>
  <si>
    <t>ICE Gasoil 掉期交易商 套利持仓</t>
  </si>
  <si>
    <t>ICE Gasoil 掉期交易商 净持仓</t>
  </si>
  <si>
    <t>ICE Gasoil 资金管理 多头持仓</t>
  </si>
  <si>
    <t>ICE Gasoil 资金管理 空头持仓</t>
  </si>
  <si>
    <t>ICE Gasoil 资金管理 套利持仓</t>
  </si>
  <si>
    <t>ICE Gasoil 资金管理 净持仓</t>
  </si>
  <si>
    <t>ICE Gasoil 其他应申报 多头持仓</t>
  </si>
  <si>
    <t>ICE Gasoil 其他应申报 空头持仓</t>
  </si>
  <si>
    <t>ICE Gasoil 其他应申报 套利持仓</t>
  </si>
  <si>
    <t>ICE Gasoil 其他应申报 净持仓</t>
  </si>
  <si>
    <t>ICE Gasoil  非报告多头持仓</t>
  </si>
  <si>
    <t>ICE Gasoil 非报告空头持仓</t>
  </si>
  <si>
    <t>ICE Gasoil 非报告净头寸持仓</t>
  </si>
  <si>
    <t>ICE Gasoil 总持仓</t>
  </si>
  <si>
    <t>ICFUAPML Index</t>
  </si>
  <si>
    <t>ICFUAPMS Index</t>
  </si>
  <si>
    <t>ICFUAPMN Index</t>
  </si>
  <si>
    <t>ICFUASWL Index</t>
  </si>
  <si>
    <t>ICFUASWS Index</t>
  </si>
  <si>
    <t>ICFUASWD Index</t>
  </si>
  <si>
    <t>ICFUASWN Index</t>
  </si>
  <si>
    <t>ICFUAMML Index</t>
  </si>
  <si>
    <t>ICFUAMMS Index</t>
  </si>
  <si>
    <t>ICFUAMMD Index</t>
  </si>
  <si>
    <t>ICFUAMMN Index</t>
  </si>
  <si>
    <t>ICFUAORL Index</t>
  </si>
  <si>
    <t>ICFUAORS Index</t>
  </si>
  <si>
    <t>ICFUAORD Index</t>
  </si>
  <si>
    <t>ICFUAORN Index</t>
  </si>
  <si>
    <t>ICFUANRL Index</t>
  </si>
  <si>
    <t>ICFUANRS Index</t>
  </si>
  <si>
    <t>ICFUANRN Index</t>
  </si>
  <si>
    <t>ICFUAOIN Index</t>
  </si>
  <si>
    <t>Nymex RBOB 生产商/经销商/加工商/使用者 多头持仓</t>
  </si>
  <si>
    <t>Nymex RBOB 生产商/经销商/加工商/使用者 空头持仓</t>
  </si>
  <si>
    <t>Nymex RBOB 生产商/经销商/加工商/使用者 净持仓</t>
  </si>
  <si>
    <t>Nymex RBOB 掉期交易商 多头持仓</t>
  </si>
  <si>
    <t>Nymex RBOB 掉期交易商 空头持仓</t>
  </si>
  <si>
    <t>Nymex RBOB 掉期交易商 套利持仓</t>
  </si>
  <si>
    <t>Nymex RBOB 掉期交易商 净持仓</t>
  </si>
  <si>
    <t>Nymex RBOB 资金管理 多头持仓</t>
  </si>
  <si>
    <t>Nymex RBOB 资金管理 空头持仓</t>
  </si>
  <si>
    <t>Nymex RBOB 资金管理 套利持仓</t>
  </si>
  <si>
    <t>Nymex RBOB 资金管理 净持仓</t>
  </si>
  <si>
    <t>Nymex RBOB 其他应申报 多头持仓</t>
  </si>
  <si>
    <t>Nymex RBOB 其他应申报 空头持仓</t>
  </si>
  <si>
    <t>Nymex RBOB 其他应申报 套利持仓</t>
  </si>
  <si>
    <t>Nymex RBOB 其他应申报 净持仓</t>
  </si>
  <si>
    <t>Nymex RBOB  非报告多头持仓</t>
  </si>
  <si>
    <t>Nymex RBOB 非报告空头持仓</t>
  </si>
  <si>
    <t>Nymex RBOB 非报告净头寸持仓</t>
  </si>
  <si>
    <t>Nymex RBOB 总持仓</t>
  </si>
  <si>
    <t>CFFDRPML Index</t>
  </si>
  <si>
    <t>CFFDRPMS Index</t>
  </si>
  <si>
    <t>CFFDRPMN Index</t>
  </si>
  <si>
    <t>CFFDRSWL Index</t>
  </si>
  <si>
    <t>CFFDRSWS Index</t>
  </si>
  <si>
    <t>CFFDRSWD Index</t>
  </si>
  <si>
    <t>CFFDRSWN Index</t>
  </si>
  <si>
    <t>CFFDRMML Index</t>
  </si>
  <si>
    <t>CFFDRMMS Index</t>
  </si>
  <si>
    <t>CFFDRMMD Index</t>
  </si>
  <si>
    <t>CFFDRMMN Index</t>
  </si>
  <si>
    <t>CFFDRORL Index</t>
  </si>
  <si>
    <t>CFFDRORS Index</t>
  </si>
  <si>
    <t>CFFDRORD Index</t>
  </si>
  <si>
    <t>CFFDRORN Index</t>
  </si>
  <si>
    <t>NYM2XNRL Index</t>
  </si>
  <si>
    <t>NYM2XNRS Index</t>
  </si>
  <si>
    <t>NYM2XNRN Index</t>
  </si>
  <si>
    <t>NYM2XOIN Index</t>
  </si>
  <si>
    <t>Nymex HO 生产商/经销商/加工商/使用者 多头持仓</t>
  </si>
  <si>
    <t>Nymex HO 生产商/经销商/加工商/使用者 空头持仓</t>
  </si>
  <si>
    <t>Nymex HO 生产商/经销商/加工商/使用者 净持仓</t>
  </si>
  <si>
    <t>Nymex HO 掉期交易商 多头持仓</t>
  </si>
  <si>
    <t>Nymex HO 掉期交易商 空头持仓</t>
  </si>
  <si>
    <t>Nymex HO 掉期交易商 套利持仓</t>
  </si>
  <si>
    <t>Nymex HO 掉期交易商 净持仓</t>
  </si>
  <si>
    <t>Nymex HO 资金管理 多头持仓</t>
  </si>
  <si>
    <t>Nymex HO 资金管理 空头持仓</t>
  </si>
  <si>
    <t>Nymex HO 资金管理 套利持仓</t>
  </si>
  <si>
    <t>Nymex HO 资金管理 净持仓</t>
  </si>
  <si>
    <t>Nymex HO 其他应申报 多头持仓</t>
  </si>
  <si>
    <t>Nymex HO 其他应申报 空头持仓</t>
  </si>
  <si>
    <t>Nymex HO 其他应申报 套利持仓</t>
  </si>
  <si>
    <t>Nymex HO 其他应申报 净持仓</t>
  </si>
  <si>
    <t>Nymex HO  非报告多头持仓</t>
  </si>
  <si>
    <t>Nymex HO 非报告空头持仓</t>
  </si>
  <si>
    <t>Nymex HO 非报告净头寸持仓</t>
  </si>
  <si>
    <t>Nymex HO 总持仓</t>
  </si>
  <si>
    <t>CFFDNPML Index</t>
  </si>
  <si>
    <t>CFFDNPMS Index</t>
  </si>
  <si>
    <t>CFFDNPMN Index</t>
  </si>
  <si>
    <t>CFFDNSWL Index</t>
  </si>
  <si>
    <t>CFFDNSWS Index</t>
  </si>
  <si>
    <t>CFFDNSWD Index</t>
  </si>
  <si>
    <t>CFFDNSWN Index</t>
  </si>
  <si>
    <t>CFFDNMML Index</t>
  </si>
  <si>
    <t>CFFDNMMS Index</t>
  </si>
  <si>
    <t>CFFDNMMD Index</t>
  </si>
  <si>
    <t>CFFDNMMN Index</t>
  </si>
  <si>
    <t>CFFDNORL Index</t>
  </si>
  <si>
    <t>CFFDNORS Index</t>
  </si>
  <si>
    <t>CFFDNORD Index</t>
  </si>
  <si>
    <t>CFFDNORN Index</t>
  </si>
  <si>
    <t>NYM1HNRL Index</t>
  </si>
  <si>
    <t>NYM1HNRS Index</t>
  </si>
  <si>
    <t>NYM1HNRN Index</t>
  </si>
  <si>
    <t>NYM1HOIN Index</t>
  </si>
  <si>
    <t>DOETCRUD Index</t>
  </si>
  <si>
    <t>DOEPCRIN Index</t>
  </si>
  <si>
    <t>DOEPGRIN Index</t>
  </si>
  <si>
    <t>DOEPGRP2 Index</t>
  </si>
  <si>
    <t>DOEPPERC Index</t>
  </si>
  <si>
    <t>DOEPPCP1 Index</t>
  </si>
  <si>
    <t>DOEPPCP2 Index</t>
  </si>
  <si>
    <t>DOEPPCP3 Index</t>
  </si>
  <si>
    <t>DOEPPCP4 Index</t>
  </si>
  <si>
    <t>DOEPPCP5 Index</t>
  </si>
  <si>
    <t>DOETMGAS Index</t>
  </si>
  <si>
    <t>DOETJETK Index</t>
  </si>
  <si>
    <t>DOETDIST Index</t>
  </si>
  <si>
    <t>DOETRESD Index</t>
  </si>
  <si>
    <t>DOESCRUD Index</t>
  </si>
  <si>
    <t>DOESCRU1 Index</t>
  </si>
  <si>
    <t>DOESCRU2 Index</t>
  </si>
  <si>
    <t>DOESCROK Index</t>
  </si>
  <si>
    <t>DOESCRU3 Index</t>
  </si>
  <si>
    <t>DOESCRU4 Index</t>
  </si>
  <si>
    <t>DOESCRU5 Index</t>
  </si>
  <si>
    <t>DOESSPR Index</t>
  </si>
  <si>
    <t>DOESTMGS Index</t>
  </si>
  <si>
    <t>DOESGAS1 Index</t>
  </si>
  <si>
    <t>DOESGAS2 Index</t>
  </si>
  <si>
    <t>DOESGAS3 Index</t>
  </si>
  <si>
    <t>DOESGAS4 Index</t>
  </si>
  <si>
    <t>DOESGAS5 Index</t>
  </si>
  <si>
    <t>DOESRBOB Index</t>
  </si>
  <si>
    <t>DOESFETH Index</t>
  </si>
  <si>
    <t>DOESFEP1 Index</t>
  </si>
  <si>
    <t>DOESFEP2 Index</t>
  </si>
  <si>
    <t>DOESFEP3 Index</t>
  </si>
  <si>
    <t>DOESFEP4 Index</t>
  </si>
  <si>
    <t>DOESFEP5 Index</t>
  </si>
  <si>
    <t>DOESJETK Index</t>
  </si>
  <si>
    <t>DOESJET1 Index</t>
  </si>
  <si>
    <t>DOESJET2 Index</t>
  </si>
  <si>
    <t>DOESJET3 Index</t>
  </si>
  <si>
    <t>DOESJET4 Index</t>
  </si>
  <si>
    <t>DOESJET5 Index</t>
  </si>
  <si>
    <t>DOESDIST Index</t>
  </si>
  <si>
    <t>DOESDIS1 Index</t>
  </si>
  <si>
    <t>DOESDIS2 Index</t>
  </si>
  <si>
    <t>DOESDIS3 Index</t>
  </si>
  <si>
    <t>DOESDIS4 Index</t>
  </si>
  <si>
    <t>DOESDIS5 Index</t>
  </si>
  <si>
    <t>DOESRESD Index</t>
  </si>
  <si>
    <t>DOESRES1 Index</t>
  </si>
  <si>
    <t>DOESRES2 Index</t>
  </si>
  <si>
    <t>DOESRES3 Index</t>
  </si>
  <si>
    <t>DOESRES4 Index</t>
  </si>
  <si>
    <t>DOESPPEX Index</t>
  </si>
  <si>
    <t>DOEICESP Index</t>
  </si>
  <si>
    <t>DOEIMGAS Index</t>
  </si>
  <si>
    <t>DOEIJETK Index</t>
  </si>
  <si>
    <t>DOEIDIST Index</t>
  </si>
  <si>
    <t>DOEIRESD Index</t>
  </si>
  <si>
    <t>DOEBCEXP Index</t>
  </si>
  <si>
    <t>DOEBFMGS Index</t>
  </si>
  <si>
    <t>DOEBKJET Index</t>
  </si>
  <si>
    <t>DOEBDIST Index</t>
  </si>
  <si>
    <t>DOEBRESI Index</t>
  </si>
  <si>
    <t>DOEDMGAS Index</t>
  </si>
  <si>
    <t>DOEDJETK Index</t>
  </si>
  <si>
    <t>DOEDDIST Index</t>
  </si>
  <si>
    <t>DOEDRESD Index</t>
  </si>
  <si>
    <t>美国国内原油产量（千桶/天）||原油产量</t>
  </si>
  <si>
    <t>美国原油投料量（千桶/天）||炼油厂输入与利用</t>
  </si>
  <si>
    <t>总原料投料量（包含原油，千桶/天）||炼油厂输入与利用</t>
  </si>
  <si>
    <t>中西部总投料量 (PADD II)（千桶/天）||炼油厂输入与利用</t>
  </si>
  <si>
    <t>美国炼厂开工率（%）||炼油厂输入与利用</t>
  </si>
  <si>
    <t>东海岸炼厂开工率 (PADD I)（%）||炼油厂输入与利用</t>
  </si>
  <si>
    <t>中西部炼厂开工率 (PADD II)（%）||炼油厂输入与利用</t>
  </si>
  <si>
    <t>墨西哥湾沿岸炼厂开工率 (PADD III)（%）||炼油厂输入与利用</t>
  </si>
  <si>
    <t>落基山炼厂开工率（PADD IV）（%）||炼油厂输入与利用</t>
  </si>
  <si>
    <t>西海岸炼厂开工率（PADD V）（%）||炼油厂输入与利用</t>
  </si>
  <si>
    <t>美国成品车用汽油产量（千桶/天）||炼油厂与调和厂净产量</t>
  </si>
  <si>
    <t>美国航空煤油产量（千桶/天）||炼油厂与调和厂净产量</t>
  </si>
  <si>
    <t>美国馏分油产量（千桶/天）||炼油厂与调和厂净产量</t>
  </si>
  <si>
    <t>美国燃料油产量（千桶/天）||炼油厂与调和厂净产量</t>
  </si>
  <si>
    <t>美国商业原油库存（千桶）||库存</t>
  </si>
  <si>
    <t>东海岸商业原油库存 (PADD I)（千桶）||库存</t>
  </si>
  <si>
    <t>中西部商业原油库存 (PADD II)（千桶）||库存</t>
  </si>
  <si>
    <t>俄克拉荷马州库欣库存（千桶）||库存</t>
  </si>
  <si>
    <t>墨西哥湾沿岸商业原油库存 (PADD III)（千桶）||库存</t>
  </si>
  <si>
    <t>落基山商业原油库存（PADD IV）（千桶）||库存</t>
  </si>
  <si>
    <t>西海岸商业原油库存（PADD V）（千桶）||库存</t>
  </si>
  <si>
    <t>美国战略储备原油库存SPR（千桶）||库存</t>
  </si>
  <si>
    <t>美国汽油库存（千桶）||库存</t>
  </si>
  <si>
    <t>东海岸汽油库存 (PADD I)（千桶）||库存</t>
  </si>
  <si>
    <t>中西部汽油库存 (PADD II)（千桶）||库存</t>
  </si>
  <si>
    <t>墨西哥湾沿岸汽油库存 (PADD III)（千桶）||库存</t>
  </si>
  <si>
    <t>落基山汽油库存（PADD IV）（千桶）||库存</t>
  </si>
  <si>
    <t>西海岸汽油库存（PADD V）（千桶）||库存</t>
  </si>
  <si>
    <t>美国RBOB库存（千桶）||库存</t>
  </si>
  <si>
    <t>美国燃料乙醇库存（千桶）||库存</t>
  </si>
  <si>
    <t>东海岸燃料乙醇库存 (PADD I)（千桶）||库存</t>
  </si>
  <si>
    <t>中西部燃料乙醇库存 (PADD II)（千桶）||库存</t>
  </si>
  <si>
    <t>墨西哥湾沿岸燃料乙醇库存 (PADD III)（千桶）||库存</t>
  </si>
  <si>
    <t>落基山燃料乙醇库存（PADD IV）（千桶）||库存</t>
  </si>
  <si>
    <t>西海岸燃料乙醇库存（PADD V）（千桶）||库存</t>
  </si>
  <si>
    <t>美国航空煤油库存（千桶）||库存</t>
  </si>
  <si>
    <t>东海岸航空煤油库存 (PADD I)（千桶）||库存</t>
  </si>
  <si>
    <t>中西部航空煤油库存 (PADD II)（千桶）||库存</t>
  </si>
  <si>
    <t>墨西哥湾沿岸航空煤油库存 (PADD III)（千桶）||库存</t>
  </si>
  <si>
    <t>落基山航空煤油库存（PADD IV）（千桶）||库存</t>
  </si>
  <si>
    <t>西海岸航空煤油库存（PADD V）（千桶）||库存</t>
  </si>
  <si>
    <t>美国馏分油库存（千桶）||库存</t>
  </si>
  <si>
    <t>东海岸馏分油库存 (PADD I)（千桶）||库存</t>
  </si>
  <si>
    <t>中西部馏分油库存 (PADD II)（千桶）||库存</t>
  </si>
  <si>
    <t>墨西哥湾沿岸馏分油库存 (PADD III)（千桶）||库存</t>
  </si>
  <si>
    <t>落基山馏分油库存（PADD IV）（千桶）||库存</t>
  </si>
  <si>
    <t>西海岸馏分油库存（PADD V）（千桶）||库存</t>
  </si>
  <si>
    <t>美国燃料油库存（千桶）||库存</t>
  </si>
  <si>
    <t>东海岸燃料油库存 (PADD I)（千桶）||库存</t>
  </si>
  <si>
    <t>中西部燃料油库存 (PADD II)（千桶）||库存</t>
  </si>
  <si>
    <t>墨西哥湾沿岸燃料油库存 (PADD III)（千桶）||库存</t>
  </si>
  <si>
    <t>落基山燃料油库存（PADD IV）（千桶）||库存</t>
  </si>
  <si>
    <t>西海岸燃料油库存（PADD V）（千桶）||库存</t>
  </si>
  <si>
    <t>美国丙烷库存（千桶）||库存</t>
  </si>
  <si>
    <t>美国商业原油进口（千桶/天）||进口</t>
  </si>
  <si>
    <t>美国汽油进口（千桶/天）||进口</t>
  </si>
  <si>
    <t>美国航空煤油进口（千桶/天）||进口</t>
  </si>
  <si>
    <t>美国馏分油进口（千桶/天）||进口</t>
  </si>
  <si>
    <t>美国燃料油进口（千桶/天）||进口</t>
  </si>
  <si>
    <t>美国原油出口（千桶/天）||出口</t>
  </si>
  <si>
    <t>美国成品汽油出口（千桶/天）||出口</t>
  </si>
  <si>
    <t>美国航空煤油出口（千桶/天）||出口</t>
  </si>
  <si>
    <t>美国馏分油出口（千桶/天）||出口</t>
  </si>
  <si>
    <t>美国燃料油出口（千桶/天）||出口</t>
  </si>
  <si>
    <t>美国成品汽油需求（千桶/天）||需求</t>
  </si>
  <si>
    <t>美国航空煤油需求（千桶/天）||需求</t>
  </si>
  <si>
    <t>美国馏分油需求（千桶/天）||需求</t>
  </si>
  <si>
    <t>美国燃料油需求（千桶/天）||需求</t>
  </si>
  <si>
    <t>gasline crack</t>
    <phoneticPr fontId="1" type="noConversion"/>
  </si>
  <si>
    <t>diesel crack</t>
    <phoneticPr fontId="1" type="noConversion"/>
  </si>
  <si>
    <t>FSQCM1 Index</t>
  </si>
  <si>
    <t>FVXCM1 Index</t>
  </si>
  <si>
    <t>Anadarko</t>
  </si>
  <si>
    <t>Appalachia</t>
  </si>
  <si>
    <t>Bakken</t>
  </si>
  <si>
    <t>Eagle Ford</t>
  </si>
  <si>
    <t>Haynesville</t>
  </si>
  <si>
    <t>Niobrara</t>
  </si>
  <si>
    <t>Permian</t>
  </si>
  <si>
    <t>DRPRPROA Index</t>
  </si>
  <si>
    <t>DRPRPROL Index</t>
  </si>
  <si>
    <t>DRPRPROB Index</t>
  </si>
  <si>
    <t>DRPRPROE Index</t>
  </si>
  <si>
    <t>DRPRPROH Index</t>
  </si>
  <si>
    <t>DRPRPRON Index</t>
  </si>
  <si>
    <t>DRPRPROP Index</t>
  </si>
  <si>
    <t>COA Comdty</t>
  </si>
  <si>
    <t>CO1 Comdty</t>
  </si>
  <si>
    <t>CO2 Comdty</t>
  </si>
  <si>
    <t>CO3 Comdty</t>
  </si>
  <si>
    <t>CO4 Comdty</t>
  </si>
  <si>
    <t>CO5 Comdty</t>
  </si>
  <si>
    <t>CO6 Comdty</t>
  </si>
  <si>
    <t>CO7 Comdty</t>
  </si>
  <si>
    <t>CO8 Comdty</t>
  </si>
  <si>
    <t>CO9 Comdty</t>
  </si>
  <si>
    <t>CO10 Comdty</t>
  </si>
  <si>
    <t>CO11 Comdty</t>
  </si>
  <si>
    <t>CO12 Comdty</t>
  </si>
  <si>
    <t>CO13 Comdty</t>
  </si>
  <si>
    <t>CO14 Comdty</t>
  </si>
  <si>
    <t>CO15 Comdty</t>
  </si>
  <si>
    <t>CLA Comdty</t>
  </si>
  <si>
    <t>CL1 Comdty</t>
  </si>
  <si>
    <t>CL2 Comdty</t>
  </si>
  <si>
    <t>CL3 Comdty</t>
  </si>
  <si>
    <t>CL4 Comdty</t>
  </si>
  <si>
    <t>CL5 Comdty</t>
  </si>
  <si>
    <t>CL6 Comdty</t>
  </si>
  <si>
    <t>CL7 Comdty</t>
  </si>
  <si>
    <t>CL8 Comdty</t>
  </si>
  <si>
    <t>CL9 Comdty</t>
  </si>
  <si>
    <t>CL10 Comdty</t>
  </si>
  <si>
    <t>CL11 Comdty</t>
  </si>
  <si>
    <t>CL12 Comdty</t>
  </si>
  <si>
    <t>CL13 Comdty</t>
  </si>
  <si>
    <t>CL14 Comdty</t>
  </si>
  <si>
    <t>CL15 Comdty</t>
  </si>
  <si>
    <t>XBA Comdty</t>
  </si>
  <si>
    <t>XB1 Comdty</t>
  </si>
  <si>
    <t>XB2 Comdty</t>
  </si>
  <si>
    <t>XB3 Comdty</t>
  </si>
  <si>
    <t>XB4 Comdty</t>
  </si>
  <si>
    <t>XB5 Comdty</t>
  </si>
  <si>
    <t>XB6 Comdty</t>
  </si>
  <si>
    <t>XB7 Comdty</t>
  </si>
  <si>
    <t>XB8 Comdty</t>
  </si>
  <si>
    <t>XB9 Comdty</t>
  </si>
  <si>
    <t>XB10 Comdty</t>
  </si>
  <si>
    <t>XB11 Comdty</t>
  </si>
  <si>
    <t>XB12 Comdty</t>
  </si>
  <si>
    <t>XB13 Comdty</t>
  </si>
  <si>
    <t>XB14 Comdty</t>
  </si>
  <si>
    <t>XB15 Comdty</t>
  </si>
  <si>
    <t>QSA Comdty</t>
  </si>
  <si>
    <t>QSA1 Comdty</t>
  </si>
  <si>
    <t>QSA2 Comdty</t>
  </si>
  <si>
    <t>QSA3 Comdty</t>
  </si>
  <si>
    <t>QSA4 Comdty</t>
  </si>
  <si>
    <t>QSA5 Comdty</t>
  </si>
  <si>
    <t>QSA6 Comdty</t>
  </si>
  <si>
    <t>QSA7 Comdty</t>
  </si>
  <si>
    <t>QSA8 Comdty</t>
  </si>
  <si>
    <t>QSA9 Comdty</t>
  </si>
  <si>
    <t>QSA10 Comdty</t>
  </si>
  <si>
    <t>QSA11 Comdty</t>
  </si>
  <si>
    <t>QSA12 Comdty</t>
  </si>
  <si>
    <t>QSA13 Comdty</t>
  </si>
  <si>
    <t>QSA14 Comdty</t>
  </si>
  <si>
    <t>QSA15 Comdty</t>
  </si>
  <si>
    <t>HOA Comdty</t>
  </si>
  <si>
    <t>HO1 Comdty</t>
  </si>
  <si>
    <t>HO2 Comdty</t>
  </si>
  <si>
    <t>HO3 Comdty</t>
  </si>
  <si>
    <t>HO4 Comdty</t>
  </si>
  <si>
    <t>HO5 Comdty</t>
  </si>
  <si>
    <t>HO6 Comdty</t>
  </si>
  <si>
    <t>HO7 Comdty</t>
  </si>
  <si>
    <t>HO8 Comdty</t>
  </si>
  <si>
    <t>HO9 Comdty</t>
  </si>
  <si>
    <t>HO10 Comdty</t>
  </si>
  <si>
    <t>HO11 Comdty</t>
  </si>
  <si>
    <t>HO12 Comdty</t>
  </si>
  <si>
    <t>HO13 Comdty</t>
  </si>
  <si>
    <t>HO14 Comdty</t>
  </si>
  <si>
    <t>HO15 Comdty</t>
  </si>
  <si>
    <t>HOCL1 Index</t>
  </si>
  <si>
    <t>XBCL1 Index</t>
  </si>
  <si>
    <t>CRK321M1 Index</t>
  </si>
  <si>
    <t>QSCO1 Index</t>
  </si>
  <si>
    <t>CRK532M1 Index</t>
  </si>
  <si>
    <t>CRK211M1 Index</t>
  </si>
  <si>
    <t>3AGSREG Index</t>
  </si>
  <si>
    <t>3AGSDIES Index</t>
  </si>
  <si>
    <t>3AGSMID Index</t>
  </si>
  <si>
    <t>3AGSE85 Index</t>
  </si>
  <si>
    <t>3AGSPREM Index</t>
  </si>
  <si>
    <t>3AGSE85A Index</t>
  </si>
  <si>
    <t>布伦特连续合约价格</t>
  </si>
  <si>
    <t>布伦特第1近月合约</t>
  </si>
  <si>
    <t>布伦特第2近月合约</t>
  </si>
  <si>
    <t>布伦特第3近月合约</t>
  </si>
  <si>
    <t>布伦特第4近月合约</t>
  </si>
  <si>
    <t>布伦特第5近月合约</t>
  </si>
  <si>
    <t>布伦特第6近月合约</t>
  </si>
  <si>
    <t>布伦特第7近月合约</t>
  </si>
  <si>
    <t>布伦特第8近月合约</t>
  </si>
  <si>
    <t>布伦特第9近月合约</t>
  </si>
  <si>
    <t>布伦特第10近月合约</t>
  </si>
  <si>
    <t>布伦特第11近月合约</t>
  </si>
  <si>
    <t>布伦特第12近月合约</t>
  </si>
  <si>
    <t>布伦特第13近月合约</t>
  </si>
  <si>
    <t>布伦特第14近月合约</t>
  </si>
  <si>
    <t>布伦特第15近月合约</t>
  </si>
  <si>
    <t>WTI连续合约价格</t>
  </si>
  <si>
    <t>WTI第1近月合约</t>
  </si>
  <si>
    <t>WTI第2近月合约</t>
  </si>
  <si>
    <t>WTI第3近月合约</t>
  </si>
  <si>
    <t>WTI第4近月合约</t>
  </si>
  <si>
    <t>WTI第5近月合约</t>
  </si>
  <si>
    <t>WTI第6近月合约</t>
  </si>
  <si>
    <t>WTI第7近月合约</t>
  </si>
  <si>
    <t>WTI第8近月合约</t>
  </si>
  <si>
    <t>WTI第9近月合约</t>
  </si>
  <si>
    <t>WTI第10近月合约</t>
  </si>
  <si>
    <t>WTI第11近月合约</t>
  </si>
  <si>
    <t>WTI第12近月合约</t>
  </si>
  <si>
    <t>WTI第13近月合约</t>
  </si>
  <si>
    <t>WTI第14近月合约</t>
  </si>
  <si>
    <t>WTI第15近月合约</t>
  </si>
  <si>
    <t>RBOB汽油连续合约价格</t>
  </si>
  <si>
    <t>RBOB汽油第1近月合约</t>
  </si>
  <si>
    <t>RBOB汽油第2近月合约</t>
  </si>
  <si>
    <t>RBOB汽油第3近月合约</t>
  </si>
  <si>
    <t>RBOB汽油第4近月合约</t>
  </si>
  <si>
    <t>RBOB汽油第5近月合约</t>
  </si>
  <si>
    <t>RBOB汽油第6近月合约</t>
  </si>
  <si>
    <t>RBOB汽油第7近月合约</t>
  </si>
  <si>
    <t>RBOB汽油第8近月合约</t>
  </si>
  <si>
    <t>RBOB汽油第9近月合约</t>
  </si>
  <si>
    <t>RBOB汽油第10近月合约</t>
  </si>
  <si>
    <t>RBOB汽油第11近月合约</t>
  </si>
  <si>
    <t>RBOB汽油第12近月合约</t>
  </si>
  <si>
    <t>RBOB汽油第13近月合约</t>
  </si>
  <si>
    <t>RBOB汽油第14近月合约</t>
  </si>
  <si>
    <t>RBOB汽油第15近月合约</t>
  </si>
  <si>
    <t>ICE低硫柴油连续合约</t>
  </si>
  <si>
    <t>ICE低硫柴油第1近月合约</t>
  </si>
  <si>
    <t>ICE低硫柴油第2近月合约</t>
  </si>
  <si>
    <t>ICE低硫柴油第3近月合约</t>
  </si>
  <si>
    <t>ICE低硫柴油第4近月合约</t>
  </si>
  <si>
    <t>ICE低硫柴油第5近月合约</t>
  </si>
  <si>
    <t>ICE低硫柴油第6近月合约</t>
  </si>
  <si>
    <t>ICE低硫柴油第7近月合约</t>
  </si>
  <si>
    <t>ICE低硫柴油第8近月合约</t>
  </si>
  <si>
    <t>ICE低硫柴油第9近月合约</t>
  </si>
  <si>
    <t>ICE低硫柴油第10近月合约</t>
  </si>
  <si>
    <t>ICE低硫柴油第11近月合约</t>
  </si>
  <si>
    <t>ICE低硫柴油第12近月合约</t>
  </si>
  <si>
    <t>ICE低硫柴油第13近月合约</t>
  </si>
  <si>
    <t>ICE低硫柴油第14近月合约</t>
  </si>
  <si>
    <t>ICE低硫柴油第15近月合约</t>
  </si>
  <si>
    <t>纽约港口燃料油连续合约价格</t>
  </si>
  <si>
    <t>取暖油第1近月合约</t>
  </si>
  <si>
    <t>取暖油第2近月合约</t>
  </si>
  <si>
    <t>取暖油第3近月合约</t>
  </si>
  <si>
    <t>取暖油第4近月合约</t>
  </si>
  <si>
    <t>取暖油第5近月合约</t>
  </si>
  <si>
    <t>取暖油第6近月合约</t>
  </si>
  <si>
    <t>取暖油第7近月合约</t>
  </si>
  <si>
    <t>取暖油第8近月合约</t>
  </si>
  <si>
    <t>取暖油第9近月合约</t>
  </si>
  <si>
    <t>取暖油第10近月合约</t>
  </si>
  <si>
    <t>取暖油第11近月合约</t>
  </si>
  <si>
    <t>取暖油第12近月合约</t>
  </si>
  <si>
    <t>取暖油第13近月合约</t>
  </si>
  <si>
    <t>取暖油第14近月合约</t>
  </si>
  <si>
    <t>取暖油第15近月合约</t>
  </si>
  <si>
    <t>取暖油WTI价差</t>
  </si>
  <si>
    <t>汽油WTI价差</t>
  </si>
  <si>
    <t>WTI汽油取暖油3:2:1价差</t>
  </si>
  <si>
    <t>欧洲柴油布伦特价差</t>
  </si>
  <si>
    <t>WTI汽油取暖油5:3:2价差</t>
  </si>
  <si>
    <t>WTI汽油取暖油2:1:1价差</t>
  </si>
  <si>
    <t>每日全国平均成品油零售价格（常规无铅汽油）</t>
  </si>
  <si>
    <t>每日全国平均成品油零售价格（柴油）</t>
  </si>
  <si>
    <t>每日全国平均成品油零售价格（Mid Grade）</t>
  </si>
  <si>
    <t>每日全国平均成品油零售价格（E85标号汽油）</t>
  </si>
  <si>
    <t>每日全国平均成品油零售价格（Premium 汽油）</t>
  </si>
  <si>
    <t>每日全国平均成品油零售价格（E85标号汽油根据MPG调整）</t>
  </si>
  <si>
    <t>ARA GASOLINE  inventory</t>
  </si>
  <si>
    <t>ARA  GASOIL inventory</t>
  </si>
  <si>
    <t>ARA KEROSENE inventory</t>
  </si>
  <si>
    <t>ARA NAPHTHA inventory</t>
  </si>
  <si>
    <t>ARA FUEL inventory</t>
  </si>
  <si>
    <t>SG MIDDLE DIS inventory</t>
  </si>
  <si>
    <t>SG LIGHT DIS inventory</t>
  </si>
  <si>
    <t>SG RESIDUAL inventory</t>
  </si>
  <si>
    <t>ARASGSLN Index</t>
  </si>
  <si>
    <t>ARASGO Index</t>
  </si>
  <si>
    <t>ARASKERO Index</t>
  </si>
  <si>
    <t>ARASNPHT Index</t>
  </si>
  <si>
    <t>ARASFO Index</t>
  </si>
  <si>
    <t>SPIVMDIS Index</t>
  </si>
  <si>
    <t>SPIVLDIS Index</t>
  </si>
  <si>
    <t>SPIVRESD Index</t>
  </si>
  <si>
    <t>美国国内原油产量（千桶/天） || 原油产量</t>
  </si>
  <si>
    <t>阿拉斯加原油产量（千桶/天） || 原油产量</t>
  </si>
  <si>
    <t>美国本土原油产量（千桶/天） || 原油产量</t>
  </si>
  <si>
    <t>美国原油投料量（千桶/天） || 炼油厂输入与利用</t>
  </si>
  <si>
    <t>东海岸原油投料量(PADD I)（千桶/天） || 炼油厂输入与利用</t>
  </si>
  <si>
    <t>中西部原油投料量（PADD II)（千桶/天） || 炼油厂输入与利用</t>
  </si>
  <si>
    <t>墨西哥湾沿岸原油投料量 (PADD III)（千桶/天） || 炼油厂输入与利用</t>
  </si>
  <si>
    <t>落基山原油投料量（PADD IV）（千桶/天） || 炼油厂输入与利用</t>
  </si>
  <si>
    <t>西海岸原油投料量（PADD V）（千桶/天） || 炼油厂输入与利用</t>
  </si>
  <si>
    <t>总原料投料量（包含原油，千桶/天） || 炼油厂输入与利用</t>
  </si>
  <si>
    <t>东海岸总投料量 (PADD I)（千桶/天） || 炼油厂输入与利用</t>
  </si>
  <si>
    <t>中西部总投料量 (PADD II)（千桶/天） || 炼油厂输入与利用</t>
  </si>
  <si>
    <t>墨西哥湾沿岸总投料量 (PADD III)（千桶/天） || 炼油厂输入与利用</t>
  </si>
  <si>
    <t>落基山总投料量（PADD IV）（千桶/天） || 炼油厂输入与利用</t>
  </si>
  <si>
    <t>西海岸总投料量（PADD V）（千桶/天） || 炼油厂输入与利用</t>
  </si>
  <si>
    <t>美国炼厂产能（千桶/天） || 炼油厂输入与利用</t>
  </si>
  <si>
    <t>东海岸炼厂产能 (PADD I)（千桶/天） || 炼油厂输入与利用</t>
  </si>
  <si>
    <t>中西部炼厂产能 (PADD II)（千桶/天） || 炼油厂输入与利用</t>
  </si>
  <si>
    <t>墨西哥湾沿岸炼厂产能 (PADD III)（千桶/天） || 炼油厂输入与利用</t>
  </si>
  <si>
    <t>落基山炼厂产能（PADD IV）（千桶/天） || 炼油厂输入与利用</t>
  </si>
  <si>
    <t>西海岸炼厂产能（PADD V）（千桶/天） || 炼油厂输入与利用</t>
  </si>
  <si>
    <t>美国炼厂开工率（%） || 炼油厂输入与利用</t>
  </si>
  <si>
    <t>东海岸炼厂开工率 (PADD I)（%） || 炼油厂输入与利用</t>
  </si>
  <si>
    <t>中西部炼厂开工率 (PADD II)（%） || 炼油厂输入与利用</t>
  </si>
  <si>
    <t>墨西哥湾沿岸炼厂开工率 (PADD III)（%） || 炼油厂输入与利用</t>
  </si>
  <si>
    <t>落基山炼厂开工率（PADD IV）（%） || 炼油厂输入与利用</t>
  </si>
  <si>
    <t>西海岸炼厂开工率（PADD V）（%） || 炼油厂输入与利用</t>
  </si>
  <si>
    <t>美国汽油调油原料输入（千桶/天） || 炼油厂与调油净输入</t>
  </si>
  <si>
    <t>东海岸汽油调油原料输入 (PADD I)（千桶/天） || 炼油厂与调油净输入</t>
  </si>
  <si>
    <t>中西部汽油调油原料输入 (PADD II)（千桶/天） || 炼油厂与调油净输入</t>
  </si>
  <si>
    <t>墨西哥湾沿岸汽油调油原料输入(PADD III)（千桶/天） || 炼油厂与调油净输入</t>
  </si>
  <si>
    <t>落基山汽油调油原料输入（PADD IV）（千桶/天） || 炼油厂与调油净输入</t>
  </si>
  <si>
    <t>西海岸汽油调油原料输入（PADD V）（千桶/天） || 炼油厂与调油净输入</t>
  </si>
  <si>
    <t>美国RBOB输入（千桶/天） || 炼油厂与调油净输入</t>
  </si>
  <si>
    <t>东海岸RBOB输入 (PADD I)（千桶/天） || 炼油厂与调油净输入</t>
  </si>
  <si>
    <t>中西部RBOB输入(PADD II)（千桶/天） || 炼油厂与调油净输入</t>
  </si>
  <si>
    <t>墨西哥湾沿岸RBOB输入 (PADD III)（千桶/天） || 炼油厂与调油净输入</t>
  </si>
  <si>
    <t>落基山RBOB输入（PADD IV）（千桶/天） || 炼油厂与调油净输入</t>
  </si>
  <si>
    <t>西海岸RBOB输入（PADD V）（千桶/天） || 炼油厂与调油净输入</t>
  </si>
  <si>
    <t>美国CBOB输入（千桶/天） || 炼油厂与调油净输入</t>
  </si>
  <si>
    <t>东海岸CBOB输入 (PADD I)（千桶/天） || 炼油厂与调油净输入</t>
  </si>
  <si>
    <t>中西部CBOB输入 (PADD II)（千桶/天） || 炼油厂与调油净输入</t>
  </si>
  <si>
    <t>墨西哥湾沿岸CBOB输入 (PADD III)（千桶/天） || 炼油厂与调油净输入</t>
  </si>
  <si>
    <t>落基山CBOB输入（PADD IV）（千桶/天） || 炼油厂与调油净输入</t>
  </si>
  <si>
    <t>西海岸CBOB输入（PADD V）（千桶/天） || 炼油厂与调油净输入</t>
  </si>
  <si>
    <t>美国GTAB输入（千桶/天） || 炼油厂与调油净输入</t>
  </si>
  <si>
    <t>东海岸GTAB输入 (PADD I)（千桶/天） || 炼油厂与调油净输入</t>
  </si>
  <si>
    <t>中西部GTAB输入 (PADD II)（千桶/天） || 炼油厂与调油净输入</t>
  </si>
  <si>
    <t>墨西哥湾沿岸GTAB输入 (PADD III)（千桶/天） || 炼油厂与调油净输入</t>
  </si>
  <si>
    <t>落基山GTAB输入（PADD IV）（千桶/天） || 炼油厂与调油净输入</t>
  </si>
  <si>
    <t>西海岸GTAB输入（PADD V）（千桶/天） || 炼油厂与调油净输入</t>
  </si>
  <si>
    <t>美国其他调油料输入（千桶/天） || 炼油厂与调油净输入</t>
  </si>
  <si>
    <t>东海岸其他调油料输入 (PADD I)（千桶/天） || 炼油厂与调油净输入</t>
  </si>
  <si>
    <t>中西部其他调油料输入 (PADD II)（千桶/天） || 炼油厂与调油净输入</t>
  </si>
  <si>
    <t>墨西哥湾沿岸其他调油料输入 (PADD III)（千桶/天） || 炼油厂与调油净输入</t>
  </si>
  <si>
    <t>落基山其他调油料输入（PADD IV）（千桶/天） || 炼油厂与调油净输入</t>
  </si>
  <si>
    <t>西海岸其他调油料输入（PADD V）（千桶/天） || 炼油厂与调油净输入</t>
  </si>
  <si>
    <t>美国燃料乙醇输入（千桶/天） || 炼油厂与调油净输入</t>
  </si>
  <si>
    <t>东海岸燃料乙醇输入 (PADD I)（千桶/天） || 炼油厂与调油净输入</t>
  </si>
  <si>
    <t>中西部燃料乙醇输入 (PADD II)（千桶/天） || 炼油厂与调油净输入</t>
  </si>
  <si>
    <t>墨西哥湾沿岸燃料乙醇输入 (PADD III)（千桶/天） || 炼油厂与调油净输入</t>
  </si>
  <si>
    <t>落基山燃料乙醇输入（PADD IV）（千桶/天） || 炼油厂与调油净输入</t>
  </si>
  <si>
    <t>西海岸燃料乙醇输入（PADD V）（千桶/天） || 炼油厂与调油净输入</t>
  </si>
  <si>
    <t>美国成品车用汽油产量（千桶/天） || 炼油厂与调和厂净产量</t>
  </si>
  <si>
    <t>美国成品车用汽油产量（减去调整项）（千桶/天） || 炼油厂与调和厂净产量</t>
  </si>
  <si>
    <t>东海岸成品车用汽油产量 (PADD I)（千桶/天） || 炼油厂与调和厂净产量</t>
  </si>
  <si>
    <t>中西部成品车用汽油产量 (PADD II)（千桶/天） || 炼油厂与调和厂净产量</t>
  </si>
  <si>
    <t>墨西哥湾沿岸成品车用汽油产量 (PADD III)（千桶/天） || 炼油厂与调和厂净产量</t>
  </si>
  <si>
    <t>落基山成品车用汽油产量（PADD IV）（千桶/天） || 炼油厂与调和厂净产量</t>
  </si>
  <si>
    <t>西海岸成品车用汽油产量（PADD V）（千桶/天） || 炼油厂与调和厂净产量</t>
  </si>
  <si>
    <t>美国成品车用汽油产量调整项Adjustment（千桶/天） || 炼油厂与调和厂净产量</t>
  </si>
  <si>
    <t>美国重整汽油产量（千桶/天） || 炼油厂与调和厂净产量</t>
  </si>
  <si>
    <t>东海岸重整汽油产量 (PADD I)（千桶/天） || 炼油厂与调和厂净产量</t>
  </si>
  <si>
    <t>中西部重整汽油产量(PADD II)（千桶/天） || 炼油厂与调和厂净产量</t>
  </si>
  <si>
    <t>墨西哥湾沿岸重整汽油产量 (PADD III)（千桶/天） || 炼油厂与调和厂净产量</t>
  </si>
  <si>
    <t>落基山重整汽油产量（PADD IV）（千桶/天） || 炼油厂与调和厂净产量</t>
  </si>
  <si>
    <t>西海岸重整汽油产量（PADD V）（千桶/天） || 炼油厂与调和厂净产量</t>
  </si>
  <si>
    <t>美国重整汽油与燃料乙醇混合后产量（千桶/天） || 炼油厂与调和厂净产量</t>
  </si>
  <si>
    <t>东海岸重整汽油与燃料乙醇混合后产量 (PADD I)（千桶/天） || 炼油厂与调和厂净产量</t>
  </si>
  <si>
    <t>中西部重整汽油与燃料乙醇混合后产量 (PADD II)（千桶/天） || 炼油厂与调和厂净产量</t>
  </si>
  <si>
    <t>墨西哥湾沿岸重整汽油与燃料乙醇混合后产量 (PADD III) || 炼油厂与调和厂净产量</t>
  </si>
  <si>
    <t>落基山重整汽油与燃料乙醇混合后产量（PADD IV）（千桶/天） || 炼油厂与调和厂净产量</t>
  </si>
  <si>
    <t>西海岸重整汽油与燃料乙醇混合后产量（PADD V）（千桶/天） || 炼油厂与调和厂净产量</t>
  </si>
  <si>
    <t>美国其他重整汽油产量（千桶/天） || 炼油厂与调和厂净产量</t>
  </si>
  <si>
    <t>东海岸其他重整汽油产量 (PADD I)（千桶/天） || 炼油厂与调和厂净产量</t>
  </si>
  <si>
    <t>中西部其他重整汽油产量 (PADD II)（千桶/天） || 炼油厂与调和厂净产量</t>
  </si>
  <si>
    <t>墨西哥湾沿岸其他重整汽油产量 (PADD III)（千桶/天） || 炼油厂与调和厂净产量</t>
  </si>
  <si>
    <t>落基山其他重整汽油产量（PADD IV）（千桶/天） || 炼油厂与调和厂净产量</t>
  </si>
  <si>
    <t>西海岸其他重整汽油产量（PADD V）（千桶/天） || 炼油厂与调和厂净产量</t>
  </si>
  <si>
    <t>美国常规汽油产量（千桶/天） || 炼油厂与调和厂净产量</t>
  </si>
  <si>
    <t>东海岸常规汽油产量 (PADD I)（千桶/天） || 炼油厂与调和厂净产量</t>
  </si>
  <si>
    <t>中西部常规汽油产量 (PADD II)（千桶/天） || 炼油厂与调和厂净产量</t>
  </si>
  <si>
    <t>墨西哥湾沿岸常规汽油产量 (PADD III)（千桶/天） || 炼油厂与调和厂净产量</t>
  </si>
  <si>
    <t>落基山常规汽油产量（PADD IV）（千桶/天） || 炼油厂与调和厂净产量</t>
  </si>
  <si>
    <t>西海岸常规汽油产量（PADD V）（千桶/天） || 炼油厂与调和厂净产量</t>
  </si>
  <si>
    <t>美国常规汽油与乙醇混合后产量（千桶/天） || 炼油厂与调和厂净产量</t>
  </si>
  <si>
    <t>东海岸常规汽油与乙醇混合后产量 (PADD I)（千桶/天） || 炼油厂与调和厂净产量</t>
  </si>
  <si>
    <t>中西部常规汽油与乙醇混合后产量 (PADD II)（千桶/天） || 炼油厂与调和厂净产量</t>
  </si>
  <si>
    <t>墨西哥湾沿岸常规汽油与乙醇混合后产量 (PADD III)（千桶/天） || 炼油厂与调和厂净产量</t>
  </si>
  <si>
    <t>落基山常规汽油与乙醇混合后产量（PADD IV）（千桶/天） || 炼油厂与调和厂净产量</t>
  </si>
  <si>
    <t>西海岸常规汽油与乙醇混合后产量（PADD V）（千桶/天） || 炼油厂与调和厂净产量</t>
  </si>
  <si>
    <t>美国常规汽油Ed55 and Lower产量（千桶/天） || 炼油厂与调和厂净产量</t>
  </si>
  <si>
    <t>东海岸常规汽油Ed55 and Lower产量 (PADD I)（千桶/天） || 炼油厂与调和厂净产量</t>
  </si>
  <si>
    <t>中西部常规汽油Ed55 and Lower产量 (PADD II)（千桶/天） || 炼油厂与调和厂净产量</t>
  </si>
  <si>
    <t>墨西哥湾沿岸常规汽油Ed55 and Lower产量 (PADD III)（千桶/天） || 炼油厂与调和厂净产量</t>
  </si>
  <si>
    <t>落基山常规汽油Ed55 and Lower产量（PADD IV）（千桶/天） || 炼油厂与调和厂净产量</t>
  </si>
  <si>
    <t>西海岸常规汽油Ed55 and Lower产量（PADD V）（千桶/天） || 炼油厂与调和厂净产量</t>
  </si>
  <si>
    <t>美国大于Ed55常规汽油产量（千桶/天） || 炼油厂与调和厂净产量</t>
  </si>
  <si>
    <t>东海岸大于Ed55常规汽油产量 (PADD I)（千桶/天） || 炼油厂与调和厂净产量</t>
  </si>
  <si>
    <t>中西部大于Ed55常规汽油产量 (PADD II)（千桶/天） || 炼油厂与调和厂净产量</t>
  </si>
  <si>
    <t>墨西哥湾沿岸大于Ed55常规汽油产量 (PADD III)（千桶/天） || 炼油厂与调和厂净产量</t>
  </si>
  <si>
    <t>落基山大于Ed55常规汽油产量（PADD IV）（千桶/天） || 炼油厂与调和厂净产量</t>
  </si>
  <si>
    <t>西海岸大于Ed55常规汽油产量（PADD V）（千桶/天） || 炼油厂与调和厂净产量</t>
  </si>
  <si>
    <t>美国其他常规汽油产量（千桶/天） || 炼油厂与调和厂净产量</t>
  </si>
  <si>
    <t>东海岸其他常规汽油产量 (PADD I)（千桶/天） || 炼油厂与调和厂净产量</t>
  </si>
  <si>
    <t>中西部其他常规汽油产量 (PADD II)（千桶/天） || 炼油厂与调和厂净产量</t>
  </si>
  <si>
    <t>墨西哥湾沿岸其他常规汽油产量 (PADD III)（千桶/天） || 炼油厂与调和厂净产量</t>
  </si>
  <si>
    <t>落基山其他常规汽油产量（PADD IV）（千桶/天） || 炼油厂与调和厂净产量</t>
  </si>
  <si>
    <t>西海岸其他常规汽油产量（PADD V）（千桶/天） || 炼油厂与调和厂净产量</t>
  </si>
  <si>
    <t>美国航空煤油产量（千桶/天） || 炼油厂与调和厂净产量</t>
  </si>
  <si>
    <t>东海岸航空煤油产量 (PADD I)（千桶/天） || 炼油厂与调和厂净产量</t>
  </si>
  <si>
    <t>中西部航空煤油产量 (PADD II)（千桶/天） || 炼油厂与调和厂净产量</t>
  </si>
  <si>
    <t>墨西哥湾沿岸航空煤油产量 (PADD III)（千桶/天） || 炼油厂与调和厂净产量</t>
  </si>
  <si>
    <t>落基山航空煤油产量（PADD IV）（千桶/天） || 炼油厂与调和厂净产量</t>
  </si>
  <si>
    <t>西海岸航空煤油产量（PADD V）（千桶/天） || 炼油厂与调和厂净产量</t>
  </si>
  <si>
    <t>美国商业航空煤油产量（千桶/天） || 炼油厂与调和厂净产量</t>
  </si>
  <si>
    <t>东海岸商业航空煤油产量 (PADD I)（千桶/天） || 炼油厂与调和厂净产量</t>
  </si>
  <si>
    <t>中西部商业航空煤油产量 (PADD II)（千桶/天） || 炼油厂与调和厂净产量</t>
  </si>
  <si>
    <t>墨西哥湾沿岸商业航空煤油产量 (PADD III)（千桶/天） || 炼油厂与调和厂净产量</t>
  </si>
  <si>
    <t>落基山商业航空煤油产量（PADD IV）（千桶/天） || 炼油厂与调和厂净产量</t>
  </si>
  <si>
    <t>西海岸商业航空煤油产量（PADD V）（千桶/天） || 炼油厂与调和厂净产量</t>
  </si>
  <si>
    <t>美国军用航空煤油产量（千桶/天） || 炼油厂与调和厂净产量</t>
  </si>
  <si>
    <t>东海岸军用航空煤油产量 (PADD I)（千桶/天） || 炼油厂与调和厂净产量</t>
  </si>
  <si>
    <t>中西部军用航空煤油产量 (PADD II)（千桶/天） || 炼油厂与调和厂净产量</t>
  </si>
  <si>
    <t>墨西哥湾沿岸军用航空煤油产量 (PADD III)（千桶/天） || 炼油厂与调和厂净产量</t>
  </si>
  <si>
    <t>落基山军用航空煤油产量（PADD IV）（千桶/天） || 炼油厂与调和厂净产量</t>
  </si>
  <si>
    <t>西海岸军用航空煤油产量（PADD V）（千桶/天） || 炼油厂与调和厂净产量</t>
  </si>
  <si>
    <t>美国馏分油产量（千桶/天） || 炼油厂与调和厂净产量</t>
  </si>
  <si>
    <t>东海岸馏分油产量 (PADD I)（千桶/天） || 炼油厂与调和厂净产量</t>
  </si>
  <si>
    <t>中西部馏分油产量(PADD II)（千桶/天） || 炼油厂与调和厂净产量</t>
  </si>
  <si>
    <t>墨西哥湾沿岸馏分油产量 (PADD III)（千桶/天） || 炼油厂与调和厂净产量</t>
  </si>
  <si>
    <t>落基山馏分油产量（PADD IV）（千桶/天） || 炼油厂与调和厂净产量</t>
  </si>
  <si>
    <t>西海岸馏分油产量（PADD V）（千桶/天） || 炼油厂与调和厂净产量</t>
  </si>
  <si>
    <t>美国15PPM及以下含硫率馏分油产量（千桶/天） || 炼油厂与调和厂净产量</t>
  </si>
  <si>
    <t>东海岸15PPM及以下含硫率馏分油产量 (PADD I)（千桶/天） || 炼油厂与调和厂净产量</t>
  </si>
  <si>
    <t>中西部15PPM及以下含硫率馏分油产量 (PADD II)（千桶/天） || 炼油厂与调和厂净产量</t>
  </si>
  <si>
    <t>墨西哥湾沿岸15PPM及以下含硫率馏分油产量 (PADD III)（千桶/天） || 炼油厂与调和厂净产量</t>
  </si>
  <si>
    <t>落基山15PPM及以下含硫率馏分油产量（PADD IV）（千桶/天） || 炼油厂与调和厂净产量</t>
  </si>
  <si>
    <t>西海岸15PPM及以下含硫率馏分油产量（PADD V）（千桶/天） || 炼油厂与调和厂净产量</t>
  </si>
  <si>
    <t>美国&gt;15PPM至500PPM含硫率馏分油产量（千桶/天） || 炼油厂与调和厂净产量</t>
  </si>
  <si>
    <t>东海岸&gt;15PPM至500PPM含硫率馏分油产量 (PADD I)（千桶/天） || 炼油厂与调和厂净产量</t>
  </si>
  <si>
    <t>中西部&gt;15PPM至500PPM含硫率馏分油产量(PADD II)（千桶/天） || 炼油厂与调和厂净产量</t>
  </si>
  <si>
    <t>墨西哥湾沿岸&gt;15PPM至500PPM含硫率馏分油产量 (PADD III)（千桶/天） || 炼油厂与调和厂净产量</t>
  </si>
  <si>
    <t>落基山&gt;15PPM至500PPM含硫率馏分油产量（PADD IV）（千桶/天） || 炼油厂与调和厂净产量</t>
  </si>
  <si>
    <t>西海岸&gt;15PPM至500PPM含硫率馏分油产量（PADD V）（千桶/天） || 炼油厂与调和厂净产量</t>
  </si>
  <si>
    <t>美国&gt;500PPM含硫率馏分油产量（千桶/天） || 炼油厂与调和厂净产量</t>
  </si>
  <si>
    <t>东海岸&gt;500PPM含硫率馏分油产量 (PADD I)（千桶/天） || 炼油厂与调和厂净产量</t>
  </si>
  <si>
    <t>中西部&gt;500PPM含硫率馏分油产量 (PADD II)（千桶/天） || 炼油厂与调和厂净产量</t>
  </si>
  <si>
    <t>墨西哥湾沿岸&gt;500PPM含硫率馏分油产量 (PADD III)（千桶/天） || 炼油厂与调和厂净产量</t>
  </si>
  <si>
    <t>落基山&gt;500PPM含硫率馏分油产量（PADD IV）（千桶/天） || 炼油厂与调和厂净产量</t>
  </si>
  <si>
    <t>西海岸&gt;500PPM含硫率馏分油产量（PADD V）（千桶/天） || 炼油厂与调和厂净产量</t>
  </si>
  <si>
    <t>美国燃料油产量（千桶/天） || 炼油厂与调和厂净产量</t>
  </si>
  <si>
    <t>东海岸燃料油产量 (PADD I)（千桶/天） || 炼油厂与调和厂净产量</t>
  </si>
  <si>
    <t>中西部燃料油产量 (PADD II)（千桶/天） || 炼油厂与调和厂净产量</t>
  </si>
  <si>
    <t>墨西哥湾沿岸燃料油产量 (PADD III)（千桶/天） || 炼油厂与调和厂净产量</t>
  </si>
  <si>
    <t>落基山燃料油产量（PADD IV）（千桶/天） || 炼油厂与调和厂净产量</t>
  </si>
  <si>
    <t>西海岸燃料油产量（PADD V）（千桶/天） || 炼油厂与调和厂净产量</t>
  </si>
  <si>
    <t>美国丙烷/丙烯产量（千桶/天） || 炼油厂与调和厂净产量</t>
  </si>
  <si>
    <t>东海岸丙烷/丙烯产量 (PADD I)（千桶/天） || 炼油厂与调和厂净产量</t>
  </si>
  <si>
    <t>中西部丙烷/丙烯产量 (PADD II)（千桶/天） || 炼油厂与调和厂净产量</t>
  </si>
  <si>
    <t>墨西哥湾沿岸丙烷/丙烯产量 (PADD III)（千桶/天） || 炼油厂与调和厂净产量</t>
  </si>
  <si>
    <t>PADDs IV与V丙烷/丙烯产量（千桶/天） || 炼油厂与调和厂净产量</t>
  </si>
  <si>
    <t>美国燃料乙醇产量（千桶/天） || 乙醇产量</t>
  </si>
  <si>
    <t>东海岸燃料乙醇产量 (PADD I)（千桶/天） || 乙醇产量</t>
  </si>
  <si>
    <t>中西部燃料乙醇产量 (PADD II)（千桶/天） || 乙醇产量</t>
  </si>
  <si>
    <t>墨西哥湾沿岸燃料乙醇产量 (PADD III)（千桶/天） || 乙醇产量</t>
  </si>
  <si>
    <t>落基山燃料乙醇产量（PADD IV）（千桶/天） || 乙醇产量</t>
  </si>
  <si>
    <t>西海岸燃料乙醇产量（PADD V）（千桶/天） || 乙醇产量</t>
  </si>
  <si>
    <t>美国原油（含SPR）库存（千桶） || 库存</t>
  </si>
  <si>
    <t>美国商业原油库存（千桶） || 库存</t>
  </si>
  <si>
    <t>东海岸商业原油库存 (PADD I)（千桶） || 库存</t>
  </si>
  <si>
    <t>中西部商业原油库存 (PADD II)（千桶） || 库存</t>
  </si>
  <si>
    <t>俄克拉荷马州库欣库存（千桶） || 库存</t>
  </si>
  <si>
    <t>墨西哥湾沿岸商业原油库存 (PADD III)（千桶） || 库存</t>
  </si>
  <si>
    <t>落基山商业原油库存（PADD IV）（千桶） || 库存</t>
  </si>
  <si>
    <t>西海岸商业原油库存（PADD V）（千桶） || 库存</t>
  </si>
  <si>
    <t>阿拉斯加转运在途库存（千桶） || 库存</t>
  </si>
  <si>
    <t>美国战略储备原油库存SPR（千桶） || 库存</t>
  </si>
  <si>
    <t>美国汽油库存（千桶） || 库存</t>
  </si>
  <si>
    <t>东海岸汽油库存 (PADD I)（千桶） || 库存</t>
  </si>
  <si>
    <t>新英格兰汽油库存（PADD IA)（千桶） || 库存</t>
  </si>
  <si>
    <t>中大西洋汽油库存（PADD IB）（千桶） || 库存</t>
  </si>
  <si>
    <t>大西洋南部汽油库存 (PADD IC)（千桶） || 库存</t>
  </si>
  <si>
    <t>中西部汽油库存 (PADD II)（千桶） || 库存</t>
  </si>
  <si>
    <t>墨西哥湾沿岸汽油库存 (PADD III)（千桶） || 库存</t>
  </si>
  <si>
    <t>落基山汽油库存（PADD IV）（千桶） || 库存</t>
  </si>
  <si>
    <t>西海岸汽油库存（PADD V）（千桶） || 库存</t>
  </si>
  <si>
    <t>美国成品车用汽油库存（千桶） || 库存</t>
  </si>
  <si>
    <t>东海岸成品车用汽油库存 (PADD I)（千桶） || 库存</t>
  </si>
  <si>
    <t>中西部成品车用汽油库存 (PADD II)（千桶） || 库存</t>
  </si>
  <si>
    <t>墨西哥湾沿岸成品车用汽油库存 (PADD III)（千桶） || 库存</t>
  </si>
  <si>
    <t>落基山成品车用汽油库存（PADD IV）（千桶） || 库存</t>
  </si>
  <si>
    <t>西海岸成品车用汽油库存（PADD V）（千桶） || 库存</t>
  </si>
  <si>
    <t>美国重整汽油库存（千桶） || 库存</t>
  </si>
  <si>
    <t>东海岸重整汽油库存 (PADD I)（千桶） || 库存</t>
  </si>
  <si>
    <t>中西部重整汽油库存 (PADD II)（千桶） || 库存</t>
  </si>
  <si>
    <t>墨西哥湾沿岸重整汽油库存 (PADD III)（千桶） || 库存</t>
  </si>
  <si>
    <t>落基山重整汽油库存（PADD IV）（千桶） || 库存</t>
  </si>
  <si>
    <t>西海岸重整汽油库存（PADD V）（千桶） || 库存</t>
  </si>
  <si>
    <t>美国重整汽油调和乙醇后库存（千桶） || 库存</t>
  </si>
  <si>
    <t>东海岸重整汽油调和乙醇后库存 (PADD I)（千桶） || 库存</t>
  </si>
  <si>
    <t>中西部重整汽油调和乙醇后库存 (PADD II)（千桶） || 库存</t>
  </si>
  <si>
    <t>墨西哥湾沿岸重整汽油调和乙醇后库存 (PADD III)（千桶） || 库存</t>
  </si>
  <si>
    <t>落基山重整汽油调和乙醇后库存（PADD IV）（千桶） || 库存</t>
  </si>
  <si>
    <t>西海岸重整汽油调和乙醇后库存（PADD V）（千桶） || 库存</t>
  </si>
  <si>
    <t>美国其它重整汽油库存（千桶） || 库存</t>
  </si>
  <si>
    <t>东海岸其它重整汽油库存 (PADD I)（千桶） || 库存</t>
  </si>
  <si>
    <t>中西部其它重整汽油库存 (PADD II)（千桶） || 库存</t>
  </si>
  <si>
    <t>墨西哥湾沿岸其它重整汽油库存 (PADD III)（千桶） || 库存</t>
  </si>
  <si>
    <t>落基山其它重整汽油库存（PADD IV）（千桶） || 库存</t>
  </si>
  <si>
    <t>西海岸其它重整汽油库存（PADD V）（千桶） || 库存</t>
  </si>
  <si>
    <t>美国常规汽油库存（千桶） || 库存</t>
  </si>
  <si>
    <t>东海岸常规汽油库存 (PADD I)（千桶） || 库存</t>
  </si>
  <si>
    <t>中西部常规汽油库存 (PADD II)（千桶） || 库存</t>
  </si>
  <si>
    <t>墨西哥湾沿岸常规汽油库存 (PADD III)（千桶） || 库存</t>
  </si>
  <si>
    <t>落基山常规汽油库存（PADD IV）（千桶） || 库存</t>
  </si>
  <si>
    <t>西海岸常规汽油库存（PADD V）（千桶） || 库存</t>
  </si>
  <si>
    <t>美国混合乙醇的常规汽油库存（千桶） || 库存</t>
  </si>
  <si>
    <t>东海岸混合乙醇的常规汽油库存 (PADD I)（千桶） || 库存</t>
  </si>
  <si>
    <t>中西部混合乙醇的常规汽油库存 (PADD II)（千桶） || 库存</t>
  </si>
  <si>
    <t>墨西哥湾沿岸混合乙醇的常规汽油库存 (PADD III)（千桶） || 库存</t>
  </si>
  <si>
    <t>落基山混合乙醇的常规汽油库存（PADD IV）（千桶） || 库存</t>
  </si>
  <si>
    <t>西海岸混合乙醇的常规汽油库存（PADD V）（千桶） || 库存</t>
  </si>
  <si>
    <t>美国Ed55及以下的常规汽油库存（千桶） || 库存</t>
  </si>
  <si>
    <t>东海岸Ed55及以下的常规汽油库存 (PADD I)（千桶） || 库存</t>
  </si>
  <si>
    <t>中西部Ed55及以下的常规汽油库存 (PADD II)（千桶） || 库存</t>
  </si>
  <si>
    <t>墨西哥湾沿岸Ed55及以下的常规汽油库存 (PADD III)（千桶） || 库存</t>
  </si>
  <si>
    <t>落基山Ed55及以下的常规汽油库存（PADD IV）（千桶） || 库存</t>
  </si>
  <si>
    <t>西海岸Ed55及以下的常规汽油库存（PADD V）（千桶） || 库存</t>
  </si>
  <si>
    <t>美国大于Ed55的常规汽油库存（千桶） || 库存</t>
  </si>
  <si>
    <t>东海岸大于Ed55的常规汽油库存 (PADD I)（千桶） || 库存</t>
  </si>
  <si>
    <t>中西部大于Ed55的常规汽油库存 (PADD II)（千桶） || 库存</t>
  </si>
  <si>
    <t>墨西哥湾沿岸大于Ed55的常规汽油库存 (PADD III)（千桶） || 库存</t>
  </si>
  <si>
    <t>落基山大于Ed55的常规汽油库存（PADD IV）（千桶） || 库存</t>
  </si>
  <si>
    <t>西海岸大于Ed55的常规汽油库存（PADD V）（千桶） || 库存</t>
  </si>
  <si>
    <t>美国其它常规汽油库存（千桶） || 库存</t>
  </si>
  <si>
    <t>东海岸其它常规汽油库存 (PADD I)（千桶） || 库存</t>
  </si>
  <si>
    <t>中西部其它常规汽油库存 (PADD II)（千桶） || 库存</t>
  </si>
  <si>
    <t>墨西哥湾沿岸其它常规汽油库存 (PADD III)（千桶） || 库存</t>
  </si>
  <si>
    <t>落基山其它常规汽油库存（PADD IV）（千桶） || 库存</t>
  </si>
  <si>
    <t>西海岸其它常规汽油库存（PADD V）（千桶） || 库存</t>
  </si>
  <si>
    <t>美国汽油调油组分库存（千桶） || 库存</t>
  </si>
  <si>
    <t>东海岸汽油调油组分库存 (PADD I)（千桶） || 库存</t>
  </si>
  <si>
    <t>中西部汽油调油组分库存 (PADD II)（千桶） || 库存</t>
  </si>
  <si>
    <t>墨西哥湾沿岸汽油调油组分库存 (PADD III)（千桶） || 库存</t>
  </si>
  <si>
    <t>落基山汽油调油组分库存（PADD IV）（千桶） || 库存</t>
  </si>
  <si>
    <t>西海岸汽油调油组分库存（PADD V）（千桶） || 库存</t>
  </si>
  <si>
    <t>美国RBOB库存（千桶） || 库存</t>
  </si>
  <si>
    <t>东海岸RBOB库存 (PADD I)（千桶） || 库存</t>
  </si>
  <si>
    <t>中西部RBOB库存 (PADD II)（千桶） || 库存</t>
  </si>
  <si>
    <t>墨西哥湾沿岸RBOB库存 (PADD III)（千桶） || 库存</t>
  </si>
  <si>
    <t>落基山RBOB库存（PADD IV）（千桶） || 库存</t>
  </si>
  <si>
    <t>西海岸RBOB库存（PADD V）（千桶） || 库存</t>
  </si>
  <si>
    <t>美国CBOB库存（千桶） || 库存</t>
  </si>
  <si>
    <t>东海岸CBOB库存 (PADD I)（千桶） || 库存</t>
  </si>
  <si>
    <t>中西部CBOB库存 (PADD II)（千桶） || 库存</t>
  </si>
  <si>
    <t>墨西哥湾沿岸CBOB库存 (PADD III)（千桶） || 库存</t>
  </si>
  <si>
    <t>落基山CBOB库存（PADD IV）（千桶） || 库存</t>
  </si>
  <si>
    <t>西海岸CBOB库存（PADD V）（千桶） || 库存</t>
  </si>
  <si>
    <t>美国GTAB库存（千桶） || 库存</t>
  </si>
  <si>
    <t>东海岸GTAB库存 (PADD I)（千桶） || 库存</t>
  </si>
  <si>
    <t>中西部GTAB库存 (PADD II)（千桶） || 库存</t>
  </si>
  <si>
    <t>墨西哥湾沿岸GTAB库存 (PADD III)（千桶） || 库存</t>
  </si>
  <si>
    <t>落基山GTAB库存（PADD IV）（千桶） || 库存</t>
  </si>
  <si>
    <t>西海岸GTAB库存（PADD V）（千桶） || 库存</t>
  </si>
  <si>
    <t>美国其它调油组分库存（千桶） || 库存</t>
  </si>
  <si>
    <t>东海岸其它调油组分库存 (PADD I)（千桶） || 库存</t>
  </si>
  <si>
    <t>中西部其它调油组分库存 (PADD II)（千桶） || 库存</t>
  </si>
  <si>
    <t>墨西哥湾沿岸其它调油组分库存 (PADD III)（千桶） || 库存</t>
  </si>
  <si>
    <t>落基山其它调油组分库存（PADD IV）（千桶） || 库存</t>
  </si>
  <si>
    <t>西海岸其它调油组分库存（PADD V）（千桶） || 库存</t>
  </si>
  <si>
    <t>美国燃料乙醇库存（千桶） || 库存</t>
  </si>
  <si>
    <t>东海岸燃料乙醇库存 (PADD I)（千桶） || 库存</t>
  </si>
  <si>
    <t>中西部燃料乙醇库存 (PADD II)（千桶） || 库存</t>
  </si>
  <si>
    <t>墨西哥湾沿岸燃料乙醇库存 (PADD III)（千桶） || 库存</t>
  </si>
  <si>
    <t>落基山燃料乙醇库存（PADD IV）（千桶） || 库存</t>
  </si>
  <si>
    <t>西海岸燃料乙醇库存（PADD V）（千桶） || 库存</t>
  </si>
  <si>
    <t>美国航空煤油库存（千桶） || 库存</t>
  </si>
  <si>
    <t>东海岸航空煤油库存 (PADD I)（千桶） || 库存</t>
  </si>
  <si>
    <t>中西部航空煤油库存 (PADD II)（千桶） || 库存</t>
  </si>
  <si>
    <t>墨西哥湾沿岸航空煤油库存 (PADD III)（千桶） || 库存</t>
  </si>
  <si>
    <t>落基山航空煤油库存（PADD IV）（千桶） || 库存</t>
  </si>
  <si>
    <t>西海岸航空煤油库存（PADD V）（千桶） || 库存</t>
  </si>
  <si>
    <t>美国馏分油库存（千桶） || 库存</t>
  </si>
  <si>
    <t>东海岸馏分油库存 (PADD I)（千桶） || 库存</t>
  </si>
  <si>
    <t>新英格兰馏分油库存（PADD IA)（千桶） || 库存</t>
  </si>
  <si>
    <t>中大西洋馏分油库存（PADD IB）（千桶） || 库存</t>
  </si>
  <si>
    <t>大西洋南部馏分油库存 (PADD IC)（千桶） || 库存</t>
  </si>
  <si>
    <t>中西部馏分油库存 (PADD II)（千桶） || 库存</t>
  </si>
  <si>
    <t>墨西哥湾沿岸馏分油库存 (PADD III)（千桶） || 库存</t>
  </si>
  <si>
    <t>落基山馏分油库存（PADD IV）（千桶） || 库存</t>
  </si>
  <si>
    <t>西海岸馏分油库存（PADD V）（千桶） || 库存</t>
  </si>
  <si>
    <t>美国15PPM及以下含硫率馏分油库存（千桶） || 库存</t>
  </si>
  <si>
    <t>东海岸15PPM及以下含硫率馏分油库存 (PADD I)（千桶） || 库存</t>
  </si>
  <si>
    <t>新英格兰15PPM及以下含硫率馏分油库存（PADD IA)（千桶） || 库存</t>
  </si>
  <si>
    <t>中大西洋15PPM及以下含硫率馏分油库存（PADD IB）（千桶） || 库存</t>
  </si>
  <si>
    <t>大西洋南部15PPM及以下含硫率馏分油库存 (PADD IC)（千桶） || 库存</t>
  </si>
  <si>
    <t>中西部15PPM及以下含硫率馏分油库存 (PADD II)（千桶） || 库存</t>
  </si>
  <si>
    <t>墨西哥湾沿岸15PPM及以下含硫率馏分油库存 (PADD III)（千桶） || 库存</t>
  </si>
  <si>
    <t>落基山15PPM及以下含硫率馏分油库存（PADD IV）（千桶） || 库存</t>
  </si>
  <si>
    <t>西海岸15PPM及以下含硫率馏分油库存（PADD V）（千桶） || 库存</t>
  </si>
  <si>
    <t>美国&gt;15PPM至500PPM含硫率馏分油库存（千桶） || 库存</t>
  </si>
  <si>
    <t>东海岸&gt;15PPM至500PPM含硫率馏分油库存 (PADD I)（千桶） || 库存</t>
  </si>
  <si>
    <t>新英格兰&gt;15PPM至500PPM含硫率馏分油库存（PADD IA)（千桶） || 库存</t>
  </si>
  <si>
    <t>中大西洋&gt;15PPM至500PPM含硫率馏分油库存（PADD IB）（千桶） || 库存</t>
  </si>
  <si>
    <t>大西洋南部&gt;15PPM至500PPM含硫率馏分油库存 (PADD IC)（千桶） || 库存</t>
  </si>
  <si>
    <t>中西部&gt;15PPM至500PPM含硫率馏分油库存 (PADD II)（千桶） || 库存</t>
  </si>
  <si>
    <t>墨西哥湾沿岸&gt;15PPM至500PPM含硫率馏分油库存 (PADD III)（千桶） || 库存</t>
  </si>
  <si>
    <t>落基山&gt;15PPM至500PPM含硫率馏分油库存（PADD IV）（千桶） || 库存</t>
  </si>
  <si>
    <t>西海岸&gt;15PPM至500PPM含硫率馏分油库存（PADD V）（千桶） || 库存</t>
  </si>
  <si>
    <t>美国&gt;500PPM含硫率馏分油库存（千桶） || 库存</t>
  </si>
  <si>
    <t>东海岸&gt;500PPM含硫率馏分油库存 (PADD I)（千桶） || 库存</t>
  </si>
  <si>
    <t>新英格兰&gt;500PPM含硫率馏分油库存（PADD IA)（千桶） || 库存</t>
  </si>
  <si>
    <t>中大西洋&gt;500PPM含硫率馏分油库存（PADD IB）（千桶） || 库存</t>
  </si>
  <si>
    <t>大西洋南部&gt;500PPM含硫率馏分油库存 (PADD IC)（千桶） || 库存</t>
  </si>
  <si>
    <t>中西部&gt;500PPM含硫率馏分油库存 (PADD II)（千桶） || 库存</t>
  </si>
  <si>
    <t>墨西哥湾沿岸&gt;500PPM含硫率馏分油库存 (PADD III)（千桶） || 库存</t>
  </si>
  <si>
    <t>落基山&gt;500PPM含硫率馏分油库存（PADD IV）（千桶） || 库存</t>
  </si>
  <si>
    <t>西海岸&gt;500PPM含硫率馏分油库存（PADD V）（千桶） || 库存</t>
  </si>
  <si>
    <t>美国燃料油库存（千桶） || 库存</t>
  </si>
  <si>
    <t>东海岸燃料油库存 (PADD I)（千桶） || 库存</t>
  </si>
  <si>
    <t>新英格兰燃料油库存（PADD IA)（千桶） || 库存</t>
  </si>
  <si>
    <t>中大西洋燃料油库存（PADD IB）（千桶） || 库存</t>
  </si>
  <si>
    <t>大西洋南部燃料油库存 (PADD IC)（千桶） || 库存</t>
  </si>
  <si>
    <t>中西部燃料油库存 (PADD II)（千桶） || 库存</t>
  </si>
  <si>
    <t>墨西哥湾沿岸燃料油库存 (PADD III)（千桶） || 库存</t>
  </si>
  <si>
    <t>落基山燃料油库存（PADD IV）（千桶） || 库存</t>
  </si>
  <si>
    <t>西海岸燃料油库存（PADD V）（千桶） || 库存</t>
  </si>
  <si>
    <t>美国丙烷/丙烯库存（千桶） || 库存</t>
  </si>
  <si>
    <t>东海岸丙烷/丙烯库存 (PADD I)（千桶） || 库存</t>
  </si>
  <si>
    <t>新英格兰丙烷/丙烯库存（PADD IA)（千桶） || 库存</t>
  </si>
  <si>
    <t>中大西洋丙烷/丙烯库存（PADD IB）（千桶） || 库存</t>
  </si>
  <si>
    <t>大西洋南部丙烷/丙烯库存 (PADD IC)（千桶） || 库存</t>
  </si>
  <si>
    <t>中西部丙烷/丙烯库存 (PADD II)（千桶） || 库存</t>
  </si>
  <si>
    <t>墨西哥湾沿岸丙烷/丙烯库存 (PADD III)（千桶） || 库存</t>
  </si>
  <si>
    <t>PADDs IV与V丙烷/丙烯库存（千桶） || 库存</t>
  </si>
  <si>
    <t>美国丙烯（总美国非燃料使用）库存（千桶） || 库存</t>
  </si>
  <si>
    <t>美国其他油品库存（千桶） || 库存</t>
  </si>
  <si>
    <t>美国半成品油库存（千桶） || 库存</t>
  </si>
  <si>
    <t>美国煤油（非航空）库存（千桶） || 库存</t>
  </si>
  <si>
    <t>美国柏油/沥青库存（千桶） || 库存</t>
  </si>
  <si>
    <t>美国NGPL/LRG（不包括丙烷/丙烯）库存（千桶） || 库存</t>
  </si>
  <si>
    <t>美国石油+成品油总库存（不含SPR）（千桶） || 库存</t>
  </si>
  <si>
    <t>美国石油+成品油总库存（含SPR）（千桶） || 库存</t>
  </si>
  <si>
    <t>美国原油（含SPR）进口（千桶/天） || 进口</t>
  </si>
  <si>
    <t>美国商业原油进口（千桶/天） || 进口</t>
  </si>
  <si>
    <t>东海岸商业原油进口 (PADD I)（千桶/天） || 进口</t>
  </si>
  <si>
    <t>中西部商业原油进口 (PADD II)（千桶/天） || 进口</t>
  </si>
  <si>
    <t>墨西哥湾沿岸商业原油进口 (PADD III)（千桶/天） || 进口</t>
  </si>
  <si>
    <t>落基山商业原油进口（PADD IV）（千桶/天） || 进口</t>
  </si>
  <si>
    <t>西海岸商业原油进口（PADD V）（千桶/天） || 进口</t>
  </si>
  <si>
    <t>美国战略储备原油进口（千桶/天） || 进口</t>
  </si>
  <si>
    <t>美国由他方进口至SPR量（千桶/天） || 进口</t>
  </si>
  <si>
    <t>美国汽油进口（千桶/天） || 进口</t>
  </si>
  <si>
    <t>东海岸汽油进口 (PADD I)（千桶/天） || 进口</t>
  </si>
  <si>
    <t>中西部汽油进口 (PADD II)（千桶/天） || 进口</t>
  </si>
  <si>
    <t>墨西哥湾沿岸汽油进口 (PADD III)（千桶/天） || 进口</t>
  </si>
  <si>
    <t>落基山汽油进口（PADD IV）（千桶/天） || 进口</t>
  </si>
  <si>
    <t>西海岸汽油进口（PADD V）（千桶/天） || 进口</t>
  </si>
  <si>
    <t>美国成品车用汽油进口（千桶/天） || 进口</t>
  </si>
  <si>
    <t>东海岸成品车用汽油进口 (PADD I)（千桶/天） || 进口</t>
  </si>
  <si>
    <t>中西部成品车用汽油进口 (PADD II)（千桶/天） || 进口</t>
  </si>
  <si>
    <t>墨西哥湾沿岸成品车用汽油进口 (PADD III)（千桶/天） || 进口</t>
  </si>
  <si>
    <t>落基山成品车用汽油进口（PADD IV）（千桶/天） || 进口</t>
  </si>
  <si>
    <t>西海岸成品车用汽油进口（PADD V）（千桶/天） || 进口</t>
  </si>
  <si>
    <t>美国重整汽油进口（千桶/天） || 进口</t>
  </si>
  <si>
    <t>东海岸重整汽油进口 (PADD I)（千桶/天） || 进口</t>
  </si>
  <si>
    <t>中西部重整汽油进口 (PADD II)（千桶/天） || 进口</t>
  </si>
  <si>
    <t>墨西哥湾沿岸重整汽油进口 (PADD III)（千桶/天） || 进口</t>
  </si>
  <si>
    <t>落基山重整汽油进口（PADD IV）（千桶/天） || 进口</t>
  </si>
  <si>
    <t>西海岸重整汽油进口（PADD V）（千桶/天） || 进口</t>
  </si>
  <si>
    <t>美国混合燃料乙醇的重整汽油进口（千桶/天） || 进口</t>
  </si>
  <si>
    <t>东海岸混合燃料乙醇的重整汽油进口 (PADD I)（千桶/天） || 进口</t>
  </si>
  <si>
    <t>中西部混合燃料乙醇的重整汽油进口 (PADD II)（千桶/天） || 进口</t>
  </si>
  <si>
    <t>墨西哥湾沿岸混合燃料乙醇的重整汽油进口 (PADD III)（千桶/天） || 进口</t>
  </si>
  <si>
    <t>落基山混合燃料乙醇的重整汽油进口（PADD IV）（千桶/天） || 进口</t>
  </si>
  <si>
    <t>西海岸混合燃料乙醇的重整汽油进口（PADD V）（千桶/天） || 进口</t>
  </si>
  <si>
    <t>美国其它重整汽油进口（千桶/天） || 进口</t>
  </si>
  <si>
    <t>东海岸其它重整汽油进口 (PADD I)（千桶/天） || 进口</t>
  </si>
  <si>
    <t>中西部其它重整汽油进口 (PADD II)（千桶/天） || 进口</t>
  </si>
  <si>
    <t>墨西哥湾沿岸其它重整汽油进口 (PADD III)（千桶/天） || 进口</t>
  </si>
  <si>
    <t>落基山其它重整汽油进口（PADD IV）（千桶/天） || 进口</t>
  </si>
  <si>
    <t>西海岸其它重整汽油进口（PADD V）（千桶/天） || 进口</t>
  </si>
  <si>
    <t>美国常规汽油进口（千桶/天） || 进口</t>
  </si>
  <si>
    <t>东海岸常规汽油进口 (PADD I)（千桶/天） || 进口</t>
  </si>
  <si>
    <t>中西部常规汽油进口 (PADD II)（千桶/天） || 进口</t>
  </si>
  <si>
    <t>墨西哥湾沿岸常规汽油进口 (PADD III)（千桶/天） || 进口</t>
  </si>
  <si>
    <t>落基山常规汽油进口（PADD IV）（千桶/天） || 进口</t>
  </si>
  <si>
    <t>西海岸常规汽油进口（PADD V）（千桶/天） || 进口</t>
  </si>
  <si>
    <t>美国混合燃料乙醇的常规汽油进口（千桶/天） || 进口</t>
  </si>
  <si>
    <t>东海岸混合燃料乙醇的常规汽油进口 (PADD I)（千桶/天） || 进口</t>
  </si>
  <si>
    <t>中西部混合燃料乙醇的常规汽油进口 (PADD II)（千桶/天） || 进口</t>
  </si>
  <si>
    <t>墨西哥湾沿岸混合燃料乙醇的常规汽油进口 (PADD III)（千桶/天） || 进口</t>
  </si>
  <si>
    <t>落基山混合燃料乙醇的常规汽油进口（PADD IV）（千桶/天） || 进口</t>
  </si>
  <si>
    <t>西海岸混合燃料乙醇的常规汽油进口（PADD V）（千桶/天） || 进口</t>
  </si>
  <si>
    <t>美国Ed55及以下的常规汽油进口（千桶/天） || 进口</t>
  </si>
  <si>
    <t>东海岸Ed55及以下的常规汽油进口 (PADD I)（千桶/天） || 进口</t>
  </si>
  <si>
    <t>中西部Ed55及以下的常规汽油进口 (PADD II)（千桶/天） || 进口</t>
  </si>
  <si>
    <t>墨西哥湾沿岸Ed55及以下的常规汽油进口 (PADD III)（千桶/天） || 进口</t>
  </si>
  <si>
    <t>落基山Ed55及以下的常规汽油进口（PADD IV）（千桶/天） || 进口</t>
  </si>
  <si>
    <t>西海岸Ed55及以下的常规汽油进口（PADD V）（千桶/天） || 进口</t>
  </si>
  <si>
    <t>美国大于Ed55的常规汽油进口（千桶/天） || 进口</t>
  </si>
  <si>
    <t>东海岸大于Ed55的常规汽油进口 (PADD I)（千桶/天） || 进口</t>
  </si>
  <si>
    <t>中西部大于Ed55的常规汽油进口 (PADD II)（千桶/天） || 进口</t>
  </si>
  <si>
    <t>墨西哥湾沿岸大于Ed55的常规汽油进口 (PADD III)（千桶/天） || 进口</t>
  </si>
  <si>
    <t>落基山大于Ed55的常规汽油进口（PADD IV）（千桶/天） || 进口</t>
  </si>
  <si>
    <t>西海岸大于Ed55的常规汽油进口（PADD V）（千桶/天） || 进口</t>
  </si>
  <si>
    <t>美国其它常规汽油进口（千桶/天） || 进口</t>
  </si>
  <si>
    <t>东海岸其它常规汽油进口 (PADD I)（千桶/天） || 进口</t>
  </si>
  <si>
    <t>中西部其它常规汽油进口 (PADD II)（千桶/天） || 进口</t>
  </si>
  <si>
    <t>墨西哥湾沿岸其它常规汽油进口 (PADD III)（千桶/天） || 进口</t>
  </si>
  <si>
    <t>落基山其它常规汽油进口（PADD IV）（千桶/天） || 进口</t>
  </si>
  <si>
    <t>西海岸其它常规汽油进口（PADD V）（千桶/天） || 进口</t>
  </si>
  <si>
    <t>美国汽油调油组分进口（千桶/天） || 进口</t>
  </si>
  <si>
    <t>东海岸汽油调油组分进口 (PADD I)（千桶/天） || 进口</t>
  </si>
  <si>
    <t>中西部汽油调油组分进口 (PADD II)（千桶/天） || 进口</t>
  </si>
  <si>
    <t>墨西哥湾沿岸汽油调油组分进口 (PADD III)（千桶/天） || 进口</t>
  </si>
  <si>
    <t>落基山汽油调油组分进口（PADD IV）（千桶/天） || 进口</t>
  </si>
  <si>
    <t>西海岸汽油调油组分进口（PADD V）（千桶/天） || 进口</t>
  </si>
  <si>
    <t>美国RBOB调油组分进口（千桶/天） || 进口</t>
  </si>
  <si>
    <t>东海岸RBOB调油组分进口 (PADD I)（千桶/天） || 进口</t>
  </si>
  <si>
    <t>中西部RBOB调油组分进口 (PADD II)（千桶/天） || 进口</t>
  </si>
  <si>
    <t>墨西哥湾沿岸RBOB调油组分进口 (PADD III)（千桶/天） || 进口</t>
  </si>
  <si>
    <t>落基山RBOB调油组分进口（PADD IV）（千桶/天） || 进口</t>
  </si>
  <si>
    <t>西海岸RBOB调油组分进口（PADD V）（千桶/天） || 进口</t>
  </si>
  <si>
    <t>美国CBOB调油组分进口（千桶/天） || 进口</t>
  </si>
  <si>
    <t>东海岸CBOB调油组分进口 (PADD I)（千桶/天） || 进口</t>
  </si>
  <si>
    <t>中西部CBOB调油组分进口 (PADD II)（千桶/天） || 进口</t>
  </si>
  <si>
    <t>墨西哥湾沿岸CBOB调油组分进口 (PADD III)（千桶/天） || 进口</t>
  </si>
  <si>
    <t>落基山CBOB调油组分进口（PADD IV）（千桶/天） || 进口</t>
  </si>
  <si>
    <t>西海岸CBOB调油组分进口（PADD V）（千桶/天） || 进口</t>
  </si>
  <si>
    <t>美国GTAB调油组分进口（千桶/天） || 进口</t>
  </si>
  <si>
    <t>东海岸GTAB调油组分进口 (PADD I)（千桶/天） || 进口</t>
  </si>
  <si>
    <t>中西部GTAB调油组分进口 (PADD II)（千桶/天） || 进口</t>
  </si>
  <si>
    <t>墨西哥湾沿岸GTAB调油组分进口 (PADD III)（千桶/天） || 进口</t>
  </si>
  <si>
    <t>落基山GTAB调油组分进口（PADD IV）（千桶/天） || 进口</t>
  </si>
  <si>
    <t>西海岸GTAB调油组分进口（PADD V）（千桶/天） || 进口</t>
  </si>
  <si>
    <t>美国所有其他汽油调油组分进口（千桶/天） || 进口</t>
  </si>
  <si>
    <t>东海岸所有其他汽油调油组分进口 (PADD I)（千桶/天） || 进口</t>
  </si>
  <si>
    <t>中西部所有其他汽油调油组分进口 (PADD II)（千桶/天） || 进口</t>
  </si>
  <si>
    <t>墨西哥湾沿岸所有其他汽油调油组分进口 (PADD III)（千桶/天） || 进口</t>
  </si>
  <si>
    <t>落基山所有其他汽油调油组分进口（PADD IV）（千桶/天） || 进口</t>
  </si>
  <si>
    <t>西海岸所有其他汽油调油组分进口（PADD V）（千桶/天） || 进口</t>
  </si>
  <si>
    <t>美国燃料乙醇进口（千桶/天） || 进口</t>
  </si>
  <si>
    <t>东海岸燃料乙醇进口 (PADD I)（千桶/天） || 进口</t>
  </si>
  <si>
    <t>中西部燃料乙醇进口 (PADD II)（千桶/天） || 进口</t>
  </si>
  <si>
    <t>墨西哥湾沿岸燃料乙醇进口 (PADD III)（千桶/天） || 进口</t>
  </si>
  <si>
    <t>落基山燃料乙醇进口（PADD IV）（千桶/天） || 进口</t>
  </si>
  <si>
    <t>西海岸燃料乙醇进口（PADD V）（千桶/天） || 进口</t>
  </si>
  <si>
    <t>美国航空煤油进口（千桶/天） || 进口</t>
  </si>
  <si>
    <t>东海岸航空煤油进口 (PADD I)（千桶/天） || 进口</t>
  </si>
  <si>
    <t>中西部航空煤油进口 (PADD II)（千桶/天） || 进口</t>
  </si>
  <si>
    <t>墨西哥湾沿岸航空煤油进口 (PADD III)（千桶/天） || 进口</t>
  </si>
  <si>
    <t>落基山航空煤油进口（PADD IV）（千桶/天） || 进口</t>
  </si>
  <si>
    <t>西海岸航空煤油进口（PADD V）（千桶/天） || 进口</t>
  </si>
  <si>
    <t>美国馏分油进口（千桶/天） || 进口</t>
  </si>
  <si>
    <t>东海岸馏分油进口 (PADD I)（千桶/天） || 进口</t>
  </si>
  <si>
    <t>中西部馏分油进口 (PADD II)（千桶/天） || 进口</t>
  </si>
  <si>
    <t>墨西哥湾沿岸馏分油进口 (PADD III)（千桶/天） || 进口</t>
  </si>
  <si>
    <t>落基山馏分油进口（PADD IV）（千桶/天） || 进口</t>
  </si>
  <si>
    <t>西海岸馏分油进口（PADD V）（千桶/天） || 进口</t>
  </si>
  <si>
    <t>美国15PPM及以下含硫率馏分油进口（千桶/天） || 进口</t>
  </si>
  <si>
    <t>东海岸15PPM及以下含硫率馏分油进口 (PADD I)（千桶/天） || 进口</t>
  </si>
  <si>
    <t>中西部15PPM及以下含硫率馏分油进口 (PADD II)（千桶/天） || 进口</t>
  </si>
  <si>
    <t>墨西哥湾沿岸15PPM及以下含硫率馏分油进口 (PADD III)（千桶/天） || 进口</t>
  </si>
  <si>
    <t>落基山15PPM及以下含硫率馏分油进口（PADD IV）（千桶/天） || 进口</t>
  </si>
  <si>
    <t>西海岸15PPM及以下含硫率馏分油进口（PADD V）（千桶/天） || 进口</t>
  </si>
  <si>
    <t>美国&gt;15PPM至500PPM含硫率馏分油进口（千桶/天） || 进口</t>
  </si>
  <si>
    <t>东海岸&gt;15PPM至500PPM含硫率馏分油进口 (PADD I)（千桶/天） || 进口</t>
  </si>
  <si>
    <t>中西部&gt;15PPM至500PPM含硫率馏分油进口 (PADD II)（千桶/天） || 进口</t>
  </si>
  <si>
    <t>墨西哥湾沿岸&gt;15PPM至500PPM含硫率馏分油进口 (PADD III)（千桶/天） || 进口</t>
  </si>
  <si>
    <t>落基山&gt;15PPM至500PPM含硫率馏分油进口（PADD IV）（千桶/天） || 进口</t>
  </si>
  <si>
    <t>西海岸&gt;15PPM至500PPM含硫率馏分油进口（PADD V）（千桶/天） || 进口</t>
  </si>
  <si>
    <t>美国&gt;500PPM至2000PPM含硫率馏分油进口（千桶/天） || 进口</t>
  </si>
  <si>
    <t>东海岸&gt;500PPM至2000PPM含硫率馏分油进口 (PADD I)（千桶/天） || 进口</t>
  </si>
  <si>
    <t>中西部&gt;500PPM至2000PPM含硫率馏分油进口 (PADD II)（千桶/天） || 进口</t>
  </si>
  <si>
    <t>墨西哥湾沿岸&gt;500PPM至2000PPM含硫率馏分油进口 (PADD III)（千桶/天） || 进口</t>
  </si>
  <si>
    <t>落基山&gt;500PPM至2000PPM含硫率馏分油进口（PADD IV）（千桶/天） || 进口</t>
  </si>
  <si>
    <t>西海岸&gt;500PPM至2000PPM含硫率馏分油进口（PADD V）（千桶/天） || 进口</t>
  </si>
  <si>
    <t>美国&gt;2000PPM含硫率馏分油进口（千桶/天） || 进口</t>
  </si>
  <si>
    <t>东海岸&gt;2000PPM含硫率馏分油进口 (PADD I)（千桶/天） || 进口</t>
  </si>
  <si>
    <t>中西部&gt;2000PPM含硫率馏分油进口 (PADD II)（千桶/天） || 进口</t>
  </si>
  <si>
    <t>墨西哥湾沿岸&gt;2000PPM含硫率馏分油进口 (PADD III)（千桶/天） || 进口</t>
  </si>
  <si>
    <t>落基山&gt;2000PPM含硫率馏分油进口（PADD IV）（千桶/天） || 进口</t>
  </si>
  <si>
    <t>西海岸&gt;2000PPM含硫率馏分油进口（PADD V）（千桶/天） || 进口</t>
  </si>
  <si>
    <t>美国燃料油进口（千桶/天） || 进口</t>
  </si>
  <si>
    <t>东海岸燃料油进口 (PADD I)（千桶/天） || 进口</t>
  </si>
  <si>
    <t>中西部燃料油进口 (PADD II)（千桶/天） || 进口</t>
  </si>
  <si>
    <t>墨西哥湾沿岸燃料油进口 (PADD III)（千桶/天） || 进口</t>
  </si>
  <si>
    <t>落基山燃料油进口（PADD IV）（千桶/天） || 进口</t>
  </si>
  <si>
    <t>西海岸燃料油进口（PADD V）（千桶/天） || 进口</t>
  </si>
  <si>
    <t>美国丙烷/丙烯进口（千桶/天） || 进口</t>
  </si>
  <si>
    <t>东海岸丙烷/丙烯进口 (PADD I)（千桶/天） || 进口</t>
  </si>
  <si>
    <t>中西部丙烷/丙烯进口 (PADD II)（千桶/天） || 进口</t>
  </si>
  <si>
    <t>墨西哥湾沿岸丙烷/丙烯进口 (PADD III)（千桶/天） || 进口</t>
  </si>
  <si>
    <t>PADDs IV与V丙烷/丙烯进口（千桶/天） || 进口</t>
  </si>
  <si>
    <t>美国其他油品进口（千桶/天） || 进口</t>
  </si>
  <si>
    <t>东海岸其他油品进口 (PADD I)（千桶/天） || 进口</t>
  </si>
  <si>
    <t>中西部其他油品进口 (PADD II)（千桶/天） || 进口</t>
  </si>
  <si>
    <t>墨西哥湾沿岸其他油品进口 (PADD III)（千桶/天） || 进口</t>
  </si>
  <si>
    <t>落基山其他油品进口（PADD IV）（千桶/天） || 进口</t>
  </si>
  <si>
    <t>西海岸其他油品进口（PADD V）（千桶/天） || 进口</t>
  </si>
  <si>
    <t>美国煤油进口（非航空）（千桶/天） || 进口</t>
  </si>
  <si>
    <t>NGPL/LRG（不包括丙烷/丙烯）（千桶/天） || 进口</t>
  </si>
  <si>
    <t>美国成品油进口总量（千桶/天） || 进口</t>
  </si>
  <si>
    <t>东海岸成品油进口总量 (PADD I)（千桶/天） || 进口</t>
  </si>
  <si>
    <t>中西部成品油进口总量 (PADD II)（千桶/天） || 进口</t>
  </si>
  <si>
    <t>墨西哥湾沿岸成品油进口总量 (PADD III)（千桶/天） || 进口</t>
  </si>
  <si>
    <t>落基山（PADD IV）成品油进口总量（千桶/天） || 进口</t>
  </si>
  <si>
    <t>西海岸（PADD V）成品油进口总量（千桶/天） || 进口</t>
  </si>
  <si>
    <t>美国石油+成品油进口（含SPR）（千桶/天） || 进口</t>
  </si>
  <si>
    <t>东海岸石油+成品油进口 (PADD I)（千桶/天） || 进口</t>
  </si>
  <si>
    <t>中西部石油+成品油进口 (PADD II)（千桶/天） || 进口</t>
  </si>
  <si>
    <t>墨西哥湾沿岸石油+成品油进口 (PADD III)（千桶/天） || 进口</t>
  </si>
  <si>
    <t>落基山石油+成品油进口（PADD IV）（千桶/天） || 进口</t>
  </si>
  <si>
    <t>西海岸石油+成品油进口（PADD V）（千桶/天） || 进口</t>
  </si>
  <si>
    <t>美国石油+成品总出口（千桶/天） || 出口</t>
  </si>
  <si>
    <t>美国原油出口（千桶/天） || 出口</t>
  </si>
  <si>
    <t>美国成品油出口（千桶/天） || 出口</t>
  </si>
  <si>
    <t>美国成品汽油出口（千桶/天） || 出口</t>
  </si>
  <si>
    <t>美国航空煤油出口（千桶/天） || 出口</t>
  </si>
  <si>
    <t>美国馏分油出口（千桶/天） || 出口</t>
  </si>
  <si>
    <t>美国燃料油出口（千桶/天） || 出口</t>
  </si>
  <si>
    <t>美国丙烷/丙烯出口（千桶/天） || 出口</t>
  </si>
  <si>
    <t>美国其它成品油出口（千桶/天） || 出口</t>
  </si>
  <si>
    <t>美国石油+成品油净进口（千桶/天） || 净进口</t>
  </si>
  <si>
    <t>美国原油净进口（千桶/天） || 净进口</t>
  </si>
  <si>
    <t>美国成品油净进口（千桶/天） || 净进口</t>
  </si>
  <si>
    <t>美国成品油总需求（千桶/天） || 需求</t>
  </si>
  <si>
    <t>美国成品汽油需求（千桶/天） || 需求</t>
  </si>
  <si>
    <t>美国航空煤油需求（千桶/天） || 需求</t>
  </si>
  <si>
    <t>美国馏分油需求（千桶/天） || 需求</t>
  </si>
  <si>
    <t>美国燃料油需求（千桶/天） || 需求</t>
  </si>
  <si>
    <t>美国丙烷/丙烯需求（千桶/天） || 需求</t>
  </si>
  <si>
    <t>美国其它成品油需求（千桶/天） || 需求</t>
  </si>
  <si>
    <t>超低硫馏分油重新分类（&lt;15PPM馏分油、已下调至15至500PPM）（千桶） || 调整</t>
  </si>
  <si>
    <t>美国原油供应调整项(Unaccounted Oil)（千桶/天） || 调整</t>
  </si>
  <si>
    <t>DOETCRAK Index</t>
  </si>
  <si>
    <t>DOETCL48 Index</t>
  </si>
  <si>
    <t>DOEPCRP1 Index</t>
  </si>
  <si>
    <t>DOEPCRP2 Index</t>
  </si>
  <si>
    <t>DOEPCRP3 Index</t>
  </si>
  <si>
    <t>DOEPCRP4 Index</t>
  </si>
  <si>
    <t>DOEPCRP5 Index</t>
  </si>
  <si>
    <t>DOEPGRP1 Index</t>
  </si>
  <si>
    <t>DOEPGRP3 Index</t>
  </si>
  <si>
    <t>DOEPGRP4 Index</t>
  </si>
  <si>
    <t>DOEPGRP5 Index</t>
  </si>
  <si>
    <t>DOEPOPCP Index</t>
  </si>
  <si>
    <t>DOEPOPP1 Index</t>
  </si>
  <si>
    <t>DOEPOPP2 Index</t>
  </si>
  <si>
    <t>DOEPOPP3 Index</t>
  </si>
  <si>
    <t>DOEPOPP4 Index</t>
  </si>
  <si>
    <t>DOEPOPP5 Index</t>
  </si>
  <si>
    <t>DOEPBLNC Index</t>
  </si>
  <si>
    <t>DOEPBCP1 Index</t>
  </si>
  <si>
    <t>DOEPBCP2 Index</t>
  </si>
  <si>
    <t>DOEPBCP3 Index</t>
  </si>
  <si>
    <t>DOEPBCP4 Index</t>
  </si>
  <si>
    <t>DOEPBCP5 Index</t>
  </si>
  <si>
    <t>DOEPRBOB Index</t>
  </si>
  <si>
    <t>DOEPRBP1 Index</t>
  </si>
  <si>
    <t>DOEPRBP2 Index</t>
  </si>
  <si>
    <t>DOEPRBP3 Index</t>
  </si>
  <si>
    <t>DOEPRBP4 Index</t>
  </si>
  <si>
    <t>DOEPRBP5 Index</t>
  </si>
  <si>
    <t>DOEPCBOB Index</t>
  </si>
  <si>
    <t>DOEPCBP1 Index</t>
  </si>
  <si>
    <t>DOEPCBP2 Index</t>
  </si>
  <si>
    <t>DOEPCBP3 Index</t>
  </si>
  <si>
    <t>DOEPCBP4 Index</t>
  </si>
  <si>
    <t>DOEPCBP5 Index</t>
  </si>
  <si>
    <t>DOEPGTAB Index</t>
  </si>
  <si>
    <t>DOEPGTP1 Index</t>
  </si>
  <si>
    <t>DOEPGTP2 Index</t>
  </si>
  <si>
    <t>DOEPGTP3 Index</t>
  </si>
  <si>
    <t>DOEPGTP4 Index</t>
  </si>
  <si>
    <t>DOEPGTP5 Index</t>
  </si>
  <si>
    <t>DOEPOBLC Index</t>
  </si>
  <si>
    <t>DOEPABP1 Index</t>
  </si>
  <si>
    <t>DOEPABP2 Index</t>
  </si>
  <si>
    <t>DOEPABP3 Index</t>
  </si>
  <si>
    <t>DOEPABP4 Index</t>
  </si>
  <si>
    <t>DOEPABP5 Index</t>
  </si>
  <si>
    <t>DOEPFETH Index</t>
  </si>
  <si>
    <t>DOEPFEP1 Index</t>
  </si>
  <si>
    <t>DOEPFEP2 Index</t>
  </si>
  <si>
    <t>DOEPFEP3 Index</t>
  </si>
  <si>
    <t>DOEPFEP4 Index</t>
  </si>
  <si>
    <t>DOEPFEP5 Index</t>
  </si>
  <si>
    <t>DOETMGLA Index</t>
  </si>
  <si>
    <t>DOETMGP1 Index</t>
  </si>
  <si>
    <t>DOETMGP2 Index</t>
  </si>
  <si>
    <t>DOETMGP3 Index</t>
  </si>
  <si>
    <t>DOETMGP4 Index</t>
  </si>
  <si>
    <t>DOETMGP5 Index</t>
  </si>
  <si>
    <t>DOETGADJ Index</t>
  </si>
  <si>
    <t>DOETREFM Index</t>
  </si>
  <si>
    <t>DOETREP1 Index</t>
  </si>
  <si>
    <t>DOETREP2 Index</t>
  </si>
  <si>
    <t>DOETREP3 Index</t>
  </si>
  <si>
    <t>DOETREP4 Index</t>
  </si>
  <si>
    <t>DOETREP5 Index</t>
  </si>
  <si>
    <t>DOETREAT Index</t>
  </si>
  <si>
    <t>DOETREA1 Index</t>
  </si>
  <si>
    <t>DOETREA2 Index</t>
  </si>
  <si>
    <t>DOETREA3 Index</t>
  </si>
  <si>
    <t>DOETREA4 Index</t>
  </si>
  <si>
    <t>DOETREA5 Index</t>
  </si>
  <si>
    <t>DOETOREF Index</t>
  </si>
  <si>
    <t>DOETORP1 Index</t>
  </si>
  <si>
    <t>DOETORP2 Index</t>
  </si>
  <si>
    <t>DOETORP3 Index</t>
  </si>
  <si>
    <t>DOETORP4 Index</t>
  </si>
  <si>
    <t>DOETORP5 Index</t>
  </si>
  <si>
    <t>DOETOTHF Index</t>
  </si>
  <si>
    <t>DOETOTP1 Index</t>
  </si>
  <si>
    <t>DOETOTP2 Index</t>
  </si>
  <si>
    <t>DOETOTP3 Index</t>
  </si>
  <si>
    <t>DOETOTP4 Index</t>
  </si>
  <si>
    <t>DOETOTP5 Index</t>
  </si>
  <si>
    <t>DOETCWAT Index</t>
  </si>
  <si>
    <t>DOETCWA1 Index</t>
  </si>
  <si>
    <t>DOETCWA2 Index</t>
  </si>
  <si>
    <t>DOETCWA3 Index</t>
  </si>
  <si>
    <t>DOETCWA4 Index</t>
  </si>
  <si>
    <t>DOETCWA5 Index</t>
  </si>
  <si>
    <t>DOETE55L Index</t>
  </si>
  <si>
    <t>DOETE5P1 Index</t>
  </si>
  <si>
    <t>DOETE5P2 Index</t>
  </si>
  <si>
    <t>DOETE5P3 Index</t>
  </si>
  <si>
    <t>DOETE5P4 Index</t>
  </si>
  <si>
    <t>DOETE5P5 Index</t>
  </si>
  <si>
    <t>DOETGE55 Index</t>
  </si>
  <si>
    <t>DOETGEP1 Index</t>
  </si>
  <si>
    <t>DOETGEP2 Index</t>
  </si>
  <si>
    <t>DOETGEP3 Index</t>
  </si>
  <si>
    <t>DOETGEP4 Index</t>
  </si>
  <si>
    <t>DOETGEP5 Index</t>
  </si>
  <si>
    <t>DOETOCTL Index</t>
  </si>
  <si>
    <t>DOETOCP1 Index</t>
  </si>
  <si>
    <t>DOETOCP2 Index</t>
  </si>
  <si>
    <t>DOETOCP3 Index</t>
  </si>
  <si>
    <t>DOETOCP4 Index</t>
  </si>
  <si>
    <t>DOETOCP5 Index</t>
  </si>
  <si>
    <t>DOETKEP1 Index</t>
  </si>
  <si>
    <t>DOETKEP2 Index</t>
  </si>
  <si>
    <t>DOETKEP3 Index</t>
  </si>
  <si>
    <t>DOETKEP4 Index</t>
  </si>
  <si>
    <t>DOETKEP5 Index</t>
  </si>
  <si>
    <t>DOETCJKT Index</t>
  </si>
  <si>
    <t>DOETCKP1 Index</t>
  </si>
  <si>
    <t>DOETCKP2 Index</t>
  </si>
  <si>
    <t>DOETCKP3 Index</t>
  </si>
  <si>
    <t>DOETCKP4 Index</t>
  </si>
  <si>
    <t>DOETCKP5 Index</t>
  </si>
  <si>
    <t>DOETMJKT Index</t>
  </si>
  <si>
    <t>DOETMKP1 Index</t>
  </si>
  <si>
    <t>DOETMKP2 Index</t>
  </si>
  <si>
    <t>DOETMKP3 Index</t>
  </si>
  <si>
    <t>DOETMKP4 Index</t>
  </si>
  <si>
    <t>DOETMKP5 Index</t>
  </si>
  <si>
    <t>DOETDIP1 Index</t>
  </si>
  <si>
    <t>DOETDIP2 Index</t>
  </si>
  <si>
    <t>DOETDIP3 Index</t>
  </si>
  <si>
    <t>DOETDIP4 Index</t>
  </si>
  <si>
    <t>DOETDIP5 Index</t>
  </si>
  <si>
    <t>DOETDL15 Index</t>
  </si>
  <si>
    <t>DOETL151 Index</t>
  </si>
  <si>
    <t>DOETL152 Index</t>
  </si>
  <si>
    <t>DOETL153 Index</t>
  </si>
  <si>
    <t>DOETL154 Index</t>
  </si>
  <si>
    <t>DOETL155 Index</t>
  </si>
  <si>
    <t>DOETDG15 Index</t>
  </si>
  <si>
    <t>DOETG151 Index</t>
  </si>
  <si>
    <t>DOETG152 Index</t>
  </si>
  <si>
    <t>DOETG153 Index</t>
  </si>
  <si>
    <t>DOETG154 Index</t>
  </si>
  <si>
    <t>DOETG155 Index</t>
  </si>
  <si>
    <t>DOETDIG5 Index</t>
  </si>
  <si>
    <t>DOETDSG1 Index</t>
  </si>
  <si>
    <t>DOETDSG2 Index</t>
  </si>
  <si>
    <t>DOETDSG3 Index</t>
  </si>
  <si>
    <t>DOETDSG4 Index</t>
  </si>
  <si>
    <t>DOETDSG5 Index</t>
  </si>
  <si>
    <t>DOETRDP1 Index</t>
  </si>
  <si>
    <t>DOETRDP2 Index</t>
  </si>
  <si>
    <t>DOETRDP3 Index</t>
  </si>
  <si>
    <t>DOETRDP4 Index</t>
  </si>
  <si>
    <t>DOETRDP5 Index</t>
  </si>
  <si>
    <t>DOETPROP Index</t>
  </si>
  <si>
    <t>DOETPRP1 Index</t>
  </si>
  <si>
    <t>DOETPRP2 Index</t>
  </si>
  <si>
    <t>DOETPRP3 Index</t>
  </si>
  <si>
    <t>DOETPR45 Index</t>
  </si>
  <si>
    <t>DOETFETH Index</t>
  </si>
  <si>
    <t>DOETFEP1 Index</t>
  </si>
  <si>
    <t>DOETFEP2 Index</t>
  </si>
  <si>
    <t>DOETFEP3 Index</t>
  </si>
  <si>
    <t>DOETFEP4 Index</t>
  </si>
  <si>
    <t>DOETFEP5 Index</t>
  </si>
  <si>
    <t>DOESTCRD Index</t>
  </si>
  <si>
    <t>DOESCRAK Index</t>
  </si>
  <si>
    <t>DOESGS1A Index</t>
  </si>
  <si>
    <t>DOESGS1B Index</t>
  </si>
  <si>
    <t>DOESGS1C Index</t>
  </si>
  <si>
    <t>DOESMOGF Index</t>
  </si>
  <si>
    <t>DOESMGP1 Index</t>
  </si>
  <si>
    <t>DOESMGP2 Index</t>
  </si>
  <si>
    <t>DOESMGP3 Index</t>
  </si>
  <si>
    <t>DOESMGP4 Index</t>
  </si>
  <si>
    <t>DOESMGP5 Index</t>
  </si>
  <si>
    <t>DOESREFM Index</t>
  </si>
  <si>
    <t>DOESREF1 Index</t>
  </si>
  <si>
    <t>DOESREF2 Index</t>
  </si>
  <si>
    <t>DOESREF3 Index</t>
  </si>
  <si>
    <t>DOESREF4 Index</t>
  </si>
  <si>
    <t>DOESREF5 Index</t>
  </si>
  <si>
    <t>DOESREWA Index</t>
  </si>
  <si>
    <t>DOESREA1 Index</t>
  </si>
  <si>
    <t>DOESREA2 Index</t>
  </si>
  <si>
    <t>DOESREA3 Index</t>
  </si>
  <si>
    <t>DOESREA4 Index</t>
  </si>
  <si>
    <t>DOESREA5 Index</t>
  </si>
  <si>
    <t>DOESOTRF Index</t>
  </si>
  <si>
    <t>DOESRFO1 Index</t>
  </si>
  <si>
    <t>DOESRFO2 Index</t>
  </si>
  <si>
    <t>DOESRFO3 Index</t>
  </si>
  <si>
    <t>DOESRFO4 Index</t>
  </si>
  <si>
    <t>DOESRFO5 Index</t>
  </si>
  <si>
    <t>DOESOTHF Index</t>
  </si>
  <si>
    <t>DOESOTH1 Index</t>
  </si>
  <si>
    <t>DOESOTH2 Index</t>
  </si>
  <si>
    <t>DOESOTH3 Index</t>
  </si>
  <si>
    <t>DOESOTH4 Index</t>
  </si>
  <si>
    <t>DOESOTH5 Index</t>
  </si>
  <si>
    <t>DOESCOWA Index</t>
  </si>
  <si>
    <t>DOESCWA1 Index</t>
  </si>
  <si>
    <t>DOESCWA2 Index</t>
  </si>
  <si>
    <t>DOESCWA3 Index</t>
  </si>
  <si>
    <t>DOESCWA4 Index</t>
  </si>
  <si>
    <t>DOESCWA5 Index</t>
  </si>
  <si>
    <t>DOESED55 Index</t>
  </si>
  <si>
    <t>DOESE5P1 Index</t>
  </si>
  <si>
    <t>DOESE5P2 Index</t>
  </si>
  <si>
    <t>DOESE5P3 Index</t>
  </si>
  <si>
    <t>DOESE5P4 Index</t>
  </si>
  <si>
    <t>DOESE5P5 Index</t>
  </si>
  <si>
    <t>DOESGE55 Index</t>
  </si>
  <si>
    <t>DOESGEP1 Index</t>
  </si>
  <si>
    <t>DOESGEP2 Index</t>
  </si>
  <si>
    <t>DOESGEP3 Index</t>
  </si>
  <si>
    <t>DOESGEP4 Index</t>
  </si>
  <si>
    <t>DOESGEP5 Index</t>
  </si>
  <si>
    <t>DOESCOOT Index</t>
  </si>
  <si>
    <t>DOESCOT1 Index</t>
  </si>
  <si>
    <t>DOESCOT2 Index</t>
  </si>
  <si>
    <t>DOESCOT3 Index</t>
  </si>
  <si>
    <t>DOESCOT4 Index</t>
  </si>
  <si>
    <t>DOESCOT5 Index</t>
  </si>
  <si>
    <t>DOESBLND Index</t>
  </si>
  <si>
    <t>DOESBCP1 Index</t>
  </si>
  <si>
    <t>DOESBCP2 Index</t>
  </si>
  <si>
    <t>DOESBCP3 Index</t>
  </si>
  <si>
    <t>DOESBCP4 Index</t>
  </si>
  <si>
    <t>DOESBCP5 Index</t>
  </si>
  <si>
    <t>DOESRBP1 Index</t>
  </si>
  <si>
    <t>DOESRBP2 Index</t>
  </si>
  <si>
    <t>DOESRBP3 Index</t>
  </si>
  <si>
    <t>DOESRBP4 Index</t>
  </si>
  <si>
    <t>DOESRBP5 Index</t>
  </si>
  <si>
    <t>DOESCBOB Index</t>
  </si>
  <si>
    <t>DOESCBP1 Index</t>
  </si>
  <si>
    <t>DOESCBP2 Index</t>
  </si>
  <si>
    <t>DOESCBP3 Index</t>
  </si>
  <si>
    <t>DOESCBP4 Index</t>
  </si>
  <si>
    <t>DOESCBP5 Index</t>
  </si>
  <si>
    <t>DOESGTAB Index</t>
  </si>
  <si>
    <t>DOESGTP1 Index</t>
  </si>
  <si>
    <t>DOESGTP2 Index</t>
  </si>
  <si>
    <t>DOESGTP3 Index</t>
  </si>
  <si>
    <t>DOESGTP4 Index</t>
  </si>
  <si>
    <t>DOESGTP5 Index</t>
  </si>
  <si>
    <t>DOESOTBL Index</t>
  </si>
  <si>
    <t>DOESABP1 Index</t>
  </si>
  <si>
    <t>DOESABP2 Index</t>
  </si>
  <si>
    <t>DOESABP3 Index</t>
  </si>
  <si>
    <t>DOESABP4 Index</t>
  </si>
  <si>
    <t>DOESABP5 Index</t>
  </si>
  <si>
    <t>DOESDISA Index</t>
  </si>
  <si>
    <t>DOESDISB Index</t>
  </si>
  <si>
    <t>DOESDISC Index</t>
  </si>
  <si>
    <t>DOESDL15 Index</t>
  </si>
  <si>
    <t>DOESL151 Index</t>
  </si>
  <si>
    <t>DOESL15A Index</t>
  </si>
  <si>
    <t>DOESL15B Index</t>
  </si>
  <si>
    <t>DOESL15C Index</t>
  </si>
  <si>
    <t>DOESL152 Index</t>
  </si>
  <si>
    <t>DOESL153 Index</t>
  </si>
  <si>
    <t>DOESL154 Index</t>
  </si>
  <si>
    <t>DOESL155 Index</t>
  </si>
  <si>
    <t>DOESDG15 Index</t>
  </si>
  <si>
    <t>DOESG151 Index</t>
  </si>
  <si>
    <t>DOESG15A Index</t>
  </si>
  <si>
    <t>DOESG15B Index</t>
  </si>
  <si>
    <t>DOESG15C Index</t>
  </si>
  <si>
    <t>DOESG152 Index</t>
  </si>
  <si>
    <t>DOESG153 Index</t>
  </si>
  <si>
    <t>DOESG154 Index</t>
  </si>
  <si>
    <t>DOESG155 Index</t>
  </si>
  <si>
    <t>DOESDIG5 Index</t>
  </si>
  <si>
    <t>DOESHSD1 Index</t>
  </si>
  <si>
    <t>DOESHS1A Index</t>
  </si>
  <si>
    <t>DOESHS1B Index</t>
  </si>
  <si>
    <t>DOESHS1C Index</t>
  </si>
  <si>
    <t>DOESHSD2 Index</t>
  </si>
  <si>
    <t>DOESHSD3 Index</t>
  </si>
  <si>
    <t>DOESHSD4 Index</t>
  </si>
  <si>
    <t>DOESHSD5 Index</t>
  </si>
  <si>
    <t>DOESRS1A Index</t>
  </si>
  <si>
    <t>DOESRS1B Index</t>
  </si>
  <si>
    <t>DOESRS1C Index</t>
  </si>
  <si>
    <t>DOESRES5 Index</t>
  </si>
  <si>
    <t>DOESPPPR Index</t>
  </si>
  <si>
    <t>DOESPRP1 Index</t>
  </si>
  <si>
    <t>DOESPRPA Index</t>
  </si>
  <si>
    <t>DOESPRPB Index</t>
  </si>
  <si>
    <t>DOESPRPC Index</t>
  </si>
  <si>
    <t>DOESPRP2 Index</t>
  </si>
  <si>
    <t>DOESPRP3 Index</t>
  </si>
  <si>
    <t>DOESPRPV Index</t>
  </si>
  <si>
    <t>DOESPRNF Index</t>
  </si>
  <si>
    <t>DOESOTHE Index</t>
  </si>
  <si>
    <t>DOESUNFN Index</t>
  </si>
  <si>
    <t>DOESKERO Index</t>
  </si>
  <si>
    <t>DOESASRO Index</t>
  </si>
  <si>
    <t>DOESLRGS Index</t>
  </si>
  <si>
    <t>DOESESPR Index</t>
  </si>
  <si>
    <t>DOESISPR Index</t>
  </si>
  <si>
    <t>DOEICISP Index</t>
  </si>
  <si>
    <t>DOEICRP1 Index</t>
  </si>
  <si>
    <t>DOEICRP2 Index</t>
  </si>
  <si>
    <t>DOEICRP3 Index</t>
  </si>
  <si>
    <t>DOEICRP4 Index</t>
  </si>
  <si>
    <t>DOEICRP5 Index</t>
  </si>
  <si>
    <t>DOEISPR Index</t>
  </si>
  <si>
    <t>DOEISPRO Index</t>
  </si>
  <si>
    <t>DOEIGAS1 Index</t>
  </si>
  <si>
    <t>DOEIGAS2 Index</t>
  </si>
  <si>
    <t>DOEIGAS3 Index</t>
  </si>
  <si>
    <t>DOEIGAS4 Index</t>
  </si>
  <si>
    <t>DOEIGAS5 Index</t>
  </si>
  <si>
    <t>DOEIFMOG Index</t>
  </si>
  <si>
    <t>DOEIFMP1 Index</t>
  </si>
  <si>
    <t>DOEIFMP2 Index</t>
  </si>
  <si>
    <t>DOEIFMP3 Index</t>
  </si>
  <si>
    <t>DOEIFMP4 Index</t>
  </si>
  <si>
    <t>DOEIFMP5 Index</t>
  </si>
  <si>
    <t>DOEIREFM Index</t>
  </si>
  <si>
    <t>DOEIREF1 Index</t>
  </si>
  <si>
    <t>DOEIREF2 Index</t>
  </si>
  <si>
    <t>DOEIREF3 Index</t>
  </si>
  <si>
    <t>DOEIREF4 Index</t>
  </si>
  <si>
    <t>DOEIREF5 Index</t>
  </si>
  <si>
    <t>DOEIREWA Index</t>
  </si>
  <si>
    <t>DOEIREA1 Index</t>
  </si>
  <si>
    <t>DOEIREA2 Index</t>
  </si>
  <si>
    <t>DOEIREA3 Index</t>
  </si>
  <si>
    <t>DOEIREA4 Index</t>
  </si>
  <si>
    <t>DOEIREA5 Index</t>
  </si>
  <si>
    <t>DOEIOTRF Index</t>
  </si>
  <si>
    <t>DOEIRFO1 Index</t>
  </si>
  <si>
    <t>DOEIRFO2 Index</t>
  </si>
  <si>
    <t>DOEIRFO3 Index</t>
  </si>
  <si>
    <t>DOEIRFO4 Index</t>
  </si>
  <si>
    <t>DOEIRFO5 Index</t>
  </si>
  <si>
    <t>DOEIOTHF Index</t>
  </si>
  <si>
    <t>DOEICON1 Index</t>
  </si>
  <si>
    <t>DOEICON2 Index</t>
  </si>
  <si>
    <t>DOEICON3 Index</t>
  </si>
  <si>
    <t>DOEICON4 Index</t>
  </si>
  <si>
    <t>DOEICON5 Index</t>
  </si>
  <si>
    <t>DOEICOWA Index</t>
  </si>
  <si>
    <t>DOEICWA1 Index</t>
  </si>
  <si>
    <t>DOEICWA2 Index</t>
  </si>
  <si>
    <t>DOEICWA3 Index</t>
  </si>
  <si>
    <t>DOEICWA4 Index</t>
  </si>
  <si>
    <t>DOEICWA5 Index</t>
  </si>
  <si>
    <t>DOEIED55 Index</t>
  </si>
  <si>
    <t>DOEIE5P1 Index</t>
  </si>
  <si>
    <t>DOEIE5P2 Index</t>
  </si>
  <si>
    <t>DOEIE5P3 Index</t>
  </si>
  <si>
    <t>DOEIE5P4 Index</t>
  </si>
  <si>
    <t>DOEIE5P5 Index</t>
  </si>
  <si>
    <t>DOEIGE55 Index</t>
  </si>
  <si>
    <t>DOEIGEP1 Index</t>
  </si>
  <si>
    <t>DOEIGEP2 Index</t>
  </si>
  <si>
    <t>DOEIGEP3 Index</t>
  </si>
  <si>
    <t>DOEIGEP4 Index</t>
  </si>
  <si>
    <t>DOEIGEP5 Index</t>
  </si>
  <si>
    <t>DOEICOOT Index</t>
  </si>
  <si>
    <t>DOEIOCP1 Index</t>
  </si>
  <si>
    <t>DOEIOCP2 Index</t>
  </si>
  <si>
    <t>DOEIOCP3 Index</t>
  </si>
  <si>
    <t>DOEIOCP4 Index</t>
  </si>
  <si>
    <t>DOEIOCP5 Index</t>
  </si>
  <si>
    <t>DOEIBLND Index</t>
  </si>
  <si>
    <t>DOEIBCP1 Index</t>
  </si>
  <si>
    <t>DOEIBCP2 Index</t>
  </si>
  <si>
    <t>DOEIBCP3 Index</t>
  </si>
  <si>
    <t>DOEIBCP4 Index</t>
  </si>
  <si>
    <t>DOEIBCP5 Index</t>
  </si>
  <si>
    <t>DOEIRBOB Index</t>
  </si>
  <si>
    <t>DOEIRBP1 Index</t>
  </si>
  <si>
    <t>DOEIRBP2 Index</t>
  </si>
  <si>
    <t>DOEIRBP3 Index</t>
  </si>
  <si>
    <t>DOEIRBP4 Index</t>
  </si>
  <si>
    <t>DOEIRBP5 Index</t>
  </si>
  <si>
    <t>DOEICBOB Index</t>
  </si>
  <si>
    <t>DOEICBP1 Index</t>
  </si>
  <si>
    <t>DOEICBP2 Index</t>
  </si>
  <si>
    <t>DOEICBP3 Index</t>
  </si>
  <si>
    <t>DOEICBP4 Index</t>
  </si>
  <si>
    <t>DOEICBP5 Index</t>
  </si>
  <si>
    <t>DOEIGTAB Index</t>
  </si>
  <si>
    <t>DOEIGTP1 Index</t>
  </si>
  <si>
    <t>DOEIGTP2 Index</t>
  </si>
  <si>
    <t>DOEIGTP3 Index</t>
  </si>
  <si>
    <t>DOEIGTP4 Index</t>
  </si>
  <si>
    <t>DOEIGTP5 Index</t>
  </si>
  <si>
    <t>DOEIOTBL Index</t>
  </si>
  <si>
    <t>DOEIABP1 Index</t>
  </si>
  <si>
    <t>DOEIABP2 Index</t>
  </si>
  <si>
    <t>DOEIABP3 Index</t>
  </si>
  <si>
    <t>DOEIABP4 Index</t>
  </si>
  <si>
    <t>DOEIABP5 Index</t>
  </si>
  <si>
    <t>DOEIFETH Index</t>
  </si>
  <si>
    <t>DOEIFEP1 Index</t>
  </si>
  <si>
    <t>DOEIFEP2 Index</t>
  </si>
  <si>
    <t>DOEIFEP3 Index</t>
  </si>
  <si>
    <t>DOEIFEP4 Index</t>
  </si>
  <si>
    <t>DOEIFEP5 Index</t>
  </si>
  <si>
    <t>DOEIJET1 Index</t>
  </si>
  <si>
    <t>DOEIJET2 Index</t>
  </si>
  <si>
    <t>DOEIJET3 Index</t>
  </si>
  <si>
    <t>DOEIJET4 Index</t>
  </si>
  <si>
    <t>DOEIJET5 Index</t>
  </si>
  <si>
    <t>DOEIDIS1 Index</t>
  </si>
  <si>
    <t>DOEIDIS2 Index</t>
  </si>
  <si>
    <t>DOEIDIS3 Index</t>
  </si>
  <si>
    <t>DOEIDIS4 Index</t>
  </si>
  <si>
    <t>DOEIDIS5 Index</t>
  </si>
  <si>
    <t>DOEIDL15 Index</t>
  </si>
  <si>
    <t>DOEIL151 Index</t>
  </si>
  <si>
    <t>DOEIL152 Index</t>
  </si>
  <si>
    <t>DOEIL153 Index</t>
  </si>
  <si>
    <t>DOEIL154 Index</t>
  </si>
  <si>
    <t>DOEIL155 Index</t>
  </si>
  <si>
    <t>DOEIDG15 Index</t>
  </si>
  <si>
    <t>DOEIG151 Index</t>
  </si>
  <si>
    <t>DOEIG152 Index</t>
  </si>
  <si>
    <t>DOEIG153 Index</t>
  </si>
  <si>
    <t>DOEIG154 Index</t>
  </si>
  <si>
    <t>DOEIG155 Index</t>
  </si>
  <si>
    <t>DOEIDG52 Index</t>
  </si>
  <si>
    <t>DOEIG521 Index</t>
  </si>
  <si>
    <t>DOEIG522 Index</t>
  </si>
  <si>
    <t>DOEIG523 Index</t>
  </si>
  <si>
    <t>DOEIG524 Index</t>
  </si>
  <si>
    <t>DOEIG525 Index</t>
  </si>
  <si>
    <t>DOEIDIG2 Index</t>
  </si>
  <si>
    <t>DOEIDG21 Index</t>
  </si>
  <si>
    <t>DOEIDG22 Index</t>
  </si>
  <si>
    <t>DOEIDG23 Index</t>
  </si>
  <si>
    <t>DOEIDG24 Index</t>
  </si>
  <si>
    <t>DOEIDG25 Index</t>
  </si>
  <si>
    <t>DOEIRES1 Index</t>
  </si>
  <si>
    <t>DOEIRES2 Index</t>
  </si>
  <si>
    <t>DOEIRES3 Index</t>
  </si>
  <si>
    <t>DOEIRES4 Index</t>
  </si>
  <si>
    <t>DOEIRES5 Index</t>
  </si>
  <si>
    <t>DOEIPPPR Index</t>
  </si>
  <si>
    <t>DOEIPRP1 Index</t>
  </si>
  <si>
    <t>DOEIPRP2 Index</t>
  </si>
  <si>
    <t>DOEIPRP3 Index</t>
  </si>
  <si>
    <t>DOEIPR45 Index</t>
  </si>
  <si>
    <t>DOEIOTOI Index</t>
  </si>
  <si>
    <t>DOEIOOP1 Index</t>
  </si>
  <si>
    <t>DOEIOOP2 Index</t>
  </si>
  <si>
    <t>DOEIOOP3 Index</t>
  </si>
  <si>
    <t>DOEIOOP4 Index</t>
  </si>
  <si>
    <t>DOEIOOP5 Index</t>
  </si>
  <si>
    <t>DOEIKERO Index</t>
  </si>
  <si>
    <t>DOEILRGS Index</t>
  </si>
  <si>
    <t>DOEITRPR Index</t>
  </si>
  <si>
    <t>DOEITRP1 Index</t>
  </si>
  <si>
    <t>DOEITRP2 Index</t>
  </si>
  <si>
    <t>DOEITRP3 Index</t>
  </si>
  <si>
    <t>DOEITRP4 Index</t>
  </si>
  <si>
    <t>DOEITRP5 Index</t>
  </si>
  <si>
    <t>DOEIGISP Index</t>
  </si>
  <si>
    <t>DOEIGIP1 Index</t>
  </si>
  <si>
    <t>DOEIGIP2 Index</t>
  </si>
  <si>
    <t>DOEIGIP3 Index</t>
  </si>
  <si>
    <t>DOEIGIP4 Index</t>
  </si>
  <si>
    <t>DOEIGIP5 Index</t>
  </si>
  <si>
    <t>DOEBTOTL Index</t>
  </si>
  <si>
    <t>DOEBPEXP Index</t>
  </si>
  <si>
    <t>DOEBPRPY Index</t>
  </si>
  <si>
    <t>DOEBOTOI Index</t>
  </si>
  <si>
    <t>DOEINISP Index</t>
  </si>
  <si>
    <t>DOEINICR Index</t>
  </si>
  <si>
    <t>DOEINIPR Index</t>
  </si>
  <si>
    <t>DOEDTPRD Index</t>
  </si>
  <si>
    <t>DOEDPRPP Index</t>
  </si>
  <si>
    <t>DOEDOTHR Index</t>
  </si>
  <si>
    <t>DOESDDIS Index</t>
  </si>
  <si>
    <t>DOESUNCR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</si>
</sst>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45D0-84A7-4B84-8ACE-0F77B617BF85}">
  <dimension ref="A1:E170"/>
  <sheetViews>
    <sheetView workbookViewId="0">
      <selection activeCell="C21" sqref="C2:C2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s="2" t="s">
        <v>117</v>
      </c>
      <c r="D2" t="s">
        <v>118</v>
      </c>
    </row>
    <row r="3" spans="1:5" x14ac:dyDescent="0.3">
      <c r="C3" s="2" t="s">
        <v>119</v>
      </c>
      <c r="D3" t="s">
        <v>118</v>
      </c>
    </row>
    <row r="4" spans="1:5" x14ac:dyDescent="0.3">
      <c r="C4" s="2" t="s">
        <v>120</v>
      </c>
      <c r="D4" t="s">
        <v>118</v>
      </c>
    </row>
    <row r="5" spans="1:5" x14ac:dyDescent="0.3">
      <c r="C5" s="2" t="s">
        <v>121</v>
      </c>
      <c r="D5" t="s">
        <v>118</v>
      </c>
    </row>
    <row r="6" spans="1:5" x14ac:dyDescent="0.3">
      <c r="C6" s="2" t="s">
        <v>122</v>
      </c>
      <c r="D6" t="s">
        <v>118</v>
      </c>
    </row>
    <row r="7" spans="1:5" x14ac:dyDescent="0.3">
      <c r="C7" s="2" t="s">
        <v>123</v>
      </c>
      <c r="D7" t="s">
        <v>118</v>
      </c>
    </row>
    <row r="8" spans="1:5" x14ac:dyDescent="0.3">
      <c r="C8" s="2" t="s">
        <v>124</v>
      </c>
      <c r="D8" t="s">
        <v>118</v>
      </c>
    </row>
    <row r="9" spans="1:5" x14ac:dyDescent="0.3">
      <c r="C9" s="2" t="s">
        <v>125</v>
      </c>
      <c r="D9" t="s">
        <v>118</v>
      </c>
    </row>
    <row r="10" spans="1:5" x14ac:dyDescent="0.3">
      <c r="C10" s="2" t="s">
        <v>126</v>
      </c>
      <c r="D10" t="s">
        <v>118</v>
      </c>
    </row>
    <row r="11" spans="1:5" x14ac:dyDescent="0.3">
      <c r="C11" s="2" t="s">
        <v>129</v>
      </c>
      <c r="D11" t="s">
        <v>118</v>
      </c>
    </row>
    <row r="12" spans="1:5" x14ac:dyDescent="0.3">
      <c r="C12" s="2" t="s">
        <v>130</v>
      </c>
      <c r="D12" t="s">
        <v>118</v>
      </c>
    </row>
    <row r="13" spans="1:5" x14ac:dyDescent="0.3">
      <c r="C13" s="2" t="s">
        <v>135</v>
      </c>
      <c r="D13" t="s">
        <v>118</v>
      </c>
    </row>
    <row r="14" spans="1:5" x14ac:dyDescent="0.3">
      <c r="C14" s="2" t="s">
        <v>136</v>
      </c>
      <c r="D14" t="s">
        <v>118</v>
      </c>
    </row>
    <row r="15" spans="1:5" x14ac:dyDescent="0.3">
      <c r="C15" s="2" t="s">
        <v>137</v>
      </c>
      <c r="D15" t="s">
        <v>118</v>
      </c>
    </row>
    <row r="16" spans="1:5" x14ac:dyDescent="0.3">
      <c r="C16" s="2" t="s">
        <v>138</v>
      </c>
      <c r="D16" t="s">
        <v>118</v>
      </c>
    </row>
    <row r="17" spans="3:4" x14ac:dyDescent="0.3">
      <c r="C17" s="2" t="s">
        <v>127</v>
      </c>
      <c r="D17" t="s">
        <v>118</v>
      </c>
    </row>
    <row r="18" spans="3:4" x14ac:dyDescent="0.3">
      <c r="C18" s="2" t="s">
        <v>128</v>
      </c>
      <c r="D18" t="s">
        <v>118</v>
      </c>
    </row>
    <row r="19" spans="3:4" x14ac:dyDescent="0.3">
      <c r="C19" s="2" t="s">
        <v>132</v>
      </c>
      <c r="D19" t="s">
        <v>118</v>
      </c>
    </row>
    <row r="20" spans="3:4" x14ac:dyDescent="0.3">
      <c r="C20" s="2" t="s">
        <v>133</v>
      </c>
      <c r="D20" t="s">
        <v>118</v>
      </c>
    </row>
    <row r="21" spans="3:4" x14ac:dyDescent="0.3">
      <c r="C21" s="2" t="s">
        <v>134</v>
      </c>
      <c r="D21" t="s">
        <v>118</v>
      </c>
    </row>
    <row r="22" spans="3:4" x14ac:dyDescent="0.3">
      <c r="C22" s="2" t="s">
        <v>139</v>
      </c>
      <c r="D22" t="s">
        <v>118</v>
      </c>
    </row>
    <row r="23" spans="3:4" x14ac:dyDescent="0.3">
      <c r="C23" s="2" t="s">
        <v>140</v>
      </c>
      <c r="D23" t="s">
        <v>118</v>
      </c>
    </row>
    <row r="24" spans="3:4" x14ac:dyDescent="0.3">
      <c r="C24" s="2" t="s">
        <v>141</v>
      </c>
      <c r="D24" t="s">
        <v>118</v>
      </c>
    </row>
    <row r="25" spans="3:4" x14ac:dyDescent="0.3">
      <c r="C25" t="s">
        <v>142</v>
      </c>
      <c r="D25" t="s">
        <v>118</v>
      </c>
    </row>
    <row r="26" spans="3:4" x14ac:dyDescent="0.3">
      <c r="C26" t="s">
        <v>143</v>
      </c>
      <c r="D26" t="s">
        <v>118</v>
      </c>
    </row>
    <row r="27" spans="3:4" x14ac:dyDescent="0.3">
      <c r="C27" t="s">
        <v>144</v>
      </c>
      <c r="D27" t="s">
        <v>118</v>
      </c>
    </row>
    <row r="28" spans="3:4" x14ac:dyDescent="0.3">
      <c r="C28" t="s">
        <v>145</v>
      </c>
      <c r="D28" t="s">
        <v>118</v>
      </c>
    </row>
    <row r="29" spans="3:4" x14ac:dyDescent="0.3">
      <c r="C29" t="s">
        <v>146</v>
      </c>
      <c r="D29" t="s">
        <v>118</v>
      </c>
    </row>
    <row r="30" spans="3:4" x14ac:dyDescent="0.3">
      <c r="C30" t="s">
        <v>147</v>
      </c>
      <c r="D30" t="s">
        <v>118</v>
      </c>
    </row>
    <row r="31" spans="3:4" x14ac:dyDescent="0.3">
      <c r="C31" t="s">
        <v>148</v>
      </c>
      <c r="D31" t="s">
        <v>118</v>
      </c>
    </row>
    <row r="32" spans="3:4" x14ac:dyDescent="0.3">
      <c r="C32" t="s">
        <v>149</v>
      </c>
      <c r="D32" t="s">
        <v>118</v>
      </c>
    </row>
    <row r="33" spans="3:4" x14ac:dyDescent="0.3">
      <c r="C33" t="s">
        <v>150</v>
      </c>
      <c r="D33" t="s">
        <v>118</v>
      </c>
    </row>
    <row r="34" spans="3:4" x14ac:dyDescent="0.3">
      <c r="C34" t="s">
        <v>151</v>
      </c>
      <c r="D34" t="s">
        <v>118</v>
      </c>
    </row>
    <row r="35" spans="3:4" x14ac:dyDescent="0.3">
      <c r="C35" t="s">
        <v>152</v>
      </c>
      <c r="D35" t="s">
        <v>118</v>
      </c>
    </row>
    <row r="36" spans="3:4" x14ac:dyDescent="0.3">
      <c r="C36" t="s">
        <v>153</v>
      </c>
      <c r="D36" t="s">
        <v>118</v>
      </c>
    </row>
    <row r="37" spans="3:4" x14ac:dyDescent="0.3">
      <c r="C37" t="s">
        <v>154</v>
      </c>
      <c r="D37" t="s">
        <v>118</v>
      </c>
    </row>
    <row r="38" spans="3:4" x14ac:dyDescent="0.3">
      <c r="C38" t="s">
        <v>155</v>
      </c>
      <c r="D38" t="s">
        <v>118</v>
      </c>
    </row>
    <row r="39" spans="3:4" x14ac:dyDescent="0.3">
      <c r="C39" t="s">
        <v>156</v>
      </c>
      <c r="D39" t="s">
        <v>118</v>
      </c>
    </row>
    <row r="40" spans="3:4" x14ac:dyDescent="0.3">
      <c r="C40" t="s">
        <v>157</v>
      </c>
      <c r="D40" t="s">
        <v>118</v>
      </c>
    </row>
    <row r="41" spans="3:4" x14ac:dyDescent="0.3">
      <c r="C41" t="s">
        <v>158</v>
      </c>
      <c r="D41" t="s">
        <v>118</v>
      </c>
    </row>
    <row r="42" spans="3:4" x14ac:dyDescent="0.3">
      <c r="C42" t="s">
        <v>159</v>
      </c>
      <c r="D42" t="s">
        <v>118</v>
      </c>
    </row>
    <row r="43" spans="3:4" x14ac:dyDescent="0.3">
      <c r="C43" t="s">
        <v>160</v>
      </c>
      <c r="D43" t="s">
        <v>118</v>
      </c>
    </row>
    <row r="44" spans="3:4" x14ac:dyDescent="0.3">
      <c r="C44" t="s">
        <v>161</v>
      </c>
      <c r="D44" t="s">
        <v>118</v>
      </c>
    </row>
    <row r="45" spans="3:4" x14ac:dyDescent="0.3">
      <c r="C45" t="s">
        <v>162</v>
      </c>
      <c r="D45" t="s">
        <v>118</v>
      </c>
    </row>
    <row r="46" spans="3:4" x14ac:dyDescent="0.3">
      <c r="C46" t="s">
        <v>163</v>
      </c>
      <c r="D46" t="s">
        <v>118</v>
      </c>
    </row>
    <row r="47" spans="3:4" x14ac:dyDescent="0.3">
      <c r="C47" t="s">
        <v>164</v>
      </c>
      <c r="D47" t="s">
        <v>118</v>
      </c>
    </row>
    <row r="48" spans="3:4" x14ac:dyDescent="0.3">
      <c r="C48" t="s">
        <v>165</v>
      </c>
      <c r="D48" t="s">
        <v>118</v>
      </c>
    </row>
    <row r="49" spans="3:4" x14ac:dyDescent="0.3">
      <c r="C49" t="s">
        <v>166</v>
      </c>
      <c r="D49" t="s">
        <v>118</v>
      </c>
    </row>
    <row r="50" spans="3:4" x14ac:dyDescent="0.3">
      <c r="C50" t="s">
        <v>167</v>
      </c>
      <c r="D50" t="s">
        <v>118</v>
      </c>
    </row>
    <row r="51" spans="3:4" x14ac:dyDescent="0.3">
      <c r="C51" t="s">
        <v>168</v>
      </c>
      <c r="D51" t="s">
        <v>118</v>
      </c>
    </row>
    <row r="52" spans="3:4" x14ac:dyDescent="0.3">
      <c r="C52" t="s">
        <v>169</v>
      </c>
      <c r="D52" t="s">
        <v>118</v>
      </c>
    </row>
    <row r="53" spans="3:4" x14ac:dyDescent="0.3">
      <c r="C53" t="s">
        <v>170</v>
      </c>
      <c r="D53" t="s">
        <v>118</v>
      </c>
    </row>
    <row r="54" spans="3:4" x14ac:dyDescent="0.3">
      <c r="C54" t="s">
        <v>171</v>
      </c>
      <c r="D54" t="s">
        <v>118</v>
      </c>
    </row>
    <row r="55" spans="3:4" x14ac:dyDescent="0.3">
      <c r="C55" t="s">
        <v>172</v>
      </c>
      <c r="D55" t="s">
        <v>118</v>
      </c>
    </row>
    <row r="56" spans="3:4" x14ac:dyDescent="0.3">
      <c r="C56" t="s">
        <v>173</v>
      </c>
      <c r="D56" t="s">
        <v>118</v>
      </c>
    </row>
    <row r="57" spans="3:4" x14ac:dyDescent="0.3">
      <c r="C57" t="s">
        <v>174</v>
      </c>
      <c r="D57" t="s">
        <v>118</v>
      </c>
    </row>
    <row r="58" spans="3:4" x14ac:dyDescent="0.3">
      <c r="C58" t="s">
        <v>175</v>
      </c>
      <c r="D58" t="s">
        <v>118</v>
      </c>
    </row>
    <row r="59" spans="3:4" x14ac:dyDescent="0.3">
      <c r="C59" t="s">
        <v>176</v>
      </c>
      <c r="D59" t="s">
        <v>118</v>
      </c>
    </row>
    <row r="60" spans="3:4" x14ac:dyDescent="0.3">
      <c r="C60" t="s">
        <v>177</v>
      </c>
      <c r="D60" t="s">
        <v>118</v>
      </c>
    </row>
    <row r="61" spans="3:4" x14ac:dyDescent="0.3">
      <c r="C61" t="s">
        <v>178</v>
      </c>
      <c r="D61" t="s">
        <v>118</v>
      </c>
    </row>
    <row r="62" spans="3:4" x14ac:dyDescent="0.3">
      <c r="C62" t="s">
        <v>179</v>
      </c>
      <c r="D62" t="s">
        <v>118</v>
      </c>
    </row>
    <row r="63" spans="3:4" x14ac:dyDescent="0.3">
      <c r="C63" t="s">
        <v>180</v>
      </c>
      <c r="D63" t="s">
        <v>118</v>
      </c>
    </row>
    <row r="64" spans="3:4" x14ac:dyDescent="0.3">
      <c r="C64" t="s">
        <v>181</v>
      </c>
      <c r="D64" t="s">
        <v>118</v>
      </c>
    </row>
    <row r="65" spans="3:4" x14ac:dyDescent="0.3">
      <c r="C65" t="s">
        <v>182</v>
      </c>
      <c r="D65" t="s">
        <v>118</v>
      </c>
    </row>
    <row r="66" spans="3:4" x14ac:dyDescent="0.3">
      <c r="C66" t="s">
        <v>183</v>
      </c>
      <c r="D66" t="s">
        <v>118</v>
      </c>
    </row>
    <row r="67" spans="3:4" x14ac:dyDescent="0.3">
      <c r="C67" t="s">
        <v>184</v>
      </c>
      <c r="D67" t="s">
        <v>118</v>
      </c>
    </row>
    <row r="68" spans="3:4" x14ac:dyDescent="0.3">
      <c r="C68" t="s">
        <v>185</v>
      </c>
      <c r="D68" t="s">
        <v>118</v>
      </c>
    </row>
    <row r="69" spans="3:4" x14ac:dyDescent="0.3">
      <c r="C69" t="s">
        <v>186</v>
      </c>
      <c r="D69" t="s">
        <v>118</v>
      </c>
    </row>
    <row r="70" spans="3:4" x14ac:dyDescent="0.3">
      <c r="C70" t="s">
        <v>187</v>
      </c>
      <c r="D70" t="s">
        <v>118</v>
      </c>
    </row>
    <row r="71" spans="3:4" x14ac:dyDescent="0.3">
      <c r="C71" t="s">
        <v>188</v>
      </c>
      <c r="D71" t="s">
        <v>118</v>
      </c>
    </row>
    <row r="72" spans="3:4" x14ac:dyDescent="0.3">
      <c r="C72" t="s">
        <v>189</v>
      </c>
      <c r="D72" t="s">
        <v>118</v>
      </c>
    </row>
    <row r="73" spans="3:4" x14ac:dyDescent="0.3">
      <c r="C73" t="s">
        <v>190</v>
      </c>
      <c r="D73" t="s">
        <v>118</v>
      </c>
    </row>
    <row r="74" spans="3:4" x14ac:dyDescent="0.3">
      <c r="C74" t="s">
        <v>191</v>
      </c>
      <c r="D74" t="s">
        <v>118</v>
      </c>
    </row>
    <row r="75" spans="3:4" x14ac:dyDescent="0.3">
      <c r="C75" t="s">
        <v>192</v>
      </c>
      <c r="D75" t="s">
        <v>118</v>
      </c>
    </row>
    <row r="76" spans="3:4" x14ac:dyDescent="0.3">
      <c r="C76" t="s">
        <v>193</v>
      </c>
      <c r="D76" t="s">
        <v>118</v>
      </c>
    </row>
    <row r="77" spans="3:4" x14ac:dyDescent="0.3">
      <c r="C77" t="s">
        <v>194</v>
      </c>
      <c r="D77" t="s">
        <v>118</v>
      </c>
    </row>
    <row r="78" spans="3:4" x14ac:dyDescent="0.3">
      <c r="C78" t="s">
        <v>195</v>
      </c>
      <c r="D78" t="s">
        <v>118</v>
      </c>
    </row>
    <row r="79" spans="3:4" x14ac:dyDescent="0.3">
      <c r="C79" t="s">
        <v>196</v>
      </c>
      <c r="D79" t="s">
        <v>118</v>
      </c>
    </row>
    <row r="80" spans="3:4" x14ac:dyDescent="0.3">
      <c r="C80" t="s">
        <v>197</v>
      </c>
      <c r="D80" t="s">
        <v>118</v>
      </c>
    </row>
    <row r="81" spans="3:4" x14ac:dyDescent="0.3">
      <c r="C81" t="s">
        <v>198</v>
      </c>
      <c r="D81" t="s">
        <v>118</v>
      </c>
    </row>
    <row r="82" spans="3:4" x14ac:dyDescent="0.3">
      <c r="C82" t="s">
        <v>199</v>
      </c>
      <c r="D82" t="s">
        <v>118</v>
      </c>
    </row>
    <row r="83" spans="3:4" x14ac:dyDescent="0.3">
      <c r="C83" t="s">
        <v>200</v>
      </c>
      <c r="D83" t="s">
        <v>118</v>
      </c>
    </row>
    <row r="84" spans="3:4" x14ac:dyDescent="0.3">
      <c r="C84" t="s">
        <v>201</v>
      </c>
      <c r="D84" t="s">
        <v>118</v>
      </c>
    </row>
    <row r="85" spans="3:4" x14ac:dyDescent="0.3">
      <c r="C85" t="s">
        <v>202</v>
      </c>
      <c r="D85" t="s">
        <v>118</v>
      </c>
    </row>
    <row r="86" spans="3:4" x14ac:dyDescent="0.3">
      <c r="C86" t="s">
        <v>203</v>
      </c>
      <c r="D86" t="s">
        <v>118</v>
      </c>
    </row>
    <row r="87" spans="3:4" x14ac:dyDescent="0.3">
      <c r="C87" t="s">
        <v>204</v>
      </c>
      <c r="D87" t="s">
        <v>118</v>
      </c>
    </row>
    <row r="88" spans="3:4" x14ac:dyDescent="0.3">
      <c r="C88" t="s">
        <v>205</v>
      </c>
      <c r="D88" t="s">
        <v>118</v>
      </c>
    </row>
    <row r="89" spans="3:4" x14ac:dyDescent="0.3">
      <c r="C89" t="s">
        <v>206</v>
      </c>
      <c r="D89" t="s">
        <v>118</v>
      </c>
    </row>
    <row r="90" spans="3:4" x14ac:dyDescent="0.3">
      <c r="C90" t="s">
        <v>207</v>
      </c>
      <c r="D90" t="s">
        <v>118</v>
      </c>
    </row>
    <row r="91" spans="3:4" x14ac:dyDescent="0.3">
      <c r="C91" t="s">
        <v>208</v>
      </c>
      <c r="D91" t="s">
        <v>118</v>
      </c>
    </row>
    <row r="92" spans="3:4" x14ac:dyDescent="0.3">
      <c r="C92" t="s">
        <v>209</v>
      </c>
      <c r="D92" t="s">
        <v>118</v>
      </c>
    </row>
    <row r="93" spans="3:4" x14ac:dyDescent="0.3">
      <c r="C93" t="s">
        <v>210</v>
      </c>
      <c r="D93" t="s">
        <v>118</v>
      </c>
    </row>
    <row r="94" spans="3:4" x14ac:dyDescent="0.3">
      <c r="C94" t="s">
        <v>211</v>
      </c>
      <c r="D94" t="s">
        <v>118</v>
      </c>
    </row>
    <row r="95" spans="3:4" x14ac:dyDescent="0.3">
      <c r="C95" t="s">
        <v>212</v>
      </c>
      <c r="D95" t="s">
        <v>118</v>
      </c>
    </row>
    <row r="96" spans="3:4" x14ac:dyDescent="0.3">
      <c r="C96" t="s">
        <v>213</v>
      </c>
      <c r="D96" t="s">
        <v>118</v>
      </c>
    </row>
    <row r="97" spans="3:4" x14ac:dyDescent="0.3">
      <c r="C97" t="s">
        <v>214</v>
      </c>
      <c r="D97" t="s">
        <v>118</v>
      </c>
    </row>
    <row r="98" spans="3:4" x14ac:dyDescent="0.3">
      <c r="C98" t="s">
        <v>215</v>
      </c>
      <c r="D98" t="s">
        <v>118</v>
      </c>
    </row>
    <row r="99" spans="3:4" x14ac:dyDescent="0.3">
      <c r="C99" t="s">
        <v>216</v>
      </c>
      <c r="D99" t="s">
        <v>118</v>
      </c>
    </row>
    <row r="100" spans="3:4" x14ac:dyDescent="0.3">
      <c r="C100" t="s">
        <v>217</v>
      </c>
      <c r="D100" t="s">
        <v>118</v>
      </c>
    </row>
    <row r="101" spans="3:4" x14ac:dyDescent="0.3">
      <c r="C101" t="s">
        <v>218</v>
      </c>
      <c r="D101" t="s">
        <v>118</v>
      </c>
    </row>
    <row r="102" spans="3:4" x14ac:dyDescent="0.3">
      <c r="C102" t="s">
        <v>219</v>
      </c>
      <c r="D102" t="s">
        <v>118</v>
      </c>
    </row>
    <row r="103" spans="3:4" x14ac:dyDescent="0.3">
      <c r="C103" t="s">
        <v>220</v>
      </c>
      <c r="D103" t="s">
        <v>118</v>
      </c>
    </row>
    <row r="104" spans="3:4" x14ac:dyDescent="0.3">
      <c r="C104" t="s">
        <v>221</v>
      </c>
      <c r="D104" t="s">
        <v>118</v>
      </c>
    </row>
    <row r="105" spans="3:4" x14ac:dyDescent="0.3">
      <c r="C105" t="s">
        <v>222</v>
      </c>
      <c r="D105" t="s">
        <v>118</v>
      </c>
    </row>
    <row r="106" spans="3:4" x14ac:dyDescent="0.3">
      <c r="C106" t="s">
        <v>223</v>
      </c>
      <c r="D106" t="s">
        <v>118</v>
      </c>
    </row>
    <row r="107" spans="3:4" x14ac:dyDescent="0.3">
      <c r="C107" t="s">
        <v>224</v>
      </c>
      <c r="D107" t="s">
        <v>118</v>
      </c>
    </row>
    <row r="108" spans="3:4" x14ac:dyDescent="0.3">
      <c r="C108" t="s">
        <v>225</v>
      </c>
      <c r="D108" t="s">
        <v>118</v>
      </c>
    </row>
    <row r="109" spans="3:4" x14ac:dyDescent="0.3">
      <c r="C109" t="s">
        <v>226</v>
      </c>
      <c r="D109" t="s">
        <v>118</v>
      </c>
    </row>
    <row r="110" spans="3:4" x14ac:dyDescent="0.3">
      <c r="C110" t="s">
        <v>227</v>
      </c>
      <c r="D110" t="s">
        <v>118</v>
      </c>
    </row>
    <row r="111" spans="3:4" x14ac:dyDescent="0.3">
      <c r="C111" t="s">
        <v>228</v>
      </c>
      <c r="D111" t="s">
        <v>118</v>
      </c>
    </row>
    <row r="112" spans="3:4" x14ac:dyDescent="0.3">
      <c r="C112" t="s">
        <v>229</v>
      </c>
      <c r="D112" t="s">
        <v>118</v>
      </c>
    </row>
    <row r="113" spans="3:4" x14ac:dyDescent="0.3">
      <c r="C113" t="s">
        <v>230</v>
      </c>
      <c r="D113" t="s">
        <v>118</v>
      </c>
    </row>
    <row r="114" spans="3:4" x14ac:dyDescent="0.3">
      <c r="C114" t="s">
        <v>231</v>
      </c>
      <c r="D114" t="s">
        <v>118</v>
      </c>
    </row>
    <row r="115" spans="3:4" x14ac:dyDescent="0.3">
      <c r="C115" t="s">
        <v>232</v>
      </c>
      <c r="D115" t="s">
        <v>118</v>
      </c>
    </row>
    <row r="116" spans="3:4" x14ac:dyDescent="0.3">
      <c r="C116" t="s">
        <v>233</v>
      </c>
      <c r="D116" t="s">
        <v>118</v>
      </c>
    </row>
    <row r="117" spans="3:4" x14ac:dyDescent="0.3">
      <c r="C117" t="s">
        <v>234</v>
      </c>
      <c r="D117" t="s">
        <v>118</v>
      </c>
    </row>
    <row r="118" spans="3:4" x14ac:dyDescent="0.3">
      <c r="C118" t="s">
        <v>235</v>
      </c>
      <c r="D118" t="s">
        <v>118</v>
      </c>
    </row>
    <row r="119" spans="3:4" x14ac:dyDescent="0.3">
      <c r="C119" t="s">
        <v>236</v>
      </c>
      <c r="D119" t="s">
        <v>118</v>
      </c>
    </row>
    <row r="120" spans="3:4" x14ac:dyDescent="0.3">
      <c r="C120" t="s">
        <v>237</v>
      </c>
      <c r="D120" t="s">
        <v>118</v>
      </c>
    </row>
    <row r="121" spans="3:4" x14ac:dyDescent="0.3">
      <c r="C121" t="s">
        <v>238</v>
      </c>
      <c r="D121" t="s">
        <v>118</v>
      </c>
    </row>
    <row r="122" spans="3:4" x14ac:dyDescent="0.3">
      <c r="C122" t="s">
        <v>239</v>
      </c>
      <c r="D122" t="s">
        <v>118</v>
      </c>
    </row>
    <row r="123" spans="3:4" x14ac:dyDescent="0.3">
      <c r="C123" t="s">
        <v>240</v>
      </c>
      <c r="D123" t="s">
        <v>118</v>
      </c>
    </row>
    <row r="124" spans="3:4" x14ac:dyDescent="0.3">
      <c r="C124" t="s">
        <v>241</v>
      </c>
      <c r="D124" t="s">
        <v>118</v>
      </c>
    </row>
    <row r="125" spans="3:4" x14ac:dyDescent="0.3">
      <c r="C125" t="s">
        <v>242</v>
      </c>
      <c r="D125" t="s">
        <v>118</v>
      </c>
    </row>
    <row r="126" spans="3:4" x14ac:dyDescent="0.3">
      <c r="C126" t="s">
        <v>243</v>
      </c>
      <c r="D126" t="s">
        <v>118</v>
      </c>
    </row>
    <row r="127" spans="3:4" x14ac:dyDescent="0.3">
      <c r="C127" t="s">
        <v>244</v>
      </c>
      <c r="D127" t="s">
        <v>118</v>
      </c>
    </row>
    <row r="128" spans="3:4" x14ac:dyDescent="0.3">
      <c r="C128" t="s">
        <v>245</v>
      </c>
      <c r="D128" t="s">
        <v>118</v>
      </c>
    </row>
    <row r="129" spans="3:4" x14ac:dyDescent="0.3">
      <c r="C129" t="s">
        <v>246</v>
      </c>
      <c r="D129" t="s">
        <v>118</v>
      </c>
    </row>
    <row r="130" spans="3:4" x14ac:dyDescent="0.3">
      <c r="C130" t="s">
        <v>247</v>
      </c>
      <c r="D130" t="s">
        <v>118</v>
      </c>
    </row>
    <row r="131" spans="3:4" x14ac:dyDescent="0.3">
      <c r="C131" t="s">
        <v>248</v>
      </c>
      <c r="D131" t="s">
        <v>118</v>
      </c>
    </row>
    <row r="132" spans="3:4" x14ac:dyDescent="0.3">
      <c r="C132" t="s">
        <v>249</v>
      </c>
      <c r="D132" t="s">
        <v>118</v>
      </c>
    </row>
    <row r="133" spans="3:4" x14ac:dyDescent="0.3">
      <c r="C133" t="s">
        <v>250</v>
      </c>
      <c r="D133" t="s">
        <v>118</v>
      </c>
    </row>
    <row r="134" spans="3:4" x14ac:dyDescent="0.3">
      <c r="C134" t="s">
        <v>251</v>
      </c>
      <c r="D134" t="s">
        <v>118</v>
      </c>
    </row>
    <row r="135" spans="3:4" x14ac:dyDescent="0.3">
      <c r="C135" t="s">
        <v>252</v>
      </c>
      <c r="D135" t="s">
        <v>118</v>
      </c>
    </row>
    <row r="136" spans="3:4" x14ac:dyDescent="0.3">
      <c r="C136" t="s">
        <v>253</v>
      </c>
      <c r="D136" t="s">
        <v>118</v>
      </c>
    </row>
    <row r="137" spans="3:4" x14ac:dyDescent="0.3">
      <c r="C137" t="s">
        <v>254</v>
      </c>
      <c r="D137" t="s">
        <v>118</v>
      </c>
    </row>
    <row r="138" spans="3:4" x14ac:dyDescent="0.3">
      <c r="C138" t="s">
        <v>255</v>
      </c>
      <c r="D138" t="s">
        <v>118</v>
      </c>
    </row>
    <row r="139" spans="3:4" x14ac:dyDescent="0.3">
      <c r="C139" t="s">
        <v>256</v>
      </c>
      <c r="D139" t="s">
        <v>118</v>
      </c>
    </row>
    <row r="140" spans="3:4" x14ac:dyDescent="0.3">
      <c r="C140" t="s">
        <v>257</v>
      </c>
      <c r="D140" t="s">
        <v>118</v>
      </c>
    </row>
    <row r="141" spans="3:4" x14ac:dyDescent="0.3">
      <c r="C141" t="s">
        <v>258</v>
      </c>
      <c r="D141" t="s">
        <v>118</v>
      </c>
    </row>
    <row r="142" spans="3:4" x14ac:dyDescent="0.3">
      <c r="C142" t="s">
        <v>259</v>
      </c>
      <c r="D142" t="s">
        <v>118</v>
      </c>
    </row>
    <row r="143" spans="3:4" x14ac:dyDescent="0.3">
      <c r="C143" t="s">
        <v>260</v>
      </c>
      <c r="D143" t="s">
        <v>118</v>
      </c>
    </row>
    <row r="144" spans="3:4" x14ac:dyDescent="0.3">
      <c r="C144" t="s">
        <v>261</v>
      </c>
      <c r="D144" t="s">
        <v>118</v>
      </c>
    </row>
    <row r="145" spans="3:4" x14ac:dyDescent="0.3">
      <c r="C145" t="s">
        <v>262</v>
      </c>
      <c r="D145" t="s">
        <v>118</v>
      </c>
    </row>
    <row r="146" spans="3:4" x14ac:dyDescent="0.3">
      <c r="C146" t="s">
        <v>263</v>
      </c>
      <c r="D146" t="s">
        <v>118</v>
      </c>
    </row>
    <row r="147" spans="3:4" x14ac:dyDescent="0.3">
      <c r="C147" t="s">
        <v>264</v>
      </c>
      <c r="D147" t="s">
        <v>118</v>
      </c>
    </row>
    <row r="148" spans="3:4" x14ac:dyDescent="0.3">
      <c r="C148" t="s">
        <v>265</v>
      </c>
      <c r="D148" t="s">
        <v>118</v>
      </c>
    </row>
    <row r="149" spans="3:4" x14ac:dyDescent="0.3">
      <c r="C149" t="s">
        <v>266</v>
      </c>
      <c r="D149" t="s">
        <v>118</v>
      </c>
    </row>
    <row r="150" spans="3:4" x14ac:dyDescent="0.3">
      <c r="C150" t="s">
        <v>267</v>
      </c>
      <c r="D150" t="s">
        <v>118</v>
      </c>
    </row>
    <row r="151" spans="3:4" x14ac:dyDescent="0.3">
      <c r="C151" t="s">
        <v>268</v>
      </c>
      <c r="D151" t="s">
        <v>118</v>
      </c>
    </row>
    <row r="152" spans="3:4" x14ac:dyDescent="0.3">
      <c r="C152" t="s">
        <v>269</v>
      </c>
      <c r="D152" t="s">
        <v>118</v>
      </c>
    </row>
    <row r="153" spans="3:4" x14ac:dyDescent="0.3">
      <c r="C153" t="s">
        <v>270</v>
      </c>
      <c r="D153" t="s">
        <v>118</v>
      </c>
    </row>
    <row r="154" spans="3:4" x14ac:dyDescent="0.3">
      <c r="C154" t="s">
        <v>271</v>
      </c>
      <c r="D154" t="s">
        <v>118</v>
      </c>
    </row>
    <row r="155" spans="3:4" x14ac:dyDescent="0.3">
      <c r="C155" t="s">
        <v>272</v>
      </c>
      <c r="D155" t="s">
        <v>118</v>
      </c>
    </row>
    <row r="156" spans="3:4" x14ac:dyDescent="0.3">
      <c r="C156" t="s">
        <v>273</v>
      </c>
      <c r="D156" t="s">
        <v>118</v>
      </c>
    </row>
    <row r="157" spans="3:4" x14ac:dyDescent="0.3">
      <c r="C157" t="s">
        <v>274</v>
      </c>
      <c r="D157" t="s">
        <v>118</v>
      </c>
    </row>
    <row r="158" spans="3:4" x14ac:dyDescent="0.3">
      <c r="C158" t="s">
        <v>275</v>
      </c>
      <c r="D158" t="s">
        <v>118</v>
      </c>
    </row>
    <row r="159" spans="3:4" x14ac:dyDescent="0.3">
      <c r="C159" t="s">
        <v>276</v>
      </c>
      <c r="D159" t="s">
        <v>118</v>
      </c>
    </row>
    <row r="160" spans="3:4" x14ac:dyDescent="0.3">
      <c r="C160" t="s">
        <v>277</v>
      </c>
      <c r="D160" t="s">
        <v>118</v>
      </c>
    </row>
    <row r="161" spans="3:4" x14ac:dyDescent="0.3">
      <c r="C161" t="s">
        <v>278</v>
      </c>
      <c r="D161" t="s">
        <v>118</v>
      </c>
    </row>
    <row r="162" spans="3:4" x14ac:dyDescent="0.3">
      <c r="C162" t="s">
        <v>279</v>
      </c>
      <c r="D162" t="s">
        <v>118</v>
      </c>
    </row>
    <row r="163" spans="3:4" x14ac:dyDescent="0.3">
      <c r="C163" t="s">
        <v>280</v>
      </c>
      <c r="D163" t="s">
        <v>118</v>
      </c>
    </row>
    <row r="164" spans="3:4" x14ac:dyDescent="0.3">
      <c r="C164" t="s">
        <v>281</v>
      </c>
      <c r="D164" t="s">
        <v>118</v>
      </c>
    </row>
    <row r="165" spans="3:4" x14ac:dyDescent="0.3">
      <c r="C165" t="s">
        <v>282</v>
      </c>
      <c r="D165" t="s">
        <v>118</v>
      </c>
    </row>
    <row r="166" spans="3:4" x14ac:dyDescent="0.3">
      <c r="C166" t="s">
        <v>283</v>
      </c>
      <c r="D166" t="s">
        <v>118</v>
      </c>
    </row>
    <row r="167" spans="3:4" x14ac:dyDescent="0.3">
      <c r="C167" t="s">
        <v>284</v>
      </c>
      <c r="D167" t="s">
        <v>118</v>
      </c>
    </row>
    <row r="168" spans="3:4" x14ac:dyDescent="0.3">
      <c r="C168" t="s">
        <v>285</v>
      </c>
      <c r="D168" t="s">
        <v>118</v>
      </c>
    </row>
    <row r="169" spans="3:4" x14ac:dyDescent="0.3">
      <c r="C169" t="s">
        <v>286</v>
      </c>
      <c r="D169" t="s">
        <v>118</v>
      </c>
    </row>
    <row r="170" spans="3:4" x14ac:dyDescent="0.3">
      <c r="C170" t="s">
        <v>287</v>
      </c>
      <c r="D170" t="s">
        <v>118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A308A-DC79-476B-8838-703D1328DBB5}">
          <x14:formula1>
            <xm:f>List!$A$2:$A$9</xm:f>
          </x14:formula1>
          <xm:sqref>D2:D170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E622-3958-4778-A4C5-9F2DF8B7D452}">
  <dimension ref="A1:E858"/>
  <sheetViews>
    <sheetView tabSelected="1" topLeftCell="A302" workbookViewId="0">
      <selection activeCell="B309" sqref="B309"/>
    </sheetView>
  </sheetViews>
  <sheetFormatPr defaultRowHeight="14" x14ac:dyDescent="0.3"/>
  <cols>
    <col min="1" max="1" width="16.33203125" bestFit="1" customWidth="1"/>
    <col min="3" max="3" width="52.25" bestFit="1" customWidth="1"/>
    <col min="4" max="4" width="9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t="s">
        <v>595</v>
      </c>
    </row>
    <row r="3" spans="1:5" x14ac:dyDescent="0.3">
      <c r="C3" t="s">
        <v>596</v>
      </c>
    </row>
    <row r="4" spans="1:5" x14ac:dyDescent="0.3">
      <c r="C4" t="s">
        <v>597</v>
      </c>
    </row>
    <row r="5" spans="1:5" x14ac:dyDescent="0.3">
      <c r="C5" t="s">
        <v>617</v>
      </c>
    </row>
    <row r="6" spans="1:5" x14ac:dyDescent="0.3">
      <c r="C6" t="s">
        <v>616</v>
      </c>
    </row>
    <row r="7" spans="1:5" x14ac:dyDescent="0.3">
      <c r="C7" t="s">
        <v>598</v>
      </c>
    </row>
    <row r="8" spans="1:5" x14ac:dyDescent="0.3">
      <c r="C8" t="s">
        <v>599</v>
      </c>
    </row>
    <row r="9" spans="1:5" x14ac:dyDescent="0.3">
      <c r="C9" t="s">
        <v>600</v>
      </c>
    </row>
    <row r="10" spans="1:5" x14ac:dyDescent="0.3">
      <c r="C10" t="s">
        <v>601</v>
      </c>
    </row>
    <row r="11" spans="1:5" x14ac:dyDescent="0.3">
      <c r="C11" t="s">
        <v>602</v>
      </c>
    </row>
    <row r="12" spans="1:5" x14ac:dyDescent="0.3">
      <c r="C12" t="s">
        <v>603</v>
      </c>
    </row>
    <row r="13" spans="1:5" x14ac:dyDescent="0.3">
      <c r="C13" t="s">
        <v>604</v>
      </c>
    </row>
    <row r="14" spans="1:5" x14ac:dyDescent="0.3">
      <c r="C14" t="s">
        <v>605</v>
      </c>
    </row>
    <row r="15" spans="1:5" x14ac:dyDescent="0.3">
      <c r="C15" t="s">
        <v>606</v>
      </c>
    </row>
    <row r="16" spans="1:5" x14ac:dyDescent="0.3">
      <c r="C16" t="s">
        <v>607</v>
      </c>
    </row>
    <row r="17" spans="3:3" x14ac:dyDescent="0.3">
      <c r="C17" t="s">
        <v>608</v>
      </c>
    </row>
    <row r="18" spans="3:3" x14ac:dyDescent="0.3">
      <c r="C18" t="s">
        <v>609</v>
      </c>
    </row>
    <row r="19" spans="3:3" x14ac:dyDescent="0.3">
      <c r="C19" t="s">
        <v>610</v>
      </c>
    </row>
    <row r="20" spans="3:3" x14ac:dyDescent="0.3">
      <c r="C20" t="s">
        <v>611</v>
      </c>
    </row>
    <row r="21" spans="3:3" x14ac:dyDescent="0.3">
      <c r="C21" t="s">
        <v>612</v>
      </c>
    </row>
    <row r="22" spans="3:3" x14ac:dyDescent="0.3">
      <c r="C22" t="s">
        <v>613</v>
      </c>
    </row>
    <row r="23" spans="3:3" x14ac:dyDescent="0.3">
      <c r="C23" t="s">
        <v>614</v>
      </c>
    </row>
    <row r="24" spans="3:3" x14ac:dyDescent="0.3">
      <c r="C24" t="s">
        <v>615</v>
      </c>
    </row>
    <row r="25" spans="3:3" x14ac:dyDescent="0.3">
      <c r="C25" t="s">
        <v>859</v>
      </c>
    </row>
    <row r="26" spans="3:3" x14ac:dyDescent="0.3">
      <c r="C26" t="s">
        <v>860</v>
      </c>
    </row>
    <row r="27" spans="3:3" x14ac:dyDescent="0.3">
      <c r="C27" t="s">
        <v>861</v>
      </c>
    </row>
    <row r="28" spans="3:3" x14ac:dyDescent="0.3">
      <c r="C28" t="s">
        <v>862</v>
      </c>
    </row>
    <row r="29" spans="3:3" x14ac:dyDescent="0.3">
      <c r="C29" t="s">
        <v>863</v>
      </c>
    </row>
    <row r="30" spans="3:3" x14ac:dyDescent="0.3">
      <c r="C30" t="s">
        <v>864</v>
      </c>
    </row>
    <row r="31" spans="3:3" x14ac:dyDescent="0.3">
      <c r="C31" t="s">
        <v>865</v>
      </c>
    </row>
    <row r="32" spans="3:3" x14ac:dyDescent="0.3">
      <c r="C32" t="s">
        <v>866</v>
      </c>
    </row>
    <row r="33" spans="1:3" x14ac:dyDescent="0.3">
      <c r="C33" t="s">
        <v>867</v>
      </c>
    </row>
    <row r="34" spans="1:3" x14ac:dyDescent="0.3">
      <c r="C34" t="s">
        <v>868</v>
      </c>
    </row>
    <row r="35" spans="1:3" x14ac:dyDescent="0.3">
      <c r="C35" t="s">
        <v>869</v>
      </c>
    </row>
    <row r="36" spans="1:3" x14ac:dyDescent="0.3">
      <c r="A36" s="7" t="s">
        <v>1202</v>
      </c>
      <c r="C36" t="s">
        <v>1199</v>
      </c>
    </row>
    <row r="37" spans="1:3" x14ac:dyDescent="0.3">
      <c r="A37" s="5" t="s">
        <v>1201</v>
      </c>
      <c r="C37" t="s">
        <v>1200</v>
      </c>
    </row>
    <row r="38" spans="1:3" x14ac:dyDescent="0.3">
      <c r="C38" t="s">
        <v>870</v>
      </c>
    </row>
    <row r="39" spans="1:3" x14ac:dyDescent="0.3">
      <c r="C39" t="s">
        <v>871</v>
      </c>
    </row>
    <row r="40" spans="1:3" x14ac:dyDescent="0.3">
      <c r="C40" t="s">
        <v>872</v>
      </c>
    </row>
    <row r="41" spans="1:3" x14ac:dyDescent="0.3">
      <c r="C41" t="s">
        <v>873</v>
      </c>
    </row>
    <row r="42" spans="1:3" x14ac:dyDescent="0.3">
      <c r="A42" t="s">
        <v>874</v>
      </c>
      <c r="C42" t="s">
        <v>893</v>
      </c>
    </row>
    <row r="43" spans="1:3" x14ac:dyDescent="0.3">
      <c r="A43" t="s">
        <v>875</v>
      </c>
      <c r="C43" t="s">
        <v>894</v>
      </c>
    </row>
    <row r="44" spans="1:3" x14ac:dyDescent="0.3">
      <c r="A44" t="s">
        <v>876</v>
      </c>
      <c r="C44" t="s">
        <v>895</v>
      </c>
    </row>
    <row r="45" spans="1:3" x14ac:dyDescent="0.3">
      <c r="A45" t="s">
        <v>877</v>
      </c>
      <c r="C45" t="s">
        <v>896</v>
      </c>
    </row>
    <row r="46" spans="1:3" x14ac:dyDescent="0.3">
      <c r="A46" t="s">
        <v>878</v>
      </c>
      <c r="C46" t="s">
        <v>897</v>
      </c>
    </row>
    <row r="47" spans="1:3" x14ac:dyDescent="0.3">
      <c r="A47" t="s">
        <v>879</v>
      </c>
      <c r="C47" t="s">
        <v>898</v>
      </c>
    </row>
    <row r="48" spans="1:3" x14ac:dyDescent="0.3">
      <c r="A48" t="s">
        <v>880</v>
      </c>
      <c r="C48" t="s">
        <v>899</v>
      </c>
    </row>
    <row r="49" spans="1:3" x14ac:dyDescent="0.3">
      <c r="A49" t="s">
        <v>881</v>
      </c>
      <c r="C49" t="s">
        <v>900</v>
      </c>
    </row>
    <row r="50" spans="1:3" x14ac:dyDescent="0.3">
      <c r="A50" t="s">
        <v>882</v>
      </c>
      <c r="C50" t="s">
        <v>901</v>
      </c>
    </row>
    <row r="51" spans="1:3" x14ac:dyDescent="0.3">
      <c r="A51" t="s">
        <v>883</v>
      </c>
      <c r="C51" t="s">
        <v>902</v>
      </c>
    </row>
    <row r="52" spans="1:3" x14ac:dyDescent="0.3">
      <c r="A52" t="s">
        <v>884</v>
      </c>
      <c r="C52" t="s">
        <v>903</v>
      </c>
    </row>
    <row r="53" spans="1:3" x14ac:dyDescent="0.3">
      <c r="A53" t="s">
        <v>885</v>
      </c>
      <c r="C53" t="s">
        <v>904</v>
      </c>
    </row>
    <row r="54" spans="1:3" x14ac:dyDescent="0.3">
      <c r="A54" t="s">
        <v>886</v>
      </c>
      <c r="C54" t="s">
        <v>905</v>
      </c>
    </row>
    <row r="55" spans="1:3" x14ac:dyDescent="0.3">
      <c r="A55" t="s">
        <v>887</v>
      </c>
      <c r="C55" t="s">
        <v>906</v>
      </c>
    </row>
    <row r="56" spans="1:3" x14ac:dyDescent="0.3">
      <c r="A56" t="s">
        <v>888</v>
      </c>
      <c r="C56" t="s">
        <v>907</v>
      </c>
    </row>
    <row r="57" spans="1:3" x14ac:dyDescent="0.3">
      <c r="A57" t="s">
        <v>889</v>
      </c>
      <c r="C57" t="s">
        <v>908</v>
      </c>
    </row>
    <row r="58" spans="1:3" x14ac:dyDescent="0.3">
      <c r="A58" t="s">
        <v>890</v>
      </c>
      <c r="C58" t="s">
        <v>909</v>
      </c>
    </row>
    <row r="59" spans="1:3" x14ac:dyDescent="0.3">
      <c r="A59" t="s">
        <v>891</v>
      </c>
      <c r="C59" t="s">
        <v>910</v>
      </c>
    </row>
    <row r="60" spans="1:3" x14ac:dyDescent="0.3">
      <c r="A60" t="s">
        <v>892</v>
      </c>
      <c r="C60" t="s">
        <v>911</v>
      </c>
    </row>
    <row r="61" spans="1:3" x14ac:dyDescent="0.3">
      <c r="A61" t="s">
        <v>947</v>
      </c>
      <c r="C61" t="s">
        <v>912</v>
      </c>
    </row>
    <row r="62" spans="1:3" x14ac:dyDescent="0.3">
      <c r="A62" t="s">
        <v>948</v>
      </c>
      <c r="C62" t="s">
        <v>913</v>
      </c>
    </row>
    <row r="63" spans="1:3" x14ac:dyDescent="0.3">
      <c r="A63" t="s">
        <v>949</v>
      </c>
      <c r="C63" t="s">
        <v>914</v>
      </c>
    </row>
    <row r="64" spans="1:3" x14ac:dyDescent="0.3">
      <c r="A64" t="s">
        <v>931</v>
      </c>
      <c r="C64" t="s">
        <v>915</v>
      </c>
    </row>
    <row r="65" spans="1:3" x14ac:dyDescent="0.3">
      <c r="A65" t="s">
        <v>932</v>
      </c>
      <c r="C65" t="s">
        <v>916</v>
      </c>
    </row>
    <row r="66" spans="1:3" x14ac:dyDescent="0.3">
      <c r="A66" t="s">
        <v>933</v>
      </c>
      <c r="C66" t="s">
        <v>917</v>
      </c>
    </row>
    <row r="67" spans="1:3" x14ac:dyDescent="0.3">
      <c r="A67" t="s">
        <v>934</v>
      </c>
      <c r="C67" t="s">
        <v>918</v>
      </c>
    </row>
    <row r="68" spans="1:3" x14ac:dyDescent="0.3">
      <c r="A68" t="s">
        <v>935</v>
      </c>
      <c r="C68" t="s">
        <v>919</v>
      </c>
    </row>
    <row r="69" spans="1:3" x14ac:dyDescent="0.3">
      <c r="A69" t="s">
        <v>936</v>
      </c>
      <c r="C69" t="s">
        <v>920</v>
      </c>
    </row>
    <row r="70" spans="1:3" x14ac:dyDescent="0.3">
      <c r="A70" t="s">
        <v>937</v>
      </c>
      <c r="C70" t="s">
        <v>921</v>
      </c>
    </row>
    <row r="71" spans="1:3" x14ac:dyDescent="0.3">
      <c r="A71" t="s">
        <v>938</v>
      </c>
      <c r="C71" t="s">
        <v>922</v>
      </c>
    </row>
    <row r="72" spans="1:3" x14ac:dyDescent="0.3">
      <c r="A72" t="s">
        <v>939</v>
      </c>
      <c r="C72" t="s">
        <v>923</v>
      </c>
    </row>
    <row r="73" spans="1:3" x14ac:dyDescent="0.3">
      <c r="A73" t="s">
        <v>940</v>
      </c>
      <c r="C73" t="s">
        <v>924</v>
      </c>
    </row>
    <row r="74" spans="1:3" x14ac:dyDescent="0.3">
      <c r="A74" t="s">
        <v>941</v>
      </c>
      <c r="C74" t="s">
        <v>925</v>
      </c>
    </row>
    <row r="75" spans="1:3" x14ac:dyDescent="0.3">
      <c r="A75" t="s">
        <v>942</v>
      </c>
      <c r="C75" t="s">
        <v>926</v>
      </c>
    </row>
    <row r="76" spans="1:3" x14ac:dyDescent="0.3">
      <c r="A76" t="s">
        <v>943</v>
      </c>
      <c r="C76" t="s">
        <v>927</v>
      </c>
    </row>
    <row r="77" spans="1:3" x14ac:dyDescent="0.3">
      <c r="A77" t="s">
        <v>944</v>
      </c>
      <c r="C77" t="s">
        <v>928</v>
      </c>
    </row>
    <row r="78" spans="1:3" x14ac:dyDescent="0.3">
      <c r="A78" t="s">
        <v>945</v>
      </c>
      <c r="C78" t="s">
        <v>929</v>
      </c>
    </row>
    <row r="79" spans="1:3" x14ac:dyDescent="0.3">
      <c r="A79" t="s">
        <v>946</v>
      </c>
      <c r="C79" t="s">
        <v>930</v>
      </c>
    </row>
    <row r="80" spans="1:3" x14ac:dyDescent="0.3">
      <c r="A80" t="s">
        <v>969</v>
      </c>
      <c r="C80" t="s">
        <v>950</v>
      </c>
    </row>
    <row r="81" spans="1:3" x14ac:dyDescent="0.3">
      <c r="A81" t="s">
        <v>970</v>
      </c>
      <c r="C81" t="s">
        <v>951</v>
      </c>
    </row>
    <row r="82" spans="1:3" x14ac:dyDescent="0.3">
      <c r="A82" t="s">
        <v>971</v>
      </c>
      <c r="C82" t="s">
        <v>952</v>
      </c>
    </row>
    <row r="83" spans="1:3" x14ac:dyDescent="0.3">
      <c r="A83" t="s">
        <v>972</v>
      </c>
      <c r="C83" t="s">
        <v>953</v>
      </c>
    </row>
    <row r="84" spans="1:3" x14ac:dyDescent="0.3">
      <c r="A84" t="s">
        <v>973</v>
      </c>
      <c r="C84" t="s">
        <v>954</v>
      </c>
    </row>
    <row r="85" spans="1:3" x14ac:dyDescent="0.3">
      <c r="A85" t="s">
        <v>974</v>
      </c>
      <c r="C85" t="s">
        <v>955</v>
      </c>
    </row>
    <row r="86" spans="1:3" x14ac:dyDescent="0.3">
      <c r="A86" t="s">
        <v>975</v>
      </c>
      <c r="C86" t="s">
        <v>956</v>
      </c>
    </row>
    <row r="87" spans="1:3" x14ac:dyDescent="0.3">
      <c r="A87" t="s">
        <v>976</v>
      </c>
      <c r="C87" t="s">
        <v>957</v>
      </c>
    </row>
    <row r="88" spans="1:3" x14ac:dyDescent="0.3">
      <c r="A88" t="s">
        <v>977</v>
      </c>
      <c r="C88" t="s">
        <v>958</v>
      </c>
    </row>
    <row r="89" spans="1:3" x14ac:dyDescent="0.3">
      <c r="A89" t="s">
        <v>978</v>
      </c>
      <c r="C89" t="s">
        <v>959</v>
      </c>
    </row>
    <row r="90" spans="1:3" x14ac:dyDescent="0.3">
      <c r="A90" t="s">
        <v>979</v>
      </c>
      <c r="C90" t="s">
        <v>960</v>
      </c>
    </row>
    <row r="91" spans="1:3" x14ac:dyDescent="0.3">
      <c r="A91" t="s">
        <v>980</v>
      </c>
      <c r="C91" t="s">
        <v>961</v>
      </c>
    </row>
    <row r="92" spans="1:3" x14ac:dyDescent="0.3">
      <c r="A92" s="4" t="s">
        <v>981</v>
      </c>
      <c r="C92" t="s">
        <v>962</v>
      </c>
    </row>
    <row r="93" spans="1:3" x14ac:dyDescent="0.3">
      <c r="A93" t="s">
        <v>982</v>
      </c>
      <c r="C93" t="s">
        <v>963</v>
      </c>
    </row>
    <row r="94" spans="1:3" x14ac:dyDescent="0.3">
      <c r="A94" t="s">
        <v>983</v>
      </c>
      <c r="C94" t="s">
        <v>964</v>
      </c>
    </row>
    <row r="95" spans="1:3" x14ac:dyDescent="0.3">
      <c r="A95" t="s">
        <v>984</v>
      </c>
      <c r="C95" t="s">
        <v>965</v>
      </c>
    </row>
    <row r="96" spans="1:3" x14ac:dyDescent="0.3">
      <c r="A96" t="s">
        <v>985</v>
      </c>
      <c r="C96" t="s">
        <v>966</v>
      </c>
    </row>
    <row r="97" spans="1:3" x14ac:dyDescent="0.3">
      <c r="A97" t="s">
        <v>986</v>
      </c>
      <c r="C97" t="s">
        <v>967</v>
      </c>
    </row>
    <row r="98" spans="1:3" x14ac:dyDescent="0.3">
      <c r="A98" t="s">
        <v>987</v>
      </c>
      <c r="C98" t="s">
        <v>968</v>
      </c>
    </row>
    <row r="99" spans="1:3" x14ac:dyDescent="0.3">
      <c r="A99" t="s">
        <v>1007</v>
      </c>
      <c r="C99" t="s">
        <v>988</v>
      </c>
    </row>
    <row r="100" spans="1:3" x14ac:dyDescent="0.3">
      <c r="A100" t="s">
        <v>1008</v>
      </c>
      <c r="C100" t="s">
        <v>989</v>
      </c>
    </row>
    <row r="101" spans="1:3" x14ac:dyDescent="0.3">
      <c r="A101" t="s">
        <v>1009</v>
      </c>
      <c r="C101" t="s">
        <v>990</v>
      </c>
    </row>
    <row r="102" spans="1:3" x14ac:dyDescent="0.3">
      <c r="A102" t="s">
        <v>1010</v>
      </c>
      <c r="C102" t="s">
        <v>991</v>
      </c>
    </row>
    <row r="103" spans="1:3" x14ac:dyDescent="0.3">
      <c r="A103" t="s">
        <v>1011</v>
      </c>
      <c r="C103" t="s">
        <v>992</v>
      </c>
    </row>
    <row r="104" spans="1:3" x14ac:dyDescent="0.3">
      <c r="A104" t="s">
        <v>1012</v>
      </c>
      <c r="C104" t="s">
        <v>993</v>
      </c>
    </row>
    <row r="105" spans="1:3" x14ac:dyDescent="0.3">
      <c r="A105" t="s">
        <v>1013</v>
      </c>
      <c r="C105" t="s">
        <v>994</v>
      </c>
    </row>
    <row r="106" spans="1:3" x14ac:dyDescent="0.3">
      <c r="A106" t="s">
        <v>1014</v>
      </c>
      <c r="C106" t="s">
        <v>995</v>
      </c>
    </row>
    <row r="107" spans="1:3" x14ac:dyDescent="0.3">
      <c r="A107" t="s">
        <v>1015</v>
      </c>
      <c r="C107" t="s">
        <v>996</v>
      </c>
    </row>
    <row r="108" spans="1:3" x14ac:dyDescent="0.3">
      <c r="A108" t="s">
        <v>1016</v>
      </c>
      <c r="C108" t="s">
        <v>997</v>
      </c>
    </row>
    <row r="109" spans="1:3" x14ac:dyDescent="0.3">
      <c r="A109" t="s">
        <v>1017</v>
      </c>
      <c r="C109" t="s">
        <v>998</v>
      </c>
    </row>
    <row r="110" spans="1:3" x14ac:dyDescent="0.3">
      <c r="A110" t="s">
        <v>1018</v>
      </c>
      <c r="C110" t="s">
        <v>999</v>
      </c>
    </row>
    <row r="111" spans="1:3" x14ac:dyDescent="0.3">
      <c r="A111" t="s">
        <v>1019</v>
      </c>
      <c r="C111" t="s">
        <v>1000</v>
      </c>
    </row>
    <row r="112" spans="1:3" x14ac:dyDescent="0.3">
      <c r="A112" t="s">
        <v>1020</v>
      </c>
      <c r="C112" t="s">
        <v>1001</v>
      </c>
    </row>
    <row r="113" spans="1:3" x14ac:dyDescent="0.3">
      <c r="A113" t="s">
        <v>1021</v>
      </c>
      <c r="C113" t="s">
        <v>1002</v>
      </c>
    </row>
    <row r="114" spans="1:3" x14ac:dyDescent="0.3">
      <c r="A114" t="s">
        <v>1022</v>
      </c>
      <c r="C114" t="s">
        <v>1003</v>
      </c>
    </row>
    <row r="115" spans="1:3" x14ac:dyDescent="0.3">
      <c r="A115" t="s">
        <v>1023</v>
      </c>
      <c r="C115" t="s">
        <v>1004</v>
      </c>
    </row>
    <row r="116" spans="1:3" x14ac:dyDescent="0.3">
      <c r="A116" t="s">
        <v>1024</v>
      </c>
      <c r="C116" t="s">
        <v>1005</v>
      </c>
    </row>
    <row r="117" spans="1:3" x14ac:dyDescent="0.3">
      <c r="A117" t="s">
        <v>1025</v>
      </c>
      <c r="C117" t="s">
        <v>1006</v>
      </c>
    </row>
    <row r="118" spans="1:3" x14ac:dyDescent="0.3">
      <c r="A118" t="s">
        <v>1045</v>
      </c>
      <c r="C118" t="s">
        <v>1026</v>
      </c>
    </row>
    <row r="119" spans="1:3" x14ac:dyDescent="0.3">
      <c r="A119" t="s">
        <v>1046</v>
      </c>
      <c r="C119" t="s">
        <v>1027</v>
      </c>
    </row>
    <row r="120" spans="1:3" x14ac:dyDescent="0.3">
      <c r="A120" t="s">
        <v>1047</v>
      </c>
      <c r="C120" t="s">
        <v>1028</v>
      </c>
    </row>
    <row r="121" spans="1:3" x14ac:dyDescent="0.3">
      <c r="A121" t="s">
        <v>1048</v>
      </c>
      <c r="C121" t="s">
        <v>1029</v>
      </c>
    </row>
    <row r="122" spans="1:3" x14ac:dyDescent="0.3">
      <c r="A122" t="s">
        <v>1049</v>
      </c>
      <c r="C122" t="s">
        <v>1030</v>
      </c>
    </row>
    <row r="123" spans="1:3" x14ac:dyDescent="0.3">
      <c r="A123" t="s">
        <v>1050</v>
      </c>
      <c r="C123" t="s">
        <v>1031</v>
      </c>
    </row>
    <row r="124" spans="1:3" x14ac:dyDescent="0.3">
      <c r="A124" t="s">
        <v>1051</v>
      </c>
      <c r="C124" t="s">
        <v>1032</v>
      </c>
    </row>
    <row r="125" spans="1:3" x14ac:dyDescent="0.3">
      <c r="A125" t="s">
        <v>1052</v>
      </c>
      <c r="C125" t="s">
        <v>1033</v>
      </c>
    </row>
    <row r="126" spans="1:3" x14ac:dyDescent="0.3">
      <c r="A126" t="s">
        <v>1053</v>
      </c>
      <c r="C126" t="s">
        <v>1034</v>
      </c>
    </row>
    <row r="127" spans="1:3" x14ac:dyDescent="0.3">
      <c r="A127" t="s">
        <v>1054</v>
      </c>
      <c r="C127" t="s">
        <v>1035</v>
      </c>
    </row>
    <row r="128" spans="1:3" x14ac:dyDescent="0.3">
      <c r="A128" t="s">
        <v>1055</v>
      </c>
      <c r="C128" t="s">
        <v>1036</v>
      </c>
    </row>
    <row r="129" spans="1:3" x14ac:dyDescent="0.3">
      <c r="A129" t="s">
        <v>1056</v>
      </c>
      <c r="C129" t="s">
        <v>1037</v>
      </c>
    </row>
    <row r="130" spans="1:3" x14ac:dyDescent="0.3">
      <c r="A130" t="s">
        <v>1057</v>
      </c>
      <c r="C130" t="s">
        <v>1038</v>
      </c>
    </row>
    <row r="131" spans="1:3" x14ac:dyDescent="0.3">
      <c r="A131" t="s">
        <v>1058</v>
      </c>
      <c r="C131" t="s">
        <v>1039</v>
      </c>
    </row>
    <row r="132" spans="1:3" x14ac:dyDescent="0.3">
      <c r="A132" t="s">
        <v>1059</v>
      </c>
      <c r="C132" t="s">
        <v>1040</v>
      </c>
    </row>
    <row r="133" spans="1:3" x14ac:dyDescent="0.3">
      <c r="A133" t="s">
        <v>1060</v>
      </c>
      <c r="C133" t="s">
        <v>1041</v>
      </c>
    </row>
    <row r="134" spans="1:3" x14ac:dyDescent="0.3">
      <c r="A134" t="s">
        <v>1061</v>
      </c>
      <c r="C134" t="s">
        <v>1042</v>
      </c>
    </row>
    <row r="135" spans="1:3" x14ac:dyDescent="0.3">
      <c r="A135" t="s">
        <v>1062</v>
      </c>
      <c r="C135" t="s">
        <v>1043</v>
      </c>
    </row>
    <row r="136" spans="1:3" x14ac:dyDescent="0.3">
      <c r="A136" t="s">
        <v>1063</v>
      </c>
      <c r="C136" t="s">
        <v>1044</v>
      </c>
    </row>
    <row r="137" spans="1:3" x14ac:dyDescent="0.3">
      <c r="A137" t="s">
        <v>1064</v>
      </c>
      <c r="C137" t="s">
        <v>1131</v>
      </c>
    </row>
    <row r="138" spans="1:3" x14ac:dyDescent="0.3">
      <c r="A138" t="s">
        <v>1065</v>
      </c>
      <c r="C138" t="s">
        <v>1132</v>
      </c>
    </row>
    <row r="139" spans="1:3" x14ac:dyDescent="0.3">
      <c r="A139" t="s">
        <v>1066</v>
      </c>
      <c r="C139" t="s">
        <v>1133</v>
      </c>
    </row>
    <row r="140" spans="1:3" x14ac:dyDescent="0.3">
      <c r="A140" t="s">
        <v>1067</v>
      </c>
      <c r="C140" t="s">
        <v>1134</v>
      </c>
    </row>
    <row r="141" spans="1:3" x14ac:dyDescent="0.3">
      <c r="A141" t="s">
        <v>1068</v>
      </c>
      <c r="C141" t="s">
        <v>1135</v>
      </c>
    </row>
    <row r="142" spans="1:3" x14ac:dyDescent="0.3">
      <c r="A142" t="s">
        <v>1069</v>
      </c>
      <c r="C142" t="s">
        <v>1136</v>
      </c>
    </row>
    <row r="143" spans="1:3" x14ac:dyDescent="0.3">
      <c r="A143" t="s">
        <v>1070</v>
      </c>
      <c r="C143" t="s">
        <v>1137</v>
      </c>
    </row>
    <row r="144" spans="1:3" x14ac:dyDescent="0.3">
      <c r="A144" t="s">
        <v>1071</v>
      </c>
      <c r="C144" t="s">
        <v>1138</v>
      </c>
    </row>
    <row r="145" spans="1:3" x14ac:dyDescent="0.3">
      <c r="A145" t="s">
        <v>1072</v>
      </c>
      <c r="C145" t="s">
        <v>1139</v>
      </c>
    </row>
    <row r="146" spans="1:3" x14ac:dyDescent="0.3">
      <c r="A146" t="s">
        <v>1073</v>
      </c>
      <c r="C146" t="s">
        <v>1140</v>
      </c>
    </row>
    <row r="147" spans="1:3" x14ac:dyDescent="0.3">
      <c r="A147" t="s">
        <v>1074</v>
      </c>
      <c r="C147" t="s">
        <v>1141</v>
      </c>
    </row>
    <row r="148" spans="1:3" x14ac:dyDescent="0.3">
      <c r="A148" t="s">
        <v>1075</v>
      </c>
      <c r="C148" t="s">
        <v>1142</v>
      </c>
    </row>
    <row r="149" spans="1:3" x14ac:dyDescent="0.3">
      <c r="A149" t="s">
        <v>1076</v>
      </c>
      <c r="C149" t="s">
        <v>1143</v>
      </c>
    </row>
    <row r="150" spans="1:3" x14ac:dyDescent="0.3">
      <c r="A150" t="s">
        <v>1077</v>
      </c>
      <c r="C150" t="s">
        <v>1144</v>
      </c>
    </row>
    <row r="151" spans="1:3" x14ac:dyDescent="0.3">
      <c r="A151" t="s">
        <v>1078</v>
      </c>
      <c r="C151" t="s">
        <v>1145</v>
      </c>
    </row>
    <row r="152" spans="1:3" x14ac:dyDescent="0.3">
      <c r="A152" t="s">
        <v>1079</v>
      </c>
      <c r="C152" t="s">
        <v>1146</v>
      </c>
    </row>
    <row r="153" spans="1:3" x14ac:dyDescent="0.3">
      <c r="A153" t="s">
        <v>1080</v>
      </c>
      <c r="C153" t="s">
        <v>1147</v>
      </c>
    </row>
    <row r="154" spans="1:3" x14ac:dyDescent="0.3">
      <c r="A154" t="s">
        <v>1081</v>
      </c>
      <c r="C154" t="s">
        <v>1148</v>
      </c>
    </row>
    <row r="155" spans="1:3" x14ac:dyDescent="0.3">
      <c r="A155" t="s">
        <v>1082</v>
      </c>
      <c r="C155" t="s">
        <v>1149</v>
      </c>
    </row>
    <row r="156" spans="1:3" x14ac:dyDescent="0.3">
      <c r="A156" t="s">
        <v>1083</v>
      </c>
      <c r="C156" t="s">
        <v>1150</v>
      </c>
    </row>
    <row r="157" spans="1:3" x14ac:dyDescent="0.3">
      <c r="A157" t="s">
        <v>1084</v>
      </c>
      <c r="C157" t="s">
        <v>1151</v>
      </c>
    </row>
    <row r="158" spans="1:3" x14ac:dyDescent="0.3">
      <c r="A158" t="s">
        <v>1085</v>
      </c>
      <c r="C158" t="s">
        <v>1152</v>
      </c>
    </row>
    <row r="159" spans="1:3" x14ac:dyDescent="0.3">
      <c r="A159" t="s">
        <v>1086</v>
      </c>
      <c r="C159" t="s">
        <v>1153</v>
      </c>
    </row>
    <row r="160" spans="1:3" x14ac:dyDescent="0.3">
      <c r="A160" t="s">
        <v>1087</v>
      </c>
      <c r="C160" t="s">
        <v>1154</v>
      </c>
    </row>
    <row r="161" spans="1:3" x14ac:dyDescent="0.3">
      <c r="A161" t="s">
        <v>1088</v>
      </c>
      <c r="C161" t="s">
        <v>1155</v>
      </c>
    </row>
    <row r="162" spans="1:3" x14ac:dyDescent="0.3">
      <c r="A162" t="s">
        <v>1089</v>
      </c>
      <c r="C162" t="s">
        <v>1156</v>
      </c>
    </row>
    <row r="163" spans="1:3" x14ac:dyDescent="0.3">
      <c r="A163" t="s">
        <v>1090</v>
      </c>
      <c r="C163" t="s">
        <v>1157</v>
      </c>
    </row>
    <row r="164" spans="1:3" x14ac:dyDescent="0.3">
      <c r="A164" t="s">
        <v>1091</v>
      </c>
      <c r="C164" t="s">
        <v>1158</v>
      </c>
    </row>
    <row r="165" spans="1:3" x14ac:dyDescent="0.3">
      <c r="A165" t="s">
        <v>1092</v>
      </c>
      <c r="C165" t="s">
        <v>1159</v>
      </c>
    </row>
    <row r="166" spans="1:3" x14ac:dyDescent="0.3">
      <c r="A166" t="s">
        <v>1093</v>
      </c>
      <c r="C166" t="s">
        <v>1160</v>
      </c>
    </row>
    <row r="167" spans="1:3" x14ac:dyDescent="0.3">
      <c r="A167" t="s">
        <v>1094</v>
      </c>
      <c r="C167" t="s">
        <v>1161</v>
      </c>
    </row>
    <row r="168" spans="1:3" x14ac:dyDescent="0.3">
      <c r="A168" t="s">
        <v>1095</v>
      </c>
      <c r="C168" t="s">
        <v>1162</v>
      </c>
    </row>
    <row r="169" spans="1:3" x14ac:dyDescent="0.3">
      <c r="A169" t="s">
        <v>1096</v>
      </c>
      <c r="C169" t="s">
        <v>1163</v>
      </c>
    </row>
    <row r="170" spans="1:3" x14ac:dyDescent="0.3">
      <c r="A170" t="s">
        <v>1097</v>
      </c>
      <c r="C170" t="s">
        <v>1164</v>
      </c>
    </row>
    <row r="171" spans="1:3" x14ac:dyDescent="0.3">
      <c r="A171" t="s">
        <v>1098</v>
      </c>
      <c r="C171" t="s">
        <v>1165</v>
      </c>
    </row>
    <row r="172" spans="1:3" x14ac:dyDescent="0.3">
      <c r="A172" t="s">
        <v>1099</v>
      </c>
      <c r="C172" t="s">
        <v>1166</v>
      </c>
    </row>
    <row r="173" spans="1:3" x14ac:dyDescent="0.3">
      <c r="A173" t="s">
        <v>1100</v>
      </c>
      <c r="C173" t="s">
        <v>1167</v>
      </c>
    </row>
    <row r="174" spans="1:3" x14ac:dyDescent="0.3">
      <c r="A174" t="s">
        <v>1101</v>
      </c>
      <c r="C174" t="s">
        <v>1168</v>
      </c>
    </row>
    <row r="175" spans="1:3" x14ac:dyDescent="0.3">
      <c r="A175" t="s">
        <v>1102</v>
      </c>
      <c r="C175" t="s">
        <v>1169</v>
      </c>
    </row>
    <row r="176" spans="1:3" x14ac:dyDescent="0.3">
      <c r="A176" t="s">
        <v>1103</v>
      </c>
      <c r="C176" t="s">
        <v>1170</v>
      </c>
    </row>
    <row r="177" spans="1:3" x14ac:dyDescent="0.3">
      <c r="A177" t="s">
        <v>1104</v>
      </c>
      <c r="C177" t="s">
        <v>1171</v>
      </c>
    </row>
    <row r="178" spans="1:3" x14ac:dyDescent="0.3">
      <c r="A178" t="s">
        <v>1105</v>
      </c>
      <c r="C178" t="s">
        <v>1172</v>
      </c>
    </row>
    <row r="179" spans="1:3" x14ac:dyDescent="0.3">
      <c r="A179" t="s">
        <v>1106</v>
      </c>
      <c r="C179" t="s">
        <v>1173</v>
      </c>
    </row>
    <row r="180" spans="1:3" x14ac:dyDescent="0.3">
      <c r="A180" t="s">
        <v>1107</v>
      </c>
      <c r="C180" t="s">
        <v>1174</v>
      </c>
    </row>
    <row r="181" spans="1:3" x14ac:dyDescent="0.3">
      <c r="A181" t="s">
        <v>1108</v>
      </c>
      <c r="C181" t="s">
        <v>1175</v>
      </c>
    </row>
    <row r="182" spans="1:3" x14ac:dyDescent="0.3">
      <c r="A182" t="s">
        <v>1109</v>
      </c>
      <c r="C182" t="s">
        <v>1176</v>
      </c>
    </row>
    <row r="183" spans="1:3" x14ac:dyDescent="0.3">
      <c r="A183" t="s">
        <v>1110</v>
      </c>
      <c r="C183" t="s">
        <v>1177</v>
      </c>
    </row>
    <row r="184" spans="1:3" x14ac:dyDescent="0.3">
      <c r="A184" t="s">
        <v>1111</v>
      </c>
      <c r="C184" t="s">
        <v>1178</v>
      </c>
    </row>
    <row r="185" spans="1:3" x14ac:dyDescent="0.3">
      <c r="A185" t="s">
        <v>1112</v>
      </c>
      <c r="C185" t="s">
        <v>1179</v>
      </c>
    </row>
    <row r="186" spans="1:3" x14ac:dyDescent="0.3">
      <c r="A186" t="s">
        <v>1113</v>
      </c>
      <c r="C186" t="s">
        <v>1180</v>
      </c>
    </row>
    <row r="187" spans="1:3" x14ac:dyDescent="0.3">
      <c r="A187" t="s">
        <v>1114</v>
      </c>
      <c r="C187" t="s">
        <v>1181</v>
      </c>
    </row>
    <row r="188" spans="1:3" x14ac:dyDescent="0.3">
      <c r="A188" t="s">
        <v>1115</v>
      </c>
      <c r="C188" t="s">
        <v>1182</v>
      </c>
    </row>
    <row r="189" spans="1:3" x14ac:dyDescent="0.3">
      <c r="A189" t="s">
        <v>1116</v>
      </c>
      <c r="C189" t="s">
        <v>1183</v>
      </c>
    </row>
    <row r="190" spans="1:3" x14ac:dyDescent="0.3">
      <c r="A190" t="s">
        <v>1116</v>
      </c>
      <c r="C190" t="s">
        <v>1184</v>
      </c>
    </row>
    <row r="191" spans="1:3" x14ac:dyDescent="0.3">
      <c r="A191" t="s">
        <v>1117</v>
      </c>
      <c r="C191" t="s">
        <v>1185</v>
      </c>
    </row>
    <row r="192" spans="1:3" x14ac:dyDescent="0.3">
      <c r="A192" t="s">
        <v>1118</v>
      </c>
      <c r="C192" t="s">
        <v>1186</v>
      </c>
    </row>
    <row r="193" spans="1:3" x14ac:dyDescent="0.3">
      <c r="A193" t="s">
        <v>1119</v>
      </c>
      <c r="C193" t="s">
        <v>1187</v>
      </c>
    </row>
    <row r="194" spans="1:3" x14ac:dyDescent="0.3">
      <c r="A194" t="s">
        <v>1120</v>
      </c>
      <c r="C194" t="s">
        <v>1188</v>
      </c>
    </row>
    <row r="195" spans="1:3" x14ac:dyDescent="0.3">
      <c r="A195" t="s">
        <v>1121</v>
      </c>
      <c r="C195" t="s">
        <v>1189</v>
      </c>
    </row>
    <row r="196" spans="1:3" x14ac:dyDescent="0.3">
      <c r="A196" t="s">
        <v>1122</v>
      </c>
      <c r="C196" t="s">
        <v>1190</v>
      </c>
    </row>
    <row r="197" spans="1:3" x14ac:dyDescent="0.3">
      <c r="A197" t="s">
        <v>1123</v>
      </c>
      <c r="C197" t="s">
        <v>1191</v>
      </c>
    </row>
    <row r="198" spans="1:3" x14ac:dyDescent="0.3">
      <c r="A198" t="s">
        <v>1124</v>
      </c>
      <c r="C198" t="s">
        <v>1192</v>
      </c>
    </row>
    <row r="199" spans="1:3" x14ac:dyDescent="0.3">
      <c r="A199" t="s">
        <v>1125</v>
      </c>
      <c r="C199" t="s">
        <v>1193</v>
      </c>
    </row>
    <row r="200" spans="1:3" x14ac:dyDescent="0.3">
      <c r="A200" t="s">
        <v>1126</v>
      </c>
      <c r="C200" t="s">
        <v>1194</v>
      </c>
    </row>
    <row r="201" spans="1:3" x14ac:dyDescent="0.3">
      <c r="A201" t="s">
        <v>1127</v>
      </c>
      <c r="C201" t="s">
        <v>1195</v>
      </c>
    </row>
    <row r="202" spans="1:3" x14ac:dyDescent="0.3">
      <c r="A202" t="s">
        <v>1128</v>
      </c>
      <c r="C202" t="s">
        <v>1196</v>
      </c>
    </row>
    <row r="203" spans="1:3" x14ac:dyDescent="0.3">
      <c r="A203" t="s">
        <v>1129</v>
      </c>
      <c r="C203" t="s">
        <v>1197</v>
      </c>
    </row>
    <row r="204" spans="1:3" x14ac:dyDescent="0.3">
      <c r="A204" t="s">
        <v>1130</v>
      </c>
      <c r="C204" t="s">
        <v>1198</v>
      </c>
    </row>
    <row r="205" spans="1:3" x14ac:dyDescent="0.3">
      <c r="A205" t="s">
        <v>1210</v>
      </c>
      <c r="C205" t="s">
        <v>1203</v>
      </c>
    </row>
    <row r="206" spans="1:3" x14ac:dyDescent="0.3">
      <c r="A206" t="s">
        <v>1211</v>
      </c>
      <c r="C206" t="s">
        <v>1204</v>
      </c>
    </row>
    <row r="207" spans="1:3" x14ac:dyDescent="0.3">
      <c r="A207" t="s">
        <v>1212</v>
      </c>
      <c r="C207" t="s">
        <v>1205</v>
      </c>
    </row>
    <row r="208" spans="1:3" x14ac:dyDescent="0.3">
      <c r="A208" t="s">
        <v>1213</v>
      </c>
      <c r="C208" t="s">
        <v>1206</v>
      </c>
    </row>
    <row r="209" spans="1:3" x14ac:dyDescent="0.3">
      <c r="A209" t="s">
        <v>1214</v>
      </c>
      <c r="C209" t="s">
        <v>1207</v>
      </c>
    </row>
    <row r="210" spans="1:3" x14ac:dyDescent="0.3">
      <c r="A210" t="s">
        <v>1215</v>
      </c>
      <c r="C210" t="s">
        <v>1208</v>
      </c>
    </row>
    <row r="211" spans="1:3" x14ac:dyDescent="0.3">
      <c r="A211" t="s">
        <v>1216</v>
      </c>
      <c r="C211" t="s">
        <v>1209</v>
      </c>
    </row>
    <row r="212" spans="1:3" x14ac:dyDescent="0.3">
      <c r="A212" t="s">
        <v>1217</v>
      </c>
      <c r="C212" t="s">
        <v>1309</v>
      </c>
    </row>
    <row r="213" spans="1:3" x14ac:dyDescent="0.3">
      <c r="A213" t="s">
        <v>1218</v>
      </c>
      <c r="C213" t="s">
        <v>1310</v>
      </c>
    </row>
    <row r="214" spans="1:3" x14ac:dyDescent="0.3">
      <c r="A214" t="s">
        <v>1219</v>
      </c>
      <c r="C214" t="s">
        <v>1311</v>
      </c>
    </row>
    <row r="215" spans="1:3" x14ac:dyDescent="0.3">
      <c r="A215" t="s">
        <v>1220</v>
      </c>
      <c r="C215" t="s">
        <v>1312</v>
      </c>
    </row>
    <row r="216" spans="1:3" x14ac:dyDescent="0.3">
      <c r="A216" t="s">
        <v>1221</v>
      </c>
      <c r="C216" t="s">
        <v>1313</v>
      </c>
    </row>
    <row r="217" spans="1:3" x14ac:dyDescent="0.3">
      <c r="A217" t="s">
        <v>1222</v>
      </c>
      <c r="C217" t="s">
        <v>1314</v>
      </c>
    </row>
    <row r="218" spans="1:3" x14ac:dyDescent="0.3">
      <c r="A218" t="s">
        <v>1223</v>
      </c>
      <c r="C218" t="s">
        <v>1315</v>
      </c>
    </row>
    <row r="219" spans="1:3" x14ac:dyDescent="0.3">
      <c r="A219" t="s">
        <v>1224</v>
      </c>
      <c r="C219" t="s">
        <v>1316</v>
      </c>
    </row>
    <row r="220" spans="1:3" x14ac:dyDescent="0.3">
      <c r="A220" t="s">
        <v>1225</v>
      </c>
      <c r="C220" t="s">
        <v>1317</v>
      </c>
    </row>
    <row r="221" spans="1:3" x14ac:dyDescent="0.3">
      <c r="A221" t="s">
        <v>1226</v>
      </c>
      <c r="C221" t="s">
        <v>1318</v>
      </c>
    </row>
    <row r="222" spans="1:3" x14ac:dyDescent="0.3">
      <c r="A222" t="s">
        <v>1227</v>
      </c>
      <c r="C222" t="s">
        <v>1319</v>
      </c>
    </row>
    <row r="223" spans="1:3" x14ac:dyDescent="0.3">
      <c r="A223" t="s">
        <v>1228</v>
      </c>
      <c r="C223" t="s">
        <v>1320</v>
      </c>
    </row>
    <row r="224" spans="1:3" x14ac:dyDescent="0.3">
      <c r="A224" t="s">
        <v>1229</v>
      </c>
      <c r="C224" t="s">
        <v>1321</v>
      </c>
    </row>
    <row r="225" spans="1:3" x14ac:dyDescent="0.3">
      <c r="A225" t="s">
        <v>1230</v>
      </c>
      <c r="C225" t="s">
        <v>1322</v>
      </c>
    </row>
    <row r="226" spans="1:3" x14ac:dyDescent="0.3">
      <c r="A226" t="s">
        <v>1231</v>
      </c>
      <c r="C226" t="s">
        <v>1323</v>
      </c>
    </row>
    <row r="227" spans="1:3" x14ac:dyDescent="0.3">
      <c r="A227" t="s">
        <v>1232</v>
      </c>
      <c r="C227" t="s">
        <v>1324</v>
      </c>
    </row>
    <row r="228" spans="1:3" x14ac:dyDescent="0.3">
      <c r="A228" t="s">
        <v>1233</v>
      </c>
      <c r="C228" t="s">
        <v>1325</v>
      </c>
    </row>
    <row r="229" spans="1:3" x14ac:dyDescent="0.3">
      <c r="A229" t="s">
        <v>1234</v>
      </c>
      <c r="C229" t="s">
        <v>1326</v>
      </c>
    </row>
    <row r="230" spans="1:3" x14ac:dyDescent="0.3">
      <c r="A230" t="s">
        <v>1235</v>
      </c>
      <c r="C230" t="s">
        <v>1327</v>
      </c>
    </row>
    <row r="231" spans="1:3" x14ac:dyDescent="0.3">
      <c r="A231" t="s">
        <v>1236</v>
      </c>
      <c r="C231" t="s">
        <v>1328</v>
      </c>
    </row>
    <row r="232" spans="1:3" x14ac:dyDescent="0.3">
      <c r="A232" t="s">
        <v>1237</v>
      </c>
      <c r="C232" t="s">
        <v>1329</v>
      </c>
    </row>
    <row r="233" spans="1:3" x14ac:dyDescent="0.3">
      <c r="A233" t="s">
        <v>1238</v>
      </c>
      <c r="C233" t="s">
        <v>1330</v>
      </c>
    </row>
    <row r="234" spans="1:3" x14ac:dyDescent="0.3">
      <c r="A234" t="s">
        <v>1239</v>
      </c>
      <c r="C234" t="s">
        <v>1331</v>
      </c>
    </row>
    <row r="235" spans="1:3" x14ac:dyDescent="0.3">
      <c r="A235" t="s">
        <v>1240</v>
      </c>
      <c r="C235" t="s">
        <v>1332</v>
      </c>
    </row>
    <row r="236" spans="1:3" x14ac:dyDescent="0.3">
      <c r="A236" t="s">
        <v>1241</v>
      </c>
      <c r="C236" t="s">
        <v>1333</v>
      </c>
    </row>
    <row r="237" spans="1:3" x14ac:dyDescent="0.3">
      <c r="A237" t="s">
        <v>1242</v>
      </c>
      <c r="C237" t="s">
        <v>1334</v>
      </c>
    </row>
    <row r="238" spans="1:3" x14ac:dyDescent="0.3">
      <c r="A238" t="s">
        <v>1243</v>
      </c>
      <c r="C238" t="s">
        <v>1335</v>
      </c>
    </row>
    <row r="239" spans="1:3" x14ac:dyDescent="0.3">
      <c r="A239" t="s">
        <v>1244</v>
      </c>
      <c r="C239" t="s">
        <v>1336</v>
      </c>
    </row>
    <row r="240" spans="1:3" x14ac:dyDescent="0.3">
      <c r="A240" t="s">
        <v>1245</v>
      </c>
      <c r="C240" t="s">
        <v>1337</v>
      </c>
    </row>
    <row r="241" spans="1:3" x14ac:dyDescent="0.3">
      <c r="A241" t="s">
        <v>1246</v>
      </c>
      <c r="C241" t="s">
        <v>1338</v>
      </c>
    </row>
    <row r="242" spans="1:3" x14ac:dyDescent="0.3">
      <c r="A242" t="s">
        <v>1247</v>
      </c>
      <c r="C242" t="s">
        <v>1339</v>
      </c>
    </row>
    <row r="243" spans="1:3" x14ac:dyDescent="0.3">
      <c r="A243" t="s">
        <v>1248</v>
      </c>
      <c r="C243" t="s">
        <v>1340</v>
      </c>
    </row>
    <row r="244" spans="1:3" x14ac:dyDescent="0.3">
      <c r="A244" t="s">
        <v>1249</v>
      </c>
      <c r="C244" t="s">
        <v>1341</v>
      </c>
    </row>
    <row r="245" spans="1:3" x14ac:dyDescent="0.3">
      <c r="A245" t="s">
        <v>1250</v>
      </c>
      <c r="C245" t="s">
        <v>1342</v>
      </c>
    </row>
    <row r="246" spans="1:3" x14ac:dyDescent="0.3">
      <c r="A246" t="s">
        <v>1251</v>
      </c>
      <c r="C246" t="s">
        <v>1343</v>
      </c>
    </row>
    <row r="247" spans="1:3" x14ac:dyDescent="0.3">
      <c r="A247" t="s">
        <v>1252</v>
      </c>
      <c r="C247" t="s">
        <v>1344</v>
      </c>
    </row>
    <row r="248" spans="1:3" x14ac:dyDescent="0.3">
      <c r="A248" t="s">
        <v>1253</v>
      </c>
      <c r="C248" t="s">
        <v>1345</v>
      </c>
    </row>
    <row r="249" spans="1:3" x14ac:dyDescent="0.3">
      <c r="A249" t="s">
        <v>1254</v>
      </c>
      <c r="C249" t="s">
        <v>1346</v>
      </c>
    </row>
    <row r="250" spans="1:3" x14ac:dyDescent="0.3">
      <c r="A250" t="s">
        <v>1255</v>
      </c>
      <c r="C250" t="s">
        <v>1347</v>
      </c>
    </row>
    <row r="251" spans="1:3" x14ac:dyDescent="0.3">
      <c r="A251" t="s">
        <v>1256</v>
      </c>
      <c r="C251" t="s">
        <v>1348</v>
      </c>
    </row>
    <row r="252" spans="1:3" x14ac:dyDescent="0.3">
      <c r="A252" t="s">
        <v>1257</v>
      </c>
      <c r="C252" t="s">
        <v>1349</v>
      </c>
    </row>
    <row r="253" spans="1:3" x14ac:dyDescent="0.3">
      <c r="A253" t="s">
        <v>1258</v>
      </c>
      <c r="C253" t="s">
        <v>1350</v>
      </c>
    </row>
    <row r="254" spans="1:3" x14ac:dyDescent="0.3">
      <c r="A254" t="s">
        <v>1259</v>
      </c>
      <c r="C254" t="s">
        <v>1351</v>
      </c>
    </row>
    <row r="255" spans="1:3" x14ac:dyDescent="0.3">
      <c r="A255" t="s">
        <v>1260</v>
      </c>
      <c r="C255" t="s">
        <v>1352</v>
      </c>
    </row>
    <row r="256" spans="1:3" x14ac:dyDescent="0.3">
      <c r="A256" t="s">
        <v>1261</v>
      </c>
      <c r="C256" t="s">
        <v>1353</v>
      </c>
    </row>
    <row r="257" spans="1:3" x14ac:dyDescent="0.3">
      <c r="A257" t="s">
        <v>1262</v>
      </c>
      <c r="C257" t="s">
        <v>1354</v>
      </c>
    </row>
    <row r="258" spans="1:3" x14ac:dyDescent="0.3">
      <c r="A258" t="s">
        <v>1263</v>
      </c>
      <c r="C258" t="s">
        <v>1355</v>
      </c>
    </row>
    <row r="259" spans="1:3" x14ac:dyDescent="0.3">
      <c r="A259" t="s">
        <v>1264</v>
      </c>
      <c r="C259" t="s">
        <v>1356</v>
      </c>
    </row>
    <row r="260" spans="1:3" x14ac:dyDescent="0.3">
      <c r="A260" t="s">
        <v>1265</v>
      </c>
      <c r="C260" t="s">
        <v>1357</v>
      </c>
    </row>
    <row r="261" spans="1:3" x14ac:dyDescent="0.3">
      <c r="A261" t="s">
        <v>1266</v>
      </c>
      <c r="C261" t="s">
        <v>1358</v>
      </c>
    </row>
    <row r="262" spans="1:3" x14ac:dyDescent="0.3">
      <c r="A262" t="s">
        <v>1267</v>
      </c>
      <c r="C262" t="s">
        <v>1359</v>
      </c>
    </row>
    <row r="263" spans="1:3" x14ac:dyDescent="0.3">
      <c r="A263" t="s">
        <v>1268</v>
      </c>
      <c r="C263" t="s">
        <v>1360</v>
      </c>
    </row>
    <row r="264" spans="1:3" x14ac:dyDescent="0.3">
      <c r="A264" t="s">
        <v>1269</v>
      </c>
      <c r="C264" t="s">
        <v>1361</v>
      </c>
    </row>
    <row r="265" spans="1:3" x14ac:dyDescent="0.3">
      <c r="A265" t="s">
        <v>1270</v>
      </c>
      <c r="C265" t="s">
        <v>1362</v>
      </c>
    </row>
    <row r="266" spans="1:3" x14ac:dyDescent="0.3">
      <c r="A266" t="s">
        <v>1271</v>
      </c>
      <c r="C266" t="s">
        <v>1363</v>
      </c>
    </row>
    <row r="267" spans="1:3" x14ac:dyDescent="0.3">
      <c r="A267" t="s">
        <v>1272</v>
      </c>
      <c r="C267" t="s">
        <v>1364</v>
      </c>
    </row>
    <row r="268" spans="1:3" x14ac:dyDescent="0.3">
      <c r="A268" t="s">
        <v>1273</v>
      </c>
      <c r="C268" t="s">
        <v>1365</v>
      </c>
    </row>
    <row r="269" spans="1:3" x14ac:dyDescent="0.3">
      <c r="A269" t="s">
        <v>1274</v>
      </c>
      <c r="C269" t="s">
        <v>1366</v>
      </c>
    </row>
    <row r="270" spans="1:3" x14ac:dyDescent="0.3">
      <c r="A270" t="s">
        <v>1275</v>
      </c>
      <c r="C270" t="s">
        <v>1367</v>
      </c>
    </row>
    <row r="271" spans="1:3" x14ac:dyDescent="0.3">
      <c r="A271" t="s">
        <v>1276</v>
      </c>
      <c r="C271" t="s">
        <v>1368</v>
      </c>
    </row>
    <row r="272" spans="1:3" x14ac:dyDescent="0.3">
      <c r="A272" t="s">
        <v>1277</v>
      </c>
      <c r="C272" t="s">
        <v>1369</v>
      </c>
    </row>
    <row r="273" spans="1:3" x14ac:dyDescent="0.3">
      <c r="A273" t="s">
        <v>1278</v>
      </c>
      <c r="C273" t="s">
        <v>1370</v>
      </c>
    </row>
    <row r="274" spans="1:3" x14ac:dyDescent="0.3">
      <c r="A274" t="s">
        <v>1279</v>
      </c>
      <c r="C274" t="s">
        <v>1371</v>
      </c>
    </row>
    <row r="275" spans="1:3" x14ac:dyDescent="0.3">
      <c r="A275" t="s">
        <v>1280</v>
      </c>
      <c r="C275" t="s">
        <v>1372</v>
      </c>
    </row>
    <row r="276" spans="1:3" x14ac:dyDescent="0.3">
      <c r="A276" t="s">
        <v>1281</v>
      </c>
      <c r="C276" t="s">
        <v>1373</v>
      </c>
    </row>
    <row r="277" spans="1:3" x14ac:dyDescent="0.3">
      <c r="A277" t="s">
        <v>1282</v>
      </c>
      <c r="C277" t="s">
        <v>1374</v>
      </c>
    </row>
    <row r="278" spans="1:3" x14ac:dyDescent="0.3">
      <c r="A278" t="s">
        <v>1283</v>
      </c>
      <c r="C278" t="s">
        <v>1375</v>
      </c>
    </row>
    <row r="279" spans="1:3" x14ac:dyDescent="0.3">
      <c r="A279" t="s">
        <v>1284</v>
      </c>
      <c r="C279" t="s">
        <v>1376</v>
      </c>
    </row>
    <row r="280" spans="1:3" x14ac:dyDescent="0.3">
      <c r="A280" t="s">
        <v>1285</v>
      </c>
      <c r="C280" t="s">
        <v>1377</v>
      </c>
    </row>
    <row r="281" spans="1:3" x14ac:dyDescent="0.3">
      <c r="A281" t="s">
        <v>1286</v>
      </c>
      <c r="C281" t="s">
        <v>1378</v>
      </c>
    </row>
    <row r="282" spans="1:3" x14ac:dyDescent="0.3">
      <c r="A282" t="s">
        <v>1287</v>
      </c>
      <c r="C282" t="s">
        <v>1379</v>
      </c>
    </row>
    <row r="283" spans="1:3" x14ac:dyDescent="0.3">
      <c r="A283" t="s">
        <v>1288</v>
      </c>
      <c r="C283" t="s">
        <v>1380</v>
      </c>
    </row>
    <row r="284" spans="1:3" x14ac:dyDescent="0.3">
      <c r="A284" t="s">
        <v>1289</v>
      </c>
      <c r="C284" t="s">
        <v>1381</v>
      </c>
    </row>
    <row r="285" spans="1:3" x14ac:dyDescent="0.3">
      <c r="A285" t="s">
        <v>1290</v>
      </c>
      <c r="C285" t="s">
        <v>1382</v>
      </c>
    </row>
    <row r="286" spans="1:3" x14ac:dyDescent="0.3">
      <c r="A286" t="s">
        <v>1291</v>
      </c>
      <c r="C286" t="s">
        <v>1383</v>
      </c>
    </row>
    <row r="287" spans="1:3" x14ac:dyDescent="0.3">
      <c r="A287" t="s">
        <v>1292</v>
      </c>
      <c r="C287" t="s">
        <v>1384</v>
      </c>
    </row>
    <row r="288" spans="1:3" x14ac:dyDescent="0.3">
      <c r="A288" t="s">
        <v>1293</v>
      </c>
      <c r="C288" t="s">
        <v>1385</v>
      </c>
    </row>
    <row r="289" spans="1:3" x14ac:dyDescent="0.3">
      <c r="A289" t="s">
        <v>1294</v>
      </c>
      <c r="C289" t="s">
        <v>1386</v>
      </c>
    </row>
    <row r="290" spans="1:3" x14ac:dyDescent="0.3">
      <c r="A290" t="s">
        <v>1295</v>
      </c>
      <c r="C290" t="s">
        <v>1387</v>
      </c>
    </row>
    <row r="291" spans="1:3" x14ac:dyDescent="0.3">
      <c r="A291" t="s">
        <v>1296</v>
      </c>
      <c r="C291" t="s">
        <v>1388</v>
      </c>
    </row>
    <row r="292" spans="1:3" x14ac:dyDescent="0.3">
      <c r="A292" t="s">
        <v>1297</v>
      </c>
      <c r="C292" t="s">
        <v>1389</v>
      </c>
    </row>
    <row r="293" spans="1:3" x14ac:dyDescent="0.3">
      <c r="A293" t="s">
        <v>1298</v>
      </c>
      <c r="C293" t="s">
        <v>1390</v>
      </c>
    </row>
    <row r="294" spans="1:3" x14ac:dyDescent="0.3">
      <c r="A294" t="s">
        <v>1299</v>
      </c>
      <c r="C294" t="s">
        <v>1391</v>
      </c>
    </row>
    <row r="295" spans="1:3" x14ac:dyDescent="0.3">
      <c r="A295" t="s">
        <v>1300</v>
      </c>
      <c r="C295" t="s">
        <v>1392</v>
      </c>
    </row>
    <row r="296" spans="1:3" x14ac:dyDescent="0.3">
      <c r="A296" t="s">
        <v>1301</v>
      </c>
      <c r="C296" t="s">
        <v>1393</v>
      </c>
    </row>
    <row r="297" spans="1:3" x14ac:dyDescent="0.3">
      <c r="A297" t="s">
        <v>1302</v>
      </c>
      <c r="C297" t="s">
        <v>1394</v>
      </c>
    </row>
    <row r="298" spans="1:3" x14ac:dyDescent="0.3">
      <c r="A298" t="s">
        <v>1303</v>
      </c>
      <c r="C298" t="s">
        <v>1395</v>
      </c>
    </row>
    <row r="299" spans="1:3" x14ac:dyDescent="0.3">
      <c r="A299" t="s">
        <v>1304</v>
      </c>
      <c r="C299" t="s">
        <v>1396</v>
      </c>
    </row>
    <row r="300" spans="1:3" x14ac:dyDescent="0.3">
      <c r="A300" t="s">
        <v>1305</v>
      </c>
      <c r="C300" t="s">
        <v>1397</v>
      </c>
    </row>
    <row r="301" spans="1:3" x14ac:dyDescent="0.3">
      <c r="A301" t="s">
        <v>1306</v>
      </c>
      <c r="C301" t="s">
        <v>1398</v>
      </c>
    </row>
    <row r="302" spans="1:3" x14ac:dyDescent="0.3">
      <c r="A302" t="s">
        <v>1307</v>
      </c>
      <c r="C302" t="s">
        <v>1399</v>
      </c>
    </row>
    <row r="303" spans="1:3" x14ac:dyDescent="0.3">
      <c r="A303" t="s">
        <v>1308</v>
      </c>
      <c r="C303" t="s">
        <v>1400</v>
      </c>
    </row>
    <row r="304" spans="1:3" x14ac:dyDescent="0.3">
      <c r="A304" t="s">
        <v>1409</v>
      </c>
      <c r="C304" t="s">
        <v>1401</v>
      </c>
    </row>
    <row r="305" spans="1:5" x14ac:dyDescent="0.3">
      <c r="A305" t="s">
        <v>1410</v>
      </c>
      <c r="C305" t="s">
        <v>1402</v>
      </c>
      <c r="D305" s="6"/>
      <c r="E305" s="6"/>
    </row>
    <row r="306" spans="1:5" x14ac:dyDescent="0.3">
      <c r="A306" t="s">
        <v>1411</v>
      </c>
      <c r="C306" t="s">
        <v>1403</v>
      </c>
      <c r="D306" s="6"/>
      <c r="E306" s="6"/>
    </row>
    <row r="307" spans="1:5" x14ac:dyDescent="0.3">
      <c r="A307" t="s">
        <v>1412</v>
      </c>
      <c r="C307" t="s">
        <v>1404</v>
      </c>
      <c r="D307" s="6"/>
      <c r="E307" s="6"/>
    </row>
    <row r="308" spans="1:5" x14ac:dyDescent="0.3">
      <c r="A308" t="s">
        <v>1413</v>
      </c>
      <c r="C308" t="s">
        <v>1405</v>
      </c>
      <c r="D308" s="6"/>
      <c r="E308" s="6"/>
    </row>
    <row r="309" spans="1:5" x14ac:dyDescent="0.3">
      <c r="A309" t="s">
        <v>1414</v>
      </c>
      <c r="C309" t="s">
        <v>1406</v>
      </c>
      <c r="D309" s="6"/>
      <c r="E309" s="6"/>
    </row>
    <row r="310" spans="1:5" x14ac:dyDescent="0.3">
      <c r="A310" t="s">
        <v>1415</v>
      </c>
      <c r="C310" t="s">
        <v>1407</v>
      </c>
      <c r="D310" s="6"/>
      <c r="E310" s="6"/>
    </row>
    <row r="311" spans="1:5" x14ac:dyDescent="0.3">
      <c r="A311" t="s">
        <v>1416</v>
      </c>
      <c r="C311" t="s">
        <v>1408</v>
      </c>
      <c r="D311" s="6"/>
      <c r="E311" s="6"/>
    </row>
    <row r="312" spans="1:5" x14ac:dyDescent="0.3">
      <c r="A312" t="s">
        <v>1064</v>
      </c>
      <c r="C312" t="s">
        <v>1417</v>
      </c>
    </row>
    <row r="313" spans="1:5" x14ac:dyDescent="0.3">
      <c r="A313" t="s">
        <v>1964</v>
      </c>
      <c r="C313" t="s">
        <v>1418</v>
      </c>
      <c r="E313" s="6"/>
    </row>
    <row r="314" spans="1:5" x14ac:dyDescent="0.3">
      <c r="A314" t="s">
        <v>1965</v>
      </c>
      <c r="C314" t="s">
        <v>1419</v>
      </c>
      <c r="E314" s="6"/>
    </row>
    <row r="315" spans="1:5" x14ac:dyDescent="0.3">
      <c r="A315" t="s">
        <v>1065</v>
      </c>
      <c r="C315" t="s">
        <v>1420</v>
      </c>
      <c r="E315" s="6"/>
    </row>
    <row r="316" spans="1:5" x14ac:dyDescent="0.3">
      <c r="A316" t="s">
        <v>1966</v>
      </c>
      <c r="C316" t="s">
        <v>1421</v>
      </c>
      <c r="E316" s="6"/>
    </row>
    <row r="317" spans="1:5" x14ac:dyDescent="0.3">
      <c r="A317" t="s">
        <v>1967</v>
      </c>
      <c r="C317" t="s">
        <v>1422</v>
      </c>
      <c r="E317" s="6"/>
    </row>
    <row r="318" spans="1:5" x14ac:dyDescent="0.3">
      <c r="A318" t="s">
        <v>1968</v>
      </c>
      <c r="C318" t="s">
        <v>1423</v>
      </c>
      <c r="E318" s="6"/>
    </row>
    <row r="319" spans="1:5" x14ac:dyDescent="0.3">
      <c r="A319" t="s">
        <v>1969</v>
      </c>
      <c r="C319" t="s">
        <v>1424</v>
      </c>
      <c r="E319" s="6"/>
    </row>
    <row r="320" spans="1:5" x14ac:dyDescent="0.3">
      <c r="A320" t="s">
        <v>1970</v>
      </c>
      <c r="C320" t="s">
        <v>1425</v>
      </c>
      <c r="E320" s="6"/>
    </row>
    <row r="321" spans="1:5" x14ac:dyDescent="0.3">
      <c r="A321" t="s">
        <v>1066</v>
      </c>
      <c r="C321" t="s">
        <v>1426</v>
      </c>
      <c r="E321" s="6"/>
    </row>
    <row r="322" spans="1:5" x14ac:dyDescent="0.3">
      <c r="A322" t="s">
        <v>1971</v>
      </c>
      <c r="C322" t="s">
        <v>1427</v>
      </c>
      <c r="E322" s="6"/>
    </row>
    <row r="323" spans="1:5" x14ac:dyDescent="0.3">
      <c r="A323" t="s">
        <v>1067</v>
      </c>
      <c r="C323" t="s">
        <v>1428</v>
      </c>
      <c r="E323" s="6"/>
    </row>
    <row r="324" spans="1:5" x14ac:dyDescent="0.3">
      <c r="A324" t="s">
        <v>1972</v>
      </c>
      <c r="C324" t="s">
        <v>1429</v>
      </c>
      <c r="E324" s="6"/>
    </row>
    <row r="325" spans="1:5" x14ac:dyDescent="0.3">
      <c r="A325" t="s">
        <v>1973</v>
      </c>
      <c r="C325" t="s">
        <v>1430</v>
      </c>
      <c r="E325" s="6"/>
    </row>
    <row r="326" spans="1:5" x14ac:dyDescent="0.3">
      <c r="A326" t="s">
        <v>1974</v>
      </c>
      <c r="C326" t="s">
        <v>1431</v>
      </c>
      <c r="E326" s="6"/>
    </row>
    <row r="327" spans="1:5" x14ac:dyDescent="0.3">
      <c r="A327" t="s">
        <v>1975</v>
      </c>
      <c r="C327" t="s">
        <v>1432</v>
      </c>
      <c r="E327" s="6"/>
    </row>
    <row r="328" spans="1:5" x14ac:dyDescent="0.3">
      <c r="A328" t="s">
        <v>1976</v>
      </c>
      <c r="C328" t="s">
        <v>1433</v>
      </c>
      <c r="E328" s="6"/>
    </row>
    <row r="329" spans="1:5" x14ac:dyDescent="0.3">
      <c r="A329" t="s">
        <v>1977</v>
      </c>
      <c r="C329" t="s">
        <v>1434</v>
      </c>
      <c r="E329" s="6"/>
    </row>
    <row r="330" spans="1:5" x14ac:dyDescent="0.3">
      <c r="A330" t="s">
        <v>1978</v>
      </c>
      <c r="C330" t="s">
        <v>1435</v>
      </c>
      <c r="E330" s="6"/>
    </row>
    <row r="331" spans="1:5" x14ac:dyDescent="0.3">
      <c r="A331" t="s">
        <v>1979</v>
      </c>
      <c r="C331" t="s">
        <v>1436</v>
      </c>
      <c r="E331" s="6"/>
    </row>
    <row r="332" spans="1:5" x14ac:dyDescent="0.3">
      <c r="A332" t="s">
        <v>1980</v>
      </c>
      <c r="C332" t="s">
        <v>1437</v>
      </c>
      <c r="E332" s="6"/>
    </row>
    <row r="333" spans="1:5" x14ac:dyDescent="0.3">
      <c r="A333" t="s">
        <v>1068</v>
      </c>
      <c r="C333" t="s">
        <v>1438</v>
      </c>
      <c r="E333" s="6"/>
    </row>
    <row r="334" spans="1:5" x14ac:dyDescent="0.3">
      <c r="A334" t="s">
        <v>1069</v>
      </c>
      <c r="C334" t="s">
        <v>1439</v>
      </c>
      <c r="E334" s="6"/>
    </row>
    <row r="335" spans="1:5" x14ac:dyDescent="0.3">
      <c r="A335" t="s">
        <v>1070</v>
      </c>
      <c r="C335" t="s">
        <v>1440</v>
      </c>
      <c r="E335" s="6"/>
    </row>
    <row r="336" spans="1:5" x14ac:dyDescent="0.3">
      <c r="A336" t="s">
        <v>1071</v>
      </c>
      <c r="C336" t="s">
        <v>1441</v>
      </c>
      <c r="E336" s="6"/>
    </row>
    <row r="337" spans="1:5" x14ac:dyDescent="0.3">
      <c r="A337" t="s">
        <v>1072</v>
      </c>
      <c r="C337" t="s">
        <v>1442</v>
      </c>
      <c r="E337" s="6"/>
    </row>
    <row r="338" spans="1:5" x14ac:dyDescent="0.3">
      <c r="A338" t="s">
        <v>1073</v>
      </c>
      <c r="C338" t="s">
        <v>1443</v>
      </c>
      <c r="E338" s="6"/>
    </row>
    <row r="339" spans="1:5" x14ac:dyDescent="0.3">
      <c r="A339" t="s">
        <v>1981</v>
      </c>
      <c r="C339" t="s">
        <v>1444</v>
      </c>
      <c r="E339" s="6"/>
    </row>
    <row r="340" spans="1:5" x14ac:dyDescent="0.3">
      <c r="A340" t="s">
        <v>1982</v>
      </c>
      <c r="C340" t="s">
        <v>1445</v>
      </c>
      <c r="E340" s="6"/>
    </row>
    <row r="341" spans="1:5" x14ac:dyDescent="0.3">
      <c r="A341" t="s">
        <v>1983</v>
      </c>
      <c r="C341" t="s">
        <v>1446</v>
      </c>
      <c r="E341" s="6"/>
    </row>
    <row r="342" spans="1:5" x14ac:dyDescent="0.3">
      <c r="A342" t="s">
        <v>1984</v>
      </c>
      <c r="C342" t="s">
        <v>1447</v>
      </c>
      <c r="E342" s="6"/>
    </row>
    <row r="343" spans="1:5" x14ac:dyDescent="0.3">
      <c r="A343" t="s">
        <v>1985</v>
      </c>
      <c r="C343" t="s">
        <v>1448</v>
      </c>
      <c r="E343" s="6"/>
    </row>
    <row r="344" spans="1:5" x14ac:dyDescent="0.3">
      <c r="A344" t="s">
        <v>1986</v>
      </c>
      <c r="C344" t="s">
        <v>1449</v>
      </c>
      <c r="E344" s="6"/>
    </row>
    <row r="345" spans="1:5" x14ac:dyDescent="0.3">
      <c r="A345" t="s">
        <v>1987</v>
      </c>
      <c r="C345" t="s">
        <v>1450</v>
      </c>
      <c r="E345" s="6"/>
    </row>
    <row r="346" spans="1:5" x14ac:dyDescent="0.3">
      <c r="A346" t="s">
        <v>1988</v>
      </c>
      <c r="C346" t="s">
        <v>1451</v>
      </c>
      <c r="E346" s="6"/>
    </row>
    <row r="347" spans="1:5" x14ac:dyDescent="0.3">
      <c r="A347" t="s">
        <v>1989</v>
      </c>
      <c r="C347" t="s">
        <v>1452</v>
      </c>
      <c r="E347" s="6"/>
    </row>
    <row r="348" spans="1:5" x14ac:dyDescent="0.3">
      <c r="A348" t="s">
        <v>1990</v>
      </c>
      <c r="C348" t="s">
        <v>1453</v>
      </c>
      <c r="E348" s="6"/>
    </row>
    <row r="349" spans="1:5" x14ac:dyDescent="0.3">
      <c r="A349" t="s">
        <v>1991</v>
      </c>
      <c r="C349" t="s">
        <v>1454</v>
      </c>
      <c r="E349" s="6"/>
    </row>
    <row r="350" spans="1:5" x14ac:dyDescent="0.3">
      <c r="A350" t="s">
        <v>1992</v>
      </c>
      <c r="C350" t="s">
        <v>1455</v>
      </c>
      <c r="E350" s="6"/>
    </row>
    <row r="351" spans="1:5" x14ac:dyDescent="0.3">
      <c r="A351" t="s">
        <v>1993</v>
      </c>
      <c r="C351" t="s">
        <v>1456</v>
      </c>
      <c r="E351" s="6"/>
    </row>
    <row r="352" spans="1:5" x14ac:dyDescent="0.3">
      <c r="A352" t="s">
        <v>1994</v>
      </c>
      <c r="C352" t="s">
        <v>1457</v>
      </c>
      <c r="E352" s="6"/>
    </row>
    <row r="353" spans="1:5" x14ac:dyDescent="0.3">
      <c r="A353" t="s">
        <v>1995</v>
      </c>
      <c r="C353" t="s">
        <v>1458</v>
      </c>
      <c r="E353" s="6"/>
    </row>
    <row r="354" spans="1:5" x14ac:dyDescent="0.3">
      <c r="A354" t="s">
        <v>1996</v>
      </c>
      <c r="C354" t="s">
        <v>1459</v>
      </c>
      <c r="E354" s="6"/>
    </row>
    <row r="355" spans="1:5" x14ac:dyDescent="0.3">
      <c r="A355" t="s">
        <v>1997</v>
      </c>
      <c r="C355" t="s">
        <v>1460</v>
      </c>
      <c r="E355" s="6"/>
    </row>
    <row r="356" spans="1:5" x14ac:dyDescent="0.3">
      <c r="A356" t="s">
        <v>1998</v>
      </c>
      <c r="C356" t="s">
        <v>1461</v>
      </c>
      <c r="E356" s="6"/>
    </row>
    <row r="357" spans="1:5" x14ac:dyDescent="0.3">
      <c r="A357" t="s">
        <v>1999</v>
      </c>
      <c r="C357" t="s">
        <v>1462</v>
      </c>
      <c r="E357" s="6"/>
    </row>
    <row r="358" spans="1:5" x14ac:dyDescent="0.3">
      <c r="A358" t="s">
        <v>2000</v>
      </c>
      <c r="C358" t="s">
        <v>1463</v>
      </c>
      <c r="E358" s="6"/>
    </row>
    <row r="359" spans="1:5" x14ac:dyDescent="0.3">
      <c r="A359" t="s">
        <v>2001</v>
      </c>
      <c r="C359" t="s">
        <v>1464</v>
      </c>
      <c r="E359" s="6"/>
    </row>
    <row r="360" spans="1:5" x14ac:dyDescent="0.3">
      <c r="A360" t="s">
        <v>2002</v>
      </c>
      <c r="C360" t="s">
        <v>1465</v>
      </c>
      <c r="E360" s="6"/>
    </row>
    <row r="361" spans="1:5" x14ac:dyDescent="0.3">
      <c r="A361" t="s">
        <v>2003</v>
      </c>
      <c r="C361" t="s">
        <v>1466</v>
      </c>
      <c r="E361" s="6"/>
    </row>
    <row r="362" spans="1:5" x14ac:dyDescent="0.3">
      <c r="A362" t="s">
        <v>2004</v>
      </c>
      <c r="C362" t="s">
        <v>1467</v>
      </c>
      <c r="E362" s="6"/>
    </row>
    <row r="363" spans="1:5" x14ac:dyDescent="0.3">
      <c r="A363" t="s">
        <v>2005</v>
      </c>
      <c r="C363" t="s">
        <v>1468</v>
      </c>
      <c r="E363" s="6"/>
    </row>
    <row r="364" spans="1:5" x14ac:dyDescent="0.3">
      <c r="A364" t="s">
        <v>2006</v>
      </c>
      <c r="C364" t="s">
        <v>1469</v>
      </c>
      <c r="E364" s="6"/>
    </row>
    <row r="365" spans="1:5" x14ac:dyDescent="0.3">
      <c r="A365" t="s">
        <v>2007</v>
      </c>
      <c r="C365" t="s">
        <v>1470</v>
      </c>
      <c r="E365" s="6"/>
    </row>
    <row r="366" spans="1:5" x14ac:dyDescent="0.3">
      <c r="A366" t="s">
        <v>2008</v>
      </c>
      <c r="C366" t="s">
        <v>1471</v>
      </c>
      <c r="E366" s="6"/>
    </row>
    <row r="367" spans="1:5" x14ac:dyDescent="0.3">
      <c r="A367" t="s">
        <v>2009</v>
      </c>
      <c r="C367" t="s">
        <v>1472</v>
      </c>
      <c r="E367" s="6"/>
    </row>
    <row r="368" spans="1:5" x14ac:dyDescent="0.3">
      <c r="A368" t="s">
        <v>2010</v>
      </c>
      <c r="C368" t="s">
        <v>1473</v>
      </c>
      <c r="E368" s="6"/>
    </row>
    <row r="369" spans="1:5" x14ac:dyDescent="0.3">
      <c r="A369" t="s">
        <v>2011</v>
      </c>
      <c r="C369" t="s">
        <v>1474</v>
      </c>
      <c r="E369" s="6"/>
    </row>
    <row r="370" spans="1:5" x14ac:dyDescent="0.3">
      <c r="A370" t="s">
        <v>2012</v>
      </c>
      <c r="C370" t="s">
        <v>1475</v>
      </c>
      <c r="E370" s="6"/>
    </row>
    <row r="371" spans="1:5" x14ac:dyDescent="0.3">
      <c r="A371" t="s">
        <v>2013</v>
      </c>
      <c r="C371" t="s">
        <v>1476</v>
      </c>
      <c r="E371" s="6"/>
    </row>
    <row r="372" spans="1:5" x14ac:dyDescent="0.3">
      <c r="A372" t="s">
        <v>2014</v>
      </c>
      <c r="C372" t="s">
        <v>1477</v>
      </c>
      <c r="E372" s="6"/>
    </row>
    <row r="373" spans="1:5" x14ac:dyDescent="0.3">
      <c r="A373" t="s">
        <v>2015</v>
      </c>
      <c r="C373" t="s">
        <v>1478</v>
      </c>
      <c r="E373" s="6"/>
    </row>
    <row r="374" spans="1:5" x14ac:dyDescent="0.3">
      <c r="A374" t="s">
        <v>2016</v>
      </c>
      <c r="C374" t="s">
        <v>1479</v>
      </c>
      <c r="E374" s="6"/>
    </row>
    <row r="375" spans="1:5" x14ac:dyDescent="0.3">
      <c r="A375" t="s">
        <v>1074</v>
      </c>
      <c r="C375" t="s">
        <v>1480</v>
      </c>
      <c r="E375" s="6"/>
    </row>
    <row r="376" spans="1:5" x14ac:dyDescent="0.3">
      <c r="A376" t="s">
        <v>2017</v>
      </c>
      <c r="C376" t="s">
        <v>1481</v>
      </c>
      <c r="E376" s="6"/>
    </row>
    <row r="377" spans="1:5" x14ac:dyDescent="0.3">
      <c r="A377" t="s">
        <v>2018</v>
      </c>
      <c r="C377" t="s">
        <v>1482</v>
      </c>
      <c r="E377" s="6"/>
    </row>
    <row r="378" spans="1:5" x14ac:dyDescent="0.3">
      <c r="A378" t="s">
        <v>2019</v>
      </c>
      <c r="C378" t="s">
        <v>1483</v>
      </c>
      <c r="E378" s="6"/>
    </row>
    <row r="379" spans="1:5" x14ac:dyDescent="0.3">
      <c r="A379" t="s">
        <v>2020</v>
      </c>
      <c r="C379" t="s">
        <v>1484</v>
      </c>
      <c r="E379" s="6"/>
    </row>
    <row r="380" spans="1:5" x14ac:dyDescent="0.3">
      <c r="A380" t="s">
        <v>2021</v>
      </c>
      <c r="C380" t="s">
        <v>1485</v>
      </c>
      <c r="E380" s="6"/>
    </row>
    <row r="381" spans="1:5" x14ac:dyDescent="0.3">
      <c r="A381" t="s">
        <v>2022</v>
      </c>
      <c r="C381" t="s">
        <v>1486</v>
      </c>
      <c r="E381" s="6"/>
    </row>
    <row r="382" spans="1:5" x14ac:dyDescent="0.3">
      <c r="A382" t="s">
        <v>2023</v>
      </c>
      <c r="C382" t="s">
        <v>1487</v>
      </c>
      <c r="E382" s="6"/>
    </row>
    <row r="383" spans="1:5" x14ac:dyDescent="0.3">
      <c r="A383" t="s">
        <v>2024</v>
      </c>
      <c r="C383" t="s">
        <v>1488</v>
      </c>
      <c r="E383" s="6"/>
    </row>
    <row r="384" spans="1:5" x14ac:dyDescent="0.3">
      <c r="A384" t="s">
        <v>2025</v>
      </c>
      <c r="C384" t="s">
        <v>1489</v>
      </c>
      <c r="E384" s="6"/>
    </row>
    <row r="385" spans="1:5" x14ac:dyDescent="0.3">
      <c r="A385" t="s">
        <v>2026</v>
      </c>
      <c r="C385" t="s">
        <v>1490</v>
      </c>
      <c r="E385" s="6"/>
    </row>
    <row r="386" spans="1:5" x14ac:dyDescent="0.3">
      <c r="A386" t="s">
        <v>2027</v>
      </c>
      <c r="C386" t="s">
        <v>1491</v>
      </c>
      <c r="E386" s="6"/>
    </row>
    <row r="387" spans="1:5" x14ac:dyDescent="0.3">
      <c r="A387" t="s">
        <v>2028</v>
      </c>
      <c r="C387" t="s">
        <v>1492</v>
      </c>
      <c r="E387" s="6"/>
    </row>
    <row r="388" spans="1:5" x14ac:dyDescent="0.3">
      <c r="A388" t="s">
        <v>2029</v>
      </c>
      <c r="C388" t="s">
        <v>1493</v>
      </c>
      <c r="E388" s="6"/>
    </row>
    <row r="389" spans="1:5" x14ac:dyDescent="0.3">
      <c r="A389" t="s">
        <v>2030</v>
      </c>
      <c r="C389" t="s">
        <v>1494</v>
      </c>
      <c r="E389" s="6"/>
    </row>
    <row r="390" spans="1:5" x14ac:dyDescent="0.3">
      <c r="A390" t="s">
        <v>2031</v>
      </c>
      <c r="C390" t="s">
        <v>1495</v>
      </c>
      <c r="E390" s="6"/>
    </row>
    <row r="391" spans="1:5" x14ac:dyDescent="0.3">
      <c r="A391" t="s">
        <v>2032</v>
      </c>
      <c r="C391" t="s">
        <v>1496</v>
      </c>
      <c r="E391" s="6"/>
    </row>
    <row r="392" spans="1:5" x14ac:dyDescent="0.3">
      <c r="A392" t="s">
        <v>2033</v>
      </c>
      <c r="C392" t="s">
        <v>1497</v>
      </c>
      <c r="E392" s="6"/>
    </row>
    <row r="393" spans="1:5" x14ac:dyDescent="0.3">
      <c r="A393" t="s">
        <v>2034</v>
      </c>
      <c r="C393" t="s">
        <v>1498</v>
      </c>
      <c r="E393" s="6"/>
    </row>
    <row r="394" spans="1:5" x14ac:dyDescent="0.3">
      <c r="A394" t="s">
        <v>2035</v>
      </c>
      <c r="C394" t="s">
        <v>1499</v>
      </c>
      <c r="E394" s="6"/>
    </row>
    <row r="395" spans="1:5" x14ac:dyDescent="0.3">
      <c r="A395" t="s">
        <v>2036</v>
      </c>
      <c r="C395" t="s">
        <v>1500</v>
      </c>
      <c r="E395" s="6"/>
    </row>
    <row r="396" spans="1:5" x14ac:dyDescent="0.3">
      <c r="A396" t="s">
        <v>2037</v>
      </c>
      <c r="C396" t="s">
        <v>1501</v>
      </c>
      <c r="E396" s="6"/>
    </row>
    <row r="397" spans="1:5" x14ac:dyDescent="0.3">
      <c r="A397" t="s">
        <v>2038</v>
      </c>
      <c r="C397" t="s">
        <v>1502</v>
      </c>
      <c r="E397" s="6"/>
    </row>
    <row r="398" spans="1:5" x14ac:dyDescent="0.3">
      <c r="A398" t="s">
        <v>2039</v>
      </c>
      <c r="C398" t="s">
        <v>1503</v>
      </c>
      <c r="E398" s="6"/>
    </row>
    <row r="399" spans="1:5" x14ac:dyDescent="0.3">
      <c r="A399" t="s">
        <v>2040</v>
      </c>
      <c r="C399" t="s">
        <v>1504</v>
      </c>
      <c r="E399" s="6"/>
    </row>
    <row r="400" spans="1:5" x14ac:dyDescent="0.3">
      <c r="A400" t="s">
        <v>2041</v>
      </c>
      <c r="C400" t="s">
        <v>1505</v>
      </c>
      <c r="E400" s="6"/>
    </row>
    <row r="401" spans="1:5" x14ac:dyDescent="0.3">
      <c r="A401" t="s">
        <v>2042</v>
      </c>
      <c r="C401" t="s">
        <v>1506</v>
      </c>
      <c r="E401" s="6"/>
    </row>
    <row r="402" spans="1:5" x14ac:dyDescent="0.3">
      <c r="A402" t="s">
        <v>2043</v>
      </c>
      <c r="C402" t="s">
        <v>1507</v>
      </c>
      <c r="E402" s="6"/>
    </row>
    <row r="403" spans="1:5" x14ac:dyDescent="0.3">
      <c r="A403" t="s">
        <v>2044</v>
      </c>
      <c r="C403" t="s">
        <v>1508</v>
      </c>
      <c r="E403" s="6"/>
    </row>
    <row r="404" spans="1:5" x14ac:dyDescent="0.3">
      <c r="A404" t="s">
        <v>2045</v>
      </c>
      <c r="C404" t="s">
        <v>1509</v>
      </c>
      <c r="E404" s="6"/>
    </row>
    <row r="405" spans="1:5" x14ac:dyDescent="0.3">
      <c r="A405" t="s">
        <v>2046</v>
      </c>
      <c r="C405" t="s">
        <v>1510</v>
      </c>
      <c r="E405" s="6"/>
    </row>
    <row r="406" spans="1:5" x14ac:dyDescent="0.3">
      <c r="A406" t="s">
        <v>2047</v>
      </c>
      <c r="C406" t="s">
        <v>1511</v>
      </c>
      <c r="E406" s="6"/>
    </row>
    <row r="407" spans="1:5" x14ac:dyDescent="0.3">
      <c r="A407" t="s">
        <v>2048</v>
      </c>
      <c r="C407" t="s">
        <v>1512</v>
      </c>
      <c r="E407" s="6"/>
    </row>
    <row r="408" spans="1:5" x14ac:dyDescent="0.3">
      <c r="A408" t="s">
        <v>2049</v>
      </c>
      <c r="C408" t="s">
        <v>1513</v>
      </c>
      <c r="E408" s="6"/>
    </row>
    <row r="409" spans="1:5" x14ac:dyDescent="0.3">
      <c r="A409" t="s">
        <v>2050</v>
      </c>
      <c r="C409" t="s">
        <v>1514</v>
      </c>
      <c r="E409" s="6"/>
    </row>
    <row r="410" spans="1:5" x14ac:dyDescent="0.3">
      <c r="A410" t="s">
        <v>2051</v>
      </c>
      <c r="C410" t="s">
        <v>1515</v>
      </c>
      <c r="E410" s="6"/>
    </row>
    <row r="411" spans="1:5" x14ac:dyDescent="0.3">
      <c r="A411" t="s">
        <v>2052</v>
      </c>
      <c r="C411" t="s">
        <v>1516</v>
      </c>
      <c r="E411" s="6"/>
    </row>
    <row r="412" spans="1:5" x14ac:dyDescent="0.3">
      <c r="A412" t="s">
        <v>2053</v>
      </c>
      <c r="C412" t="s">
        <v>1517</v>
      </c>
      <c r="E412" s="6"/>
    </row>
    <row r="413" spans="1:5" x14ac:dyDescent="0.3">
      <c r="A413" t="s">
        <v>2054</v>
      </c>
      <c r="C413" t="s">
        <v>1518</v>
      </c>
      <c r="E413" s="6"/>
    </row>
    <row r="414" spans="1:5" x14ac:dyDescent="0.3">
      <c r="A414" t="s">
        <v>2055</v>
      </c>
      <c r="C414" t="s">
        <v>1519</v>
      </c>
      <c r="E414" s="6"/>
    </row>
    <row r="415" spans="1:5" x14ac:dyDescent="0.3">
      <c r="A415" t="s">
        <v>2056</v>
      </c>
      <c r="C415" t="s">
        <v>1520</v>
      </c>
      <c r="E415" s="6"/>
    </row>
    <row r="416" spans="1:5" x14ac:dyDescent="0.3">
      <c r="A416" t="s">
        <v>2057</v>
      </c>
      <c r="C416" t="s">
        <v>1521</v>
      </c>
      <c r="E416" s="6"/>
    </row>
    <row r="417" spans="1:5" x14ac:dyDescent="0.3">
      <c r="A417" t="s">
        <v>2058</v>
      </c>
      <c r="C417" t="s">
        <v>1522</v>
      </c>
      <c r="E417" s="6"/>
    </row>
    <row r="418" spans="1:5" x14ac:dyDescent="0.3">
      <c r="A418" t="s">
        <v>2059</v>
      </c>
      <c r="C418" t="s">
        <v>1523</v>
      </c>
      <c r="E418" s="6"/>
    </row>
    <row r="419" spans="1:5" x14ac:dyDescent="0.3">
      <c r="A419" t="s">
        <v>2060</v>
      </c>
      <c r="C419" t="s">
        <v>1524</v>
      </c>
      <c r="E419" s="6"/>
    </row>
    <row r="420" spans="1:5" x14ac:dyDescent="0.3">
      <c r="A420" t="s">
        <v>2061</v>
      </c>
      <c r="C420" t="s">
        <v>1525</v>
      </c>
      <c r="E420" s="6"/>
    </row>
    <row r="421" spans="1:5" x14ac:dyDescent="0.3">
      <c r="A421" t="s">
        <v>2062</v>
      </c>
      <c r="C421" t="s">
        <v>1526</v>
      </c>
      <c r="E421" s="6"/>
    </row>
    <row r="422" spans="1:5" x14ac:dyDescent="0.3">
      <c r="A422" t="s">
        <v>2063</v>
      </c>
      <c r="C422" t="s">
        <v>1527</v>
      </c>
      <c r="E422" s="6"/>
    </row>
    <row r="423" spans="1:5" x14ac:dyDescent="0.3">
      <c r="A423" t="s">
        <v>2064</v>
      </c>
      <c r="C423" t="s">
        <v>1528</v>
      </c>
      <c r="E423" s="6"/>
    </row>
    <row r="424" spans="1:5" x14ac:dyDescent="0.3">
      <c r="A424" t="s">
        <v>2065</v>
      </c>
      <c r="C424" t="s">
        <v>1529</v>
      </c>
      <c r="E424" s="6"/>
    </row>
    <row r="425" spans="1:5" x14ac:dyDescent="0.3">
      <c r="A425" t="s">
        <v>2066</v>
      </c>
      <c r="C425" t="s">
        <v>1530</v>
      </c>
      <c r="E425" s="6"/>
    </row>
    <row r="426" spans="1:5" x14ac:dyDescent="0.3">
      <c r="A426" t="s">
        <v>2067</v>
      </c>
      <c r="C426" t="s">
        <v>1531</v>
      </c>
      <c r="E426" s="6"/>
    </row>
    <row r="427" spans="1:5" x14ac:dyDescent="0.3">
      <c r="A427" t="s">
        <v>2068</v>
      </c>
      <c r="C427" t="s">
        <v>1532</v>
      </c>
      <c r="E427" s="6"/>
    </row>
    <row r="428" spans="1:5" x14ac:dyDescent="0.3">
      <c r="A428" t="s">
        <v>2069</v>
      </c>
      <c r="C428" t="s">
        <v>1533</v>
      </c>
      <c r="E428" s="6"/>
    </row>
    <row r="429" spans="1:5" x14ac:dyDescent="0.3">
      <c r="A429" t="s">
        <v>2070</v>
      </c>
      <c r="C429" t="s">
        <v>1534</v>
      </c>
      <c r="E429" s="6"/>
    </row>
    <row r="430" spans="1:5" x14ac:dyDescent="0.3">
      <c r="A430" t="s">
        <v>2071</v>
      </c>
      <c r="C430" t="s">
        <v>1535</v>
      </c>
      <c r="E430" s="6"/>
    </row>
    <row r="431" spans="1:5" x14ac:dyDescent="0.3">
      <c r="A431" t="s">
        <v>1075</v>
      </c>
      <c r="C431" t="s">
        <v>1536</v>
      </c>
      <c r="E431" s="6"/>
    </row>
    <row r="432" spans="1:5" x14ac:dyDescent="0.3">
      <c r="A432" t="s">
        <v>2072</v>
      </c>
      <c r="C432" t="s">
        <v>1537</v>
      </c>
      <c r="E432" s="6"/>
    </row>
    <row r="433" spans="1:5" x14ac:dyDescent="0.3">
      <c r="A433" t="s">
        <v>2073</v>
      </c>
      <c r="C433" t="s">
        <v>1538</v>
      </c>
      <c r="E433" s="6"/>
    </row>
    <row r="434" spans="1:5" x14ac:dyDescent="0.3">
      <c r="A434" t="s">
        <v>2074</v>
      </c>
      <c r="C434" t="s">
        <v>1539</v>
      </c>
      <c r="E434" s="6"/>
    </row>
    <row r="435" spans="1:5" x14ac:dyDescent="0.3">
      <c r="A435" t="s">
        <v>2075</v>
      </c>
      <c r="C435" t="s">
        <v>1540</v>
      </c>
      <c r="E435" s="6"/>
    </row>
    <row r="436" spans="1:5" x14ac:dyDescent="0.3">
      <c r="A436" t="s">
        <v>2076</v>
      </c>
      <c r="C436" t="s">
        <v>1541</v>
      </c>
      <c r="E436" s="6"/>
    </row>
    <row r="437" spans="1:5" x14ac:dyDescent="0.3">
      <c r="A437" t="s">
        <v>2077</v>
      </c>
      <c r="C437" t="s">
        <v>1542</v>
      </c>
      <c r="E437" s="6"/>
    </row>
    <row r="438" spans="1:5" x14ac:dyDescent="0.3">
      <c r="A438" t="s">
        <v>2078</v>
      </c>
      <c r="C438" t="s">
        <v>1543</v>
      </c>
      <c r="E438" s="6"/>
    </row>
    <row r="439" spans="1:5" x14ac:dyDescent="0.3">
      <c r="A439" t="s">
        <v>2079</v>
      </c>
      <c r="C439" t="s">
        <v>1544</v>
      </c>
      <c r="E439" s="6"/>
    </row>
    <row r="440" spans="1:5" x14ac:dyDescent="0.3">
      <c r="A440" t="s">
        <v>2080</v>
      </c>
      <c r="C440" t="s">
        <v>1545</v>
      </c>
      <c r="E440" s="6"/>
    </row>
    <row r="441" spans="1:5" x14ac:dyDescent="0.3">
      <c r="A441" t="s">
        <v>2081</v>
      </c>
      <c r="C441" t="s">
        <v>1546</v>
      </c>
      <c r="E441" s="6"/>
    </row>
    <row r="442" spans="1:5" x14ac:dyDescent="0.3">
      <c r="A442" t="s">
        <v>2082</v>
      </c>
      <c r="C442" t="s">
        <v>1547</v>
      </c>
      <c r="E442" s="6"/>
    </row>
    <row r="443" spans="1:5" x14ac:dyDescent="0.3">
      <c r="A443" t="s">
        <v>2083</v>
      </c>
      <c r="C443" t="s">
        <v>1548</v>
      </c>
      <c r="E443" s="6"/>
    </row>
    <row r="444" spans="1:5" x14ac:dyDescent="0.3">
      <c r="A444" t="s">
        <v>2084</v>
      </c>
      <c r="C444" t="s">
        <v>1549</v>
      </c>
      <c r="E444" s="6"/>
    </row>
    <row r="445" spans="1:5" x14ac:dyDescent="0.3">
      <c r="A445" t="s">
        <v>2085</v>
      </c>
      <c r="C445" t="s">
        <v>1550</v>
      </c>
      <c r="E445" s="6"/>
    </row>
    <row r="446" spans="1:5" x14ac:dyDescent="0.3">
      <c r="A446" t="s">
        <v>2086</v>
      </c>
      <c r="C446" t="s">
        <v>1551</v>
      </c>
      <c r="E446" s="6"/>
    </row>
    <row r="447" spans="1:5" x14ac:dyDescent="0.3">
      <c r="A447" t="s">
        <v>2087</v>
      </c>
      <c r="C447" t="s">
        <v>1552</v>
      </c>
      <c r="E447" s="6"/>
    </row>
    <row r="448" spans="1:5" x14ac:dyDescent="0.3">
      <c r="A448" t="s">
        <v>2088</v>
      </c>
      <c r="C448" t="s">
        <v>1553</v>
      </c>
      <c r="E448" s="6"/>
    </row>
    <row r="449" spans="1:5" x14ac:dyDescent="0.3">
      <c r="A449" t="s">
        <v>1076</v>
      </c>
      <c r="C449" t="s">
        <v>1554</v>
      </c>
      <c r="E449" s="6"/>
    </row>
    <row r="450" spans="1:5" x14ac:dyDescent="0.3">
      <c r="A450" t="s">
        <v>2089</v>
      </c>
      <c r="C450" t="s">
        <v>1555</v>
      </c>
      <c r="E450" s="6"/>
    </row>
    <row r="451" spans="1:5" x14ac:dyDescent="0.3">
      <c r="A451" t="s">
        <v>2090</v>
      </c>
      <c r="C451" t="s">
        <v>1556</v>
      </c>
      <c r="E451" s="6"/>
    </row>
    <row r="452" spans="1:5" x14ac:dyDescent="0.3">
      <c r="A452" t="s">
        <v>2091</v>
      </c>
      <c r="C452" t="s">
        <v>1557</v>
      </c>
      <c r="E452" s="6"/>
    </row>
    <row r="453" spans="1:5" x14ac:dyDescent="0.3">
      <c r="A453" t="s">
        <v>2092</v>
      </c>
      <c r="C453" t="s">
        <v>1558</v>
      </c>
      <c r="E453" s="6"/>
    </row>
    <row r="454" spans="1:5" x14ac:dyDescent="0.3">
      <c r="A454" t="s">
        <v>2093</v>
      </c>
      <c r="C454" t="s">
        <v>1559</v>
      </c>
      <c r="E454" s="6"/>
    </row>
    <row r="455" spans="1:5" x14ac:dyDescent="0.3">
      <c r="A455" t="s">
        <v>2094</v>
      </c>
      <c r="C455" t="s">
        <v>1560</v>
      </c>
      <c r="E455" s="6"/>
    </row>
    <row r="456" spans="1:5" x14ac:dyDescent="0.3">
      <c r="A456" t="s">
        <v>2095</v>
      </c>
      <c r="C456" t="s">
        <v>1561</v>
      </c>
      <c r="E456" s="6"/>
    </row>
    <row r="457" spans="1:5" x14ac:dyDescent="0.3">
      <c r="A457" t="s">
        <v>2096</v>
      </c>
      <c r="C457" t="s">
        <v>1562</v>
      </c>
      <c r="E457" s="6"/>
    </row>
    <row r="458" spans="1:5" x14ac:dyDescent="0.3">
      <c r="A458" t="s">
        <v>2097</v>
      </c>
      <c r="C458" t="s">
        <v>1563</v>
      </c>
      <c r="E458" s="6"/>
    </row>
    <row r="459" spans="1:5" x14ac:dyDescent="0.3">
      <c r="A459" t="s">
        <v>2098</v>
      </c>
      <c r="C459" t="s">
        <v>1564</v>
      </c>
      <c r="E459" s="6"/>
    </row>
    <row r="460" spans="1:5" x14ac:dyDescent="0.3">
      <c r="A460" t="s">
        <v>2099</v>
      </c>
      <c r="C460" t="s">
        <v>1565</v>
      </c>
      <c r="E460" s="6"/>
    </row>
    <row r="461" spans="1:5" x14ac:dyDescent="0.3">
      <c r="A461" t="s">
        <v>2100</v>
      </c>
      <c r="C461" t="s">
        <v>1566</v>
      </c>
      <c r="E461" s="6"/>
    </row>
    <row r="462" spans="1:5" x14ac:dyDescent="0.3">
      <c r="A462" t="s">
        <v>2101</v>
      </c>
      <c r="C462" t="s">
        <v>1567</v>
      </c>
      <c r="E462" s="6"/>
    </row>
    <row r="463" spans="1:5" x14ac:dyDescent="0.3">
      <c r="A463" t="s">
        <v>2102</v>
      </c>
      <c r="C463" t="s">
        <v>1568</v>
      </c>
      <c r="E463" s="6"/>
    </row>
    <row r="464" spans="1:5" x14ac:dyDescent="0.3">
      <c r="A464" t="s">
        <v>2103</v>
      </c>
      <c r="C464" t="s">
        <v>1569</v>
      </c>
      <c r="E464" s="6"/>
    </row>
    <row r="465" spans="1:5" x14ac:dyDescent="0.3">
      <c r="A465" t="s">
        <v>2104</v>
      </c>
      <c r="C465" t="s">
        <v>1570</v>
      </c>
      <c r="E465" s="6"/>
    </row>
    <row r="466" spans="1:5" x14ac:dyDescent="0.3">
      <c r="A466" t="s">
        <v>2105</v>
      </c>
      <c r="C466" t="s">
        <v>1571</v>
      </c>
      <c r="E466" s="6"/>
    </row>
    <row r="467" spans="1:5" x14ac:dyDescent="0.3">
      <c r="A467" t="s">
        <v>2106</v>
      </c>
      <c r="C467" t="s">
        <v>1572</v>
      </c>
      <c r="E467" s="6"/>
    </row>
    <row r="468" spans="1:5" x14ac:dyDescent="0.3">
      <c r="A468" t="s">
        <v>2107</v>
      </c>
      <c r="C468" t="s">
        <v>1573</v>
      </c>
      <c r="E468" s="6"/>
    </row>
    <row r="469" spans="1:5" x14ac:dyDescent="0.3">
      <c r="A469" t="s">
        <v>2108</v>
      </c>
      <c r="C469" t="s">
        <v>1574</v>
      </c>
      <c r="E469" s="6"/>
    </row>
    <row r="470" spans="1:5" x14ac:dyDescent="0.3">
      <c r="A470" t="s">
        <v>2109</v>
      </c>
      <c r="C470" t="s">
        <v>1575</v>
      </c>
      <c r="E470" s="6"/>
    </row>
    <row r="471" spans="1:5" x14ac:dyDescent="0.3">
      <c r="A471" t="s">
        <v>2110</v>
      </c>
      <c r="C471" t="s">
        <v>1576</v>
      </c>
      <c r="E471" s="6"/>
    </row>
    <row r="472" spans="1:5" x14ac:dyDescent="0.3">
      <c r="A472" t="s">
        <v>2111</v>
      </c>
      <c r="C472" t="s">
        <v>1577</v>
      </c>
      <c r="E472" s="6"/>
    </row>
    <row r="473" spans="1:5" x14ac:dyDescent="0.3">
      <c r="A473" t="s">
        <v>1077</v>
      </c>
      <c r="C473" t="s">
        <v>1578</v>
      </c>
      <c r="E473" s="6"/>
    </row>
    <row r="474" spans="1:5" x14ac:dyDescent="0.3">
      <c r="A474" t="s">
        <v>2112</v>
      </c>
      <c r="C474" t="s">
        <v>1579</v>
      </c>
      <c r="E474" s="6"/>
    </row>
    <row r="475" spans="1:5" x14ac:dyDescent="0.3">
      <c r="A475" t="s">
        <v>2113</v>
      </c>
      <c r="C475" t="s">
        <v>1580</v>
      </c>
      <c r="E475" s="6"/>
    </row>
    <row r="476" spans="1:5" x14ac:dyDescent="0.3">
      <c r="A476" t="s">
        <v>2114</v>
      </c>
      <c r="C476" t="s">
        <v>1581</v>
      </c>
      <c r="E476" s="6"/>
    </row>
    <row r="477" spans="1:5" x14ac:dyDescent="0.3">
      <c r="A477" t="s">
        <v>2115</v>
      </c>
      <c r="C477" t="s">
        <v>1582</v>
      </c>
      <c r="E477" s="6"/>
    </row>
    <row r="478" spans="1:5" x14ac:dyDescent="0.3">
      <c r="A478" t="s">
        <v>2116</v>
      </c>
      <c r="C478" t="s">
        <v>1583</v>
      </c>
      <c r="E478" s="6"/>
    </row>
    <row r="479" spans="1:5" x14ac:dyDescent="0.3">
      <c r="A479" t="s">
        <v>2117</v>
      </c>
      <c r="C479" t="s">
        <v>1584</v>
      </c>
      <c r="E479" s="6"/>
    </row>
    <row r="480" spans="1:5" x14ac:dyDescent="0.3">
      <c r="A480" t="s">
        <v>2118</v>
      </c>
      <c r="C480" t="s">
        <v>1585</v>
      </c>
      <c r="E480" s="6"/>
    </row>
    <row r="481" spans="1:5" x14ac:dyDescent="0.3">
      <c r="A481" t="s">
        <v>2119</v>
      </c>
      <c r="C481" t="s">
        <v>1586</v>
      </c>
      <c r="E481" s="6"/>
    </row>
    <row r="482" spans="1:5" x14ac:dyDescent="0.3">
      <c r="A482" t="s">
        <v>2120</v>
      </c>
      <c r="C482" t="s">
        <v>1587</v>
      </c>
      <c r="E482" s="6"/>
    </row>
    <row r="483" spans="1:5" x14ac:dyDescent="0.3">
      <c r="A483" t="s">
        <v>2121</v>
      </c>
      <c r="C483" t="s">
        <v>1588</v>
      </c>
      <c r="E483" s="6"/>
    </row>
    <row r="484" spans="1:5" x14ac:dyDescent="0.3">
      <c r="A484" t="s">
        <v>2122</v>
      </c>
      <c r="C484" t="s">
        <v>1589</v>
      </c>
      <c r="E484" s="6"/>
    </row>
    <row r="485" spans="1:5" x14ac:dyDescent="0.3">
      <c r="A485" t="s">
        <v>2123</v>
      </c>
      <c r="C485" t="s">
        <v>1590</v>
      </c>
      <c r="E485" s="6"/>
    </row>
    <row r="486" spans="1:5" x14ac:dyDescent="0.3">
      <c r="A486" t="s">
        <v>2124</v>
      </c>
      <c r="C486" t="s">
        <v>1591</v>
      </c>
      <c r="E486" s="6"/>
    </row>
    <row r="487" spans="1:5" x14ac:dyDescent="0.3">
      <c r="A487" t="s">
        <v>2125</v>
      </c>
      <c r="C487" t="s">
        <v>1592</v>
      </c>
      <c r="E487" s="6"/>
    </row>
    <row r="488" spans="1:5" x14ac:dyDescent="0.3">
      <c r="A488" t="s">
        <v>2126</v>
      </c>
      <c r="C488" t="s">
        <v>1593</v>
      </c>
      <c r="E488" s="6"/>
    </row>
    <row r="489" spans="1:5" x14ac:dyDescent="0.3">
      <c r="A489" t="s">
        <v>2127</v>
      </c>
      <c r="C489" t="s">
        <v>1594</v>
      </c>
      <c r="E489" s="6"/>
    </row>
    <row r="490" spans="1:5" x14ac:dyDescent="0.3">
      <c r="A490" t="s">
        <v>2128</v>
      </c>
      <c r="C490" t="s">
        <v>1595</v>
      </c>
      <c r="E490" s="6"/>
    </row>
    <row r="491" spans="1:5" x14ac:dyDescent="0.3">
      <c r="A491" t="s">
        <v>1078</v>
      </c>
      <c r="C491" t="s">
        <v>1596</v>
      </c>
      <c r="E491" s="6"/>
    </row>
    <row r="492" spans="1:5" x14ac:dyDescent="0.3">
      <c r="A492" t="s">
        <v>1079</v>
      </c>
      <c r="C492" t="s">
        <v>1597</v>
      </c>
      <c r="E492" s="6"/>
    </row>
    <row r="493" spans="1:5" x14ac:dyDescent="0.3">
      <c r="A493" t="s">
        <v>1080</v>
      </c>
      <c r="C493" t="s">
        <v>1598</v>
      </c>
      <c r="E493" s="6"/>
    </row>
    <row r="494" spans="1:5" x14ac:dyDescent="0.3">
      <c r="A494" t="s">
        <v>1081</v>
      </c>
      <c r="C494" t="s">
        <v>1599</v>
      </c>
      <c r="E494" s="6"/>
    </row>
    <row r="495" spans="1:5" x14ac:dyDescent="0.3">
      <c r="A495" t="s">
        <v>1082</v>
      </c>
      <c r="C495" t="s">
        <v>1600</v>
      </c>
      <c r="E495" s="6"/>
    </row>
    <row r="496" spans="1:5" x14ac:dyDescent="0.3">
      <c r="A496" t="s">
        <v>1083</v>
      </c>
      <c r="C496" t="s">
        <v>1601</v>
      </c>
      <c r="E496" s="6"/>
    </row>
    <row r="497" spans="1:5" x14ac:dyDescent="0.3">
      <c r="A497" t="s">
        <v>1084</v>
      </c>
      <c r="C497" t="s">
        <v>1602</v>
      </c>
      <c r="E497" s="6"/>
    </row>
    <row r="498" spans="1:5" x14ac:dyDescent="0.3">
      <c r="A498" t="s">
        <v>2129</v>
      </c>
      <c r="C498" t="s">
        <v>1603</v>
      </c>
      <c r="E498" s="6"/>
    </row>
    <row r="499" spans="1:5" x14ac:dyDescent="0.3">
      <c r="A499" t="s">
        <v>1085</v>
      </c>
      <c r="C499" t="s">
        <v>1604</v>
      </c>
      <c r="E499" s="6"/>
    </row>
    <row r="500" spans="1:5" x14ac:dyDescent="0.3">
      <c r="A500" t="s">
        <v>1086</v>
      </c>
      <c r="C500" t="s">
        <v>1605</v>
      </c>
      <c r="E500" s="6"/>
    </row>
    <row r="501" spans="1:5" x14ac:dyDescent="0.3">
      <c r="A501" t="s">
        <v>1087</v>
      </c>
      <c r="C501" t="s">
        <v>1606</v>
      </c>
      <c r="E501" s="6"/>
    </row>
    <row r="502" spans="1:5" x14ac:dyDescent="0.3">
      <c r="A502" t="s">
        <v>2130</v>
      </c>
      <c r="C502" t="s">
        <v>1607</v>
      </c>
      <c r="E502" s="6"/>
    </row>
    <row r="503" spans="1:5" x14ac:dyDescent="0.3">
      <c r="A503" t="s">
        <v>2131</v>
      </c>
      <c r="C503" t="s">
        <v>1608</v>
      </c>
      <c r="E503" s="6"/>
    </row>
    <row r="504" spans="1:5" x14ac:dyDescent="0.3">
      <c r="A504" t="s">
        <v>2132</v>
      </c>
      <c r="C504" t="s">
        <v>1609</v>
      </c>
      <c r="E504" s="6"/>
    </row>
    <row r="505" spans="1:5" x14ac:dyDescent="0.3">
      <c r="A505" t="s">
        <v>1088</v>
      </c>
      <c r="C505" t="s">
        <v>1610</v>
      </c>
      <c r="E505" s="6"/>
    </row>
    <row r="506" spans="1:5" x14ac:dyDescent="0.3">
      <c r="A506" t="s">
        <v>1089</v>
      </c>
      <c r="C506" t="s">
        <v>1611</v>
      </c>
      <c r="E506" s="6"/>
    </row>
    <row r="507" spans="1:5" x14ac:dyDescent="0.3">
      <c r="A507" t="s">
        <v>1090</v>
      </c>
      <c r="C507" t="s">
        <v>1612</v>
      </c>
      <c r="E507" s="6"/>
    </row>
    <row r="508" spans="1:5" x14ac:dyDescent="0.3">
      <c r="A508" t="s">
        <v>1091</v>
      </c>
      <c r="C508" t="s">
        <v>1613</v>
      </c>
      <c r="E508" s="6"/>
    </row>
    <row r="509" spans="1:5" x14ac:dyDescent="0.3">
      <c r="A509" t="s">
        <v>2133</v>
      </c>
      <c r="C509" t="s">
        <v>1614</v>
      </c>
      <c r="E509" s="6"/>
    </row>
    <row r="510" spans="1:5" x14ac:dyDescent="0.3">
      <c r="A510" t="s">
        <v>2134</v>
      </c>
      <c r="C510" t="s">
        <v>1615</v>
      </c>
      <c r="E510" s="6"/>
    </row>
    <row r="511" spans="1:5" x14ac:dyDescent="0.3">
      <c r="A511" t="s">
        <v>2135</v>
      </c>
      <c r="C511" t="s">
        <v>1616</v>
      </c>
      <c r="E511" s="6"/>
    </row>
    <row r="512" spans="1:5" x14ac:dyDescent="0.3">
      <c r="A512" t="s">
        <v>2136</v>
      </c>
      <c r="C512" t="s">
        <v>1617</v>
      </c>
      <c r="E512" s="6"/>
    </row>
    <row r="513" spans="1:5" x14ac:dyDescent="0.3">
      <c r="A513" t="s">
        <v>2137</v>
      </c>
      <c r="C513" t="s">
        <v>1618</v>
      </c>
      <c r="E513" s="6"/>
    </row>
    <row r="514" spans="1:5" x14ac:dyDescent="0.3">
      <c r="A514" t="s">
        <v>2138</v>
      </c>
      <c r="C514" t="s">
        <v>1619</v>
      </c>
      <c r="E514" s="6"/>
    </row>
    <row r="515" spans="1:5" x14ac:dyDescent="0.3">
      <c r="A515" t="s">
        <v>2139</v>
      </c>
      <c r="C515" t="s">
        <v>1620</v>
      </c>
      <c r="E515" s="6"/>
    </row>
    <row r="516" spans="1:5" x14ac:dyDescent="0.3">
      <c r="A516" t="s">
        <v>2140</v>
      </c>
      <c r="C516" t="s">
        <v>1621</v>
      </c>
      <c r="E516" s="6"/>
    </row>
    <row r="517" spans="1:5" x14ac:dyDescent="0.3">
      <c r="A517" t="s">
        <v>2141</v>
      </c>
      <c r="C517" t="s">
        <v>1622</v>
      </c>
      <c r="E517" s="6"/>
    </row>
    <row r="518" spans="1:5" x14ac:dyDescent="0.3">
      <c r="A518" t="s">
        <v>2142</v>
      </c>
      <c r="C518" t="s">
        <v>1623</v>
      </c>
      <c r="E518" s="6"/>
    </row>
    <row r="519" spans="1:5" x14ac:dyDescent="0.3">
      <c r="A519" t="s">
        <v>2143</v>
      </c>
      <c r="C519" t="s">
        <v>1624</v>
      </c>
      <c r="E519" s="6"/>
    </row>
    <row r="520" spans="1:5" x14ac:dyDescent="0.3">
      <c r="A520" t="s">
        <v>2144</v>
      </c>
      <c r="C520" t="s">
        <v>1625</v>
      </c>
      <c r="E520" s="6"/>
    </row>
    <row r="521" spans="1:5" x14ac:dyDescent="0.3">
      <c r="A521" t="s">
        <v>2145</v>
      </c>
      <c r="C521" t="s">
        <v>1626</v>
      </c>
      <c r="E521" s="6"/>
    </row>
    <row r="522" spans="1:5" x14ac:dyDescent="0.3">
      <c r="A522" t="s">
        <v>2146</v>
      </c>
      <c r="C522" t="s">
        <v>1627</v>
      </c>
      <c r="E522" s="6"/>
    </row>
    <row r="523" spans="1:5" x14ac:dyDescent="0.3">
      <c r="A523" t="s">
        <v>2147</v>
      </c>
      <c r="C523" t="s">
        <v>1628</v>
      </c>
      <c r="E523" s="6"/>
    </row>
    <row r="524" spans="1:5" x14ac:dyDescent="0.3">
      <c r="A524" t="s">
        <v>2148</v>
      </c>
      <c r="C524" t="s">
        <v>1629</v>
      </c>
      <c r="E524" s="6"/>
    </row>
    <row r="525" spans="1:5" x14ac:dyDescent="0.3">
      <c r="A525" t="s">
        <v>2149</v>
      </c>
      <c r="C525" t="s">
        <v>1630</v>
      </c>
      <c r="E525" s="6"/>
    </row>
    <row r="526" spans="1:5" x14ac:dyDescent="0.3">
      <c r="A526" t="s">
        <v>2150</v>
      </c>
      <c r="C526" t="s">
        <v>1631</v>
      </c>
      <c r="E526" s="6"/>
    </row>
    <row r="527" spans="1:5" x14ac:dyDescent="0.3">
      <c r="A527" t="s">
        <v>2151</v>
      </c>
      <c r="C527" t="s">
        <v>1632</v>
      </c>
      <c r="E527" s="6"/>
    </row>
    <row r="528" spans="1:5" x14ac:dyDescent="0.3">
      <c r="A528" t="s">
        <v>2152</v>
      </c>
      <c r="C528" t="s">
        <v>1633</v>
      </c>
      <c r="E528" s="6"/>
    </row>
    <row r="529" spans="1:5" x14ac:dyDescent="0.3">
      <c r="A529" t="s">
        <v>2153</v>
      </c>
      <c r="C529" t="s">
        <v>1634</v>
      </c>
      <c r="E529" s="6"/>
    </row>
    <row r="530" spans="1:5" x14ac:dyDescent="0.3">
      <c r="A530" t="s">
        <v>2154</v>
      </c>
      <c r="C530" t="s">
        <v>1635</v>
      </c>
      <c r="E530" s="6"/>
    </row>
    <row r="531" spans="1:5" x14ac:dyDescent="0.3">
      <c r="A531" t="s">
        <v>2155</v>
      </c>
      <c r="C531" t="s">
        <v>1636</v>
      </c>
      <c r="E531" s="6"/>
    </row>
    <row r="532" spans="1:5" x14ac:dyDescent="0.3">
      <c r="A532" t="s">
        <v>2156</v>
      </c>
      <c r="C532" t="s">
        <v>1637</v>
      </c>
      <c r="E532" s="6"/>
    </row>
    <row r="533" spans="1:5" x14ac:dyDescent="0.3">
      <c r="A533" t="s">
        <v>2157</v>
      </c>
      <c r="C533" t="s">
        <v>1638</v>
      </c>
      <c r="E533" s="6"/>
    </row>
    <row r="534" spans="1:5" x14ac:dyDescent="0.3">
      <c r="A534" t="s">
        <v>2158</v>
      </c>
      <c r="C534" t="s">
        <v>1639</v>
      </c>
      <c r="E534" s="6"/>
    </row>
    <row r="535" spans="1:5" x14ac:dyDescent="0.3">
      <c r="A535" t="s">
        <v>2159</v>
      </c>
      <c r="C535" t="s">
        <v>1640</v>
      </c>
      <c r="E535" s="6"/>
    </row>
    <row r="536" spans="1:5" x14ac:dyDescent="0.3">
      <c r="A536" t="s">
        <v>2160</v>
      </c>
      <c r="C536" t="s">
        <v>1641</v>
      </c>
      <c r="E536" s="6"/>
    </row>
    <row r="537" spans="1:5" x14ac:dyDescent="0.3">
      <c r="A537" t="s">
        <v>2161</v>
      </c>
      <c r="C537" t="s">
        <v>1642</v>
      </c>
      <c r="E537" s="6"/>
    </row>
    <row r="538" spans="1:5" x14ac:dyDescent="0.3">
      <c r="A538" t="s">
        <v>2162</v>
      </c>
      <c r="C538" t="s">
        <v>1643</v>
      </c>
      <c r="E538" s="6"/>
    </row>
    <row r="539" spans="1:5" x14ac:dyDescent="0.3">
      <c r="A539" t="s">
        <v>2163</v>
      </c>
      <c r="C539" t="s">
        <v>1644</v>
      </c>
      <c r="E539" s="6"/>
    </row>
    <row r="540" spans="1:5" x14ac:dyDescent="0.3">
      <c r="A540" t="s">
        <v>2164</v>
      </c>
      <c r="C540" t="s">
        <v>1645</v>
      </c>
      <c r="E540" s="6"/>
    </row>
    <row r="541" spans="1:5" x14ac:dyDescent="0.3">
      <c r="A541" t="s">
        <v>2165</v>
      </c>
      <c r="C541" t="s">
        <v>1646</v>
      </c>
      <c r="E541" s="6"/>
    </row>
    <row r="542" spans="1:5" x14ac:dyDescent="0.3">
      <c r="A542" t="s">
        <v>2166</v>
      </c>
      <c r="C542" t="s">
        <v>1647</v>
      </c>
      <c r="E542" s="6"/>
    </row>
    <row r="543" spans="1:5" x14ac:dyDescent="0.3">
      <c r="A543" t="s">
        <v>2167</v>
      </c>
      <c r="C543" t="s">
        <v>1648</v>
      </c>
      <c r="E543" s="6"/>
    </row>
    <row r="544" spans="1:5" x14ac:dyDescent="0.3">
      <c r="A544" t="s">
        <v>2168</v>
      </c>
      <c r="C544" t="s">
        <v>1649</v>
      </c>
      <c r="E544" s="6"/>
    </row>
    <row r="545" spans="1:5" x14ac:dyDescent="0.3">
      <c r="A545" t="s">
        <v>2169</v>
      </c>
      <c r="C545" t="s">
        <v>1650</v>
      </c>
      <c r="E545" s="6"/>
    </row>
    <row r="546" spans="1:5" x14ac:dyDescent="0.3">
      <c r="A546" t="s">
        <v>2170</v>
      </c>
      <c r="C546" t="s">
        <v>1651</v>
      </c>
      <c r="E546" s="6"/>
    </row>
    <row r="547" spans="1:5" x14ac:dyDescent="0.3">
      <c r="A547" t="s">
        <v>2171</v>
      </c>
      <c r="C547" t="s">
        <v>1652</v>
      </c>
      <c r="E547" s="6"/>
    </row>
    <row r="548" spans="1:5" x14ac:dyDescent="0.3">
      <c r="A548" t="s">
        <v>2172</v>
      </c>
      <c r="C548" t="s">
        <v>1653</v>
      </c>
      <c r="E548" s="6"/>
    </row>
    <row r="549" spans="1:5" x14ac:dyDescent="0.3">
      <c r="A549" t="s">
        <v>2173</v>
      </c>
      <c r="C549" t="s">
        <v>1654</v>
      </c>
      <c r="E549" s="6"/>
    </row>
    <row r="550" spans="1:5" x14ac:dyDescent="0.3">
      <c r="A550" t="s">
        <v>2174</v>
      </c>
      <c r="C550" t="s">
        <v>1655</v>
      </c>
      <c r="E550" s="6"/>
    </row>
    <row r="551" spans="1:5" x14ac:dyDescent="0.3">
      <c r="A551" t="s">
        <v>2175</v>
      </c>
      <c r="C551" t="s">
        <v>1656</v>
      </c>
      <c r="E551" s="6"/>
    </row>
    <row r="552" spans="1:5" x14ac:dyDescent="0.3">
      <c r="A552" t="s">
        <v>2176</v>
      </c>
      <c r="C552" t="s">
        <v>1657</v>
      </c>
      <c r="E552" s="6"/>
    </row>
    <row r="553" spans="1:5" x14ac:dyDescent="0.3">
      <c r="A553" t="s">
        <v>2177</v>
      </c>
      <c r="C553" t="s">
        <v>1658</v>
      </c>
      <c r="E553" s="6"/>
    </row>
    <row r="554" spans="1:5" x14ac:dyDescent="0.3">
      <c r="A554" t="s">
        <v>2178</v>
      </c>
      <c r="C554" t="s">
        <v>1659</v>
      </c>
      <c r="E554" s="6"/>
    </row>
    <row r="555" spans="1:5" x14ac:dyDescent="0.3">
      <c r="A555" t="s">
        <v>2179</v>
      </c>
      <c r="C555" t="s">
        <v>1660</v>
      </c>
      <c r="E555" s="6"/>
    </row>
    <row r="556" spans="1:5" x14ac:dyDescent="0.3">
      <c r="A556" t="s">
        <v>2180</v>
      </c>
      <c r="C556" t="s">
        <v>1661</v>
      </c>
      <c r="E556" s="6"/>
    </row>
    <row r="557" spans="1:5" x14ac:dyDescent="0.3">
      <c r="A557" t="s">
        <v>2181</v>
      </c>
      <c r="C557" t="s">
        <v>1662</v>
      </c>
      <c r="E557" s="6"/>
    </row>
    <row r="558" spans="1:5" x14ac:dyDescent="0.3">
      <c r="A558" t="s">
        <v>2182</v>
      </c>
      <c r="C558" t="s">
        <v>1663</v>
      </c>
      <c r="E558" s="6"/>
    </row>
    <row r="559" spans="1:5" x14ac:dyDescent="0.3">
      <c r="A559" t="s">
        <v>2183</v>
      </c>
      <c r="C559" t="s">
        <v>1664</v>
      </c>
      <c r="E559" s="6"/>
    </row>
    <row r="560" spans="1:5" x14ac:dyDescent="0.3">
      <c r="A560" t="s">
        <v>2184</v>
      </c>
      <c r="C560" t="s">
        <v>1665</v>
      </c>
      <c r="E560" s="6"/>
    </row>
    <row r="561" spans="1:5" x14ac:dyDescent="0.3">
      <c r="A561" t="s">
        <v>2185</v>
      </c>
      <c r="C561" t="s">
        <v>1666</v>
      </c>
      <c r="E561" s="6"/>
    </row>
    <row r="562" spans="1:5" x14ac:dyDescent="0.3">
      <c r="A562" t="s">
        <v>2186</v>
      </c>
      <c r="C562" t="s">
        <v>1667</v>
      </c>
      <c r="E562" s="6"/>
    </row>
    <row r="563" spans="1:5" x14ac:dyDescent="0.3">
      <c r="A563" t="s">
        <v>2187</v>
      </c>
      <c r="C563" t="s">
        <v>1668</v>
      </c>
      <c r="E563" s="6"/>
    </row>
    <row r="564" spans="1:5" x14ac:dyDescent="0.3">
      <c r="A564" t="s">
        <v>2188</v>
      </c>
      <c r="C564" t="s">
        <v>1669</v>
      </c>
      <c r="E564" s="6"/>
    </row>
    <row r="565" spans="1:5" x14ac:dyDescent="0.3">
      <c r="A565" t="s">
        <v>2189</v>
      </c>
      <c r="C565" t="s">
        <v>1670</v>
      </c>
      <c r="E565" s="6"/>
    </row>
    <row r="566" spans="1:5" x14ac:dyDescent="0.3">
      <c r="A566" t="s">
        <v>2190</v>
      </c>
      <c r="C566" t="s">
        <v>1671</v>
      </c>
      <c r="E566" s="6"/>
    </row>
    <row r="567" spans="1:5" x14ac:dyDescent="0.3">
      <c r="A567" t="s">
        <v>2191</v>
      </c>
      <c r="C567" t="s">
        <v>1672</v>
      </c>
      <c r="E567" s="6"/>
    </row>
    <row r="568" spans="1:5" x14ac:dyDescent="0.3">
      <c r="A568" t="s">
        <v>2192</v>
      </c>
      <c r="C568" t="s">
        <v>1673</v>
      </c>
      <c r="E568" s="6"/>
    </row>
    <row r="569" spans="1:5" x14ac:dyDescent="0.3">
      <c r="A569" t="s">
        <v>1092</v>
      </c>
      <c r="C569" t="s">
        <v>1674</v>
      </c>
      <c r="E569" s="6"/>
    </row>
    <row r="570" spans="1:5" x14ac:dyDescent="0.3">
      <c r="A570" t="s">
        <v>2193</v>
      </c>
      <c r="C570" t="s">
        <v>1675</v>
      </c>
      <c r="E570" s="6"/>
    </row>
    <row r="571" spans="1:5" x14ac:dyDescent="0.3">
      <c r="A571" t="s">
        <v>2194</v>
      </c>
      <c r="C571" t="s">
        <v>1676</v>
      </c>
      <c r="E571" s="6"/>
    </row>
    <row r="572" spans="1:5" x14ac:dyDescent="0.3">
      <c r="A572" t="s">
        <v>2195</v>
      </c>
      <c r="C572" t="s">
        <v>1677</v>
      </c>
      <c r="E572" s="6"/>
    </row>
    <row r="573" spans="1:5" x14ac:dyDescent="0.3">
      <c r="A573" t="s">
        <v>2196</v>
      </c>
      <c r="C573" t="s">
        <v>1678</v>
      </c>
      <c r="E573" s="6"/>
    </row>
    <row r="574" spans="1:5" x14ac:dyDescent="0.3">
      <c r="A574" t="s">
        <v>2197</v>
      </c>
      <c r="C574" t="s">
        <v>1679</v>
      </c>
      <c r="E574" s="6"/>
    </row>
    <row r="575" spans="1:5" x14ac:dyDescent="0.3">
      <c r="A575" t="s">
        <v>2198</v>
      </c>
      <c r="C575" t="s">
        <v>1680</v>
      </c>
      <c r="E575" s="6"/>
    </row>
    <row r="576" spans="1:5" x14ac:dyDescent="0.3">
      <c r="A576" t="s">
        <v>2199</v>
      </c>
      <c r="C576" t="s">
        <v>1681</v>
      </c>
      <c r="E576" s="6"/>
    </row>
    <row r="577" spans="1:5" x14ac:dyDescent="0.3">
      <c r="A577" t="s">
        <v>2200</v>
      </c>
      <c r="C577" t="s">
        <v>1682</v>
      </c>
      <c r="E577" s="6"/>
    </row>
    <row r="578" spans="1:5" x14ac:dyDescent="0.3">
      <c r="A578" t="s">
        <v>2201</v>
      </c>
      <c r="C578" t="s">
        <v>1683</v>
      </c>
      <c r="E578" s="6"/>
    </row>
    <row r="579" spans="1:5" x14ac:dyDescent="0.3">
      <c r="A579" t="s">
        <v>2202</v>
      </c>
      <c r="C579" t="s">
        <v>1684</v>
      </c>
      <c r="E579" s="6"/>
    </row>
    <row r="580" spans="1:5" x14ac:dyDescent="0.3">
      <c r="A580" t="s">
        <v>2203</v>
      </c>
      <c r="C580" t="s">
        <v>1685</v>
      </c>
      <c r="E580" s="6"/>
    </row>
    <row r="581" spans="1:5" x14ac:dyDescent="0.3">
      <c r="A581" t="s">
        <v>2204</v>
      </c>
      <c r="C581" t="s">
        <v>1686</v>
      </c>
      <c r="E581" s="6"/>
    </row>
    <row r="582" spans="1:5" x14ac:dyDescent="0.3">
      <c r="A582" t="s">
        <v>2205</v>
      </c>
      <c r="C582" t="s">
        <v>1687</v>
      </c>
      <c r="E582" s="6"/>
    </row>
    <row r="583" spans="1:5" x14ac:dyDescent="0.3">
      <c r="A583" t="s">
        <v>2206</v>
      </c>
      <c r="C583" t="s">
        <v>1688</v>
      </c>
      <c r="E583" s="6"/>
    </row>
    <row r="584" spans="1:5" x14ac:dyDescent="0.3">
      <c r="A584" t="s">
        <v>2207</v>
      </c>
      <c r="C584" t="s">
        <v>1689</v>
      </c>
      <c r="E584" s="6"/>
    </row>
    <row r="585" spans="1:5" x14ac:dyDescent="0.3">
      <c r="A585" t="s">
        <v>2208</v>
      </c>
      <c r="C585" t="s">
        <v>1690</v>
      </c>
      <c r="E585" s="6"/>
    </row>
    <row r="586" spans="1:5" x14ac:dyDescent="0.3">
      <c r="A586" t="s">
        <v>2209</v>
      </c>
      <c r="C586" t="s">
        <v>1691</v>
      </c>
      <c r="E586" s="6"/>
    </row>
    <row r="587" spans="1:5" x14ac:dyDescent="0.3">
      <c r="A587" t="s">
        <v>2210</v>
      </c>
      <c r="C587" t="s">
        <v>1692</v>
      </c>
      <c r="E587" s="6"/>
    </row>
    <row r="588" spans="1:5" x14ac:dyDescent="0.3">
      <c r="A588" t="s">
        <v>2211</v>
      </c>
      <c r="C588" t="s">
        <v>1693</v>
      </c>
      <c r="E588" s="6"/>
    </row>
    <row r="589" spans="1:5" x14ac:dyDescent="0.3">
      <c r="A589" t="s">
        <v>2212</v>
      </c>
      <c r="C589" t="s">
        <v>1694</v>
      </c>
      <c r="E589" s="6"/>
    </row>
    <row r="590" spans="1:5" x14ac:dyDescent="0.3">
      <c r="A590" t="s">
        <v>2213</v>
      </c>
      <c r="C590" t="s">
        <v>1695</v>
      </c>
      <c r="E590" s="6"/>
    </row>
    <row r="591" spans="1:5" x14ac:dyDescent="0.3">
      <c r="A591" t="s">
        <v>2214</v>
      </c>
      <c r="C591" t="s">
        <v>1696</v>
      </c>
      <c r="E591" s="6"/>
    </row>
    <row r="592" spans="1:5" x14ac:dyDescent="0.3">
      <c r="A592" t="s">
        <v>2215</v>
      </c>
      <c r="C592" t="s">
        <v>1697</v>
      </c>
      <c r="E592" s="6"/>
    </row>
    <row r="593" spans="1:5" x14ac:dyDescent="0.3">
      <c r="A593" t="s">
        <v>1093</v>
      </c>
      <c r="C593" t="s">
        <v>1698</v>
      </c>
      <c r="E593" s="6"/>
    </row>
    <row r="594" spans="1:5" x14ac:dyDescent="0.3">
      <c r="A594" t="s">
        <v>1094</v>
      </c>
      <c r="C594" t="s">
        <v>1699</v>
      </c>
      <c r="E594" s="6"/>
    </row>
    <row r="595" spans="1:5" x14ac:dyDescent="0.3">
      <c r="A595" t="s">
        <v>1095</v>
      </c>
      <c r="C595" t="s">
        <v>1700</v>
      </c>
      <c r="E595" s="6"/>
    </row>
    <row r="596" spans="1:5" x14ac:dyDescent="0.3">
      <c r="A596" t="s">
        <v>1096</v>
      </c>
      <c r="C596" t="s">
        <v>1701</v>
      </c>
      <c r="E596" s="6"/>
    </row>
    <row r="597" spans="1:5" x14ac:dyDescent="0.3">
      <c r="A597" t="s">
        <v>1097</v>
      </c>
      <c r="C597" t="s">
        <v>1702</v>
      </c>
      <c r="E597" s="6"/>
    </row>
    <row r="598" spans="1:5" x14ac:dyDescent="0.3">
      <c r="A598" t="s">
        <v>1098</v>
      </c>
      <c r="C598" t="s">
        <v>1703</v>
      </c>
      <c r="E598" s="6"/>
    </row>
    <row r="599" spans="1:5" x14ac:dyDescent="0.3">
      <c r="A599" t="s">
        <v>1099</v>
      </c>
      <c r="C599" t="s">
        <v>1704</v>
      </c>
      <c r="E599" s="6"/>
    </row>
    <row r="600" spans="1:5" x14ac:dyDescent="0.3">
      <c r="A600" t="s">
        <v>1100</v>
      </c>
      <c r="C600" t="s">
        <v>1705</v>
      </c>
      <c r="E600" s="6"/>
    </row>
    <row r="601" spans="1:5" x14ac:dyDescent="0.3">
      <c r="A601" t="s">
        <v>1101</v>
      </c>
      <c r="C601" t="s">
        <v>1706</v>
      </c>
      <c r="E601" s="6"/>
    </row>
    <row r="602" spans="1:5" x14ac:dyDescent="0.3">
      <c r="A602" t="s">
        <v>1102</v>
      </c>
      <c r="C602" t="s">
        <v>1707</v>
      </c>
      <c r="E602" s="6"/>
    </row>
    <row r="603" spans="1:5" x14ac:dyDescent="0.3">
      <c r="A603" t="s">
        <v>1103</v>
      </c>
      <c r="C603" t="s">
        <v>1708</v>
      </c>
      <c r="E603" s="6"/>
    </row>
    <row r="604" spans="1:5" x14ac:dyDescent="0.3">
      <c r="A604" t="s">
        <v>1104</v>
      </c>
      <c r="C604" t="s">
        <v>1709</v>
      </c>
      <c r="E604" s="6"/>
    </row>
    <row r="605" spans="1:5" x14ac:dyDescent="0.3">
      <c r="A605" t="s">
        <v>1105</v>
      </c>
      <c r="C605" t="s">
        <v>1710</v>
      </c>
      <c r="E605" s="6"/>
    </row>
    <row r="606" spans="1:5" x14ac:dyDescent="0.3">
      <c r="A606" t="s">
        <v>1106</v>
      </c>
      <c r="C606" t="s">
        <v>1711</v>
      </c>
      <c r="E606" s="6"/>
    </row>
    <row r="607" spans="1:5" x14ac:dyDescent="0.3">
      <c r="A607" t="s">
        <v>2216</v>
      </c>
      <c r="C607" t="s">
        <v>1712</v>
      </c>
      <c r="E607" s="6"/>
    </row>
    <row r="608" spans="1:5" x14ac:dyDescent="0.3">
      <c r="A608" t="s">
        <v>2217</v>
      </c>
      <c r="C608" t="s">
        <v>1713</v>
      </c>
      <c r="E608" s="6"/>
    </row>
    <row r="609" spans="1:5" x14ac:dyDescent="0.3">
      <c r="A609" t="s">
        <v>2218</v>
      </c>
      <c r="C609" t="s">
        <v>1714</v>
      </c>
      <c r="E609" s="6"/>
    </row>
    <row r="610" spans="1:5" x14ac:dyDescent="0.3">
      <c r="A610" t="s">
        <v>1107</v>
      </c>
      <c r="C610" t="s">
        <v>1715</v>
      </c>
      <c r="E610" s="6"/>
    </row>
    <row r="611" spans="1:5" x14ac:dyDescent="0.3">
      <c r="A611" t="s">
        <v>1108</v>
      </c>
      <c r="C611" t="s">
        <v>1716</v>
      </c>
      <c r="E611" s="6"/>
    </row>
    <row r="612" spans="1:5" x14ac:dyDescent="0.3">
      <c r="A612" t="s">
        <v>1109</v>
      </c>
      <c r="C612" t="s">
        <v>1717</v>
      </c>
      <c r="E612" s="6"/>
    </row>
    <row r="613" spans="1:5" x14ac:dyDescent="0.3">
      <c r="A613" t="s">
        <v>1110</v>
      </c>
      <c r="C613" t="s">
        <v>1718</v>
      </c>
      <c r="E613" s="6"/>
    </row>
    <row r="614" spans="1:5" x14ac:dyDescent="0.3">
      <c r="A614" t="s">
        <v>2219</v>
      </c>
      <c r="C614" t="s">
        <v>1719</v>
      </c>
      <c r="E614" s="6"/>
    </row>
    <row r="615" spans="1:5" x14ac:dyDescent="0.3">
      <c r="A615" t="s">
        <v>2220</v>
      </c>
      <c r="C615" t="s">
        <v>1720</v>
      </c>
      <c r="E615" s="6"/>
    </row>
    <row r="616" spans="1:5" x14ac:dyDescent="0.3">
      <c r="A616" t="s">
        <v>2221</v>
      </c>
      <c r="C616" t="s">
        <v>1721</v>
      </c>
      <c r="E616" s="6"/>
    </row>
    <row r="617" spans="1:5" x14ac:dyDescent="0.3">
      <c r="A617" t="s">
        <v>2222</v>
      </c>
      <c r="C617" t="s">
        <v>1722</v>
      </c>
      <c r="E617" s="6"/>
    </row>
    <row r="618" spans="1:5" x14ac:dyDescent="0.3">
      <c r="A618" t="s">
        <v>2223</v>
      </c>
      <c r="C618" t="s">
        <v>1723</v>
      </c>
      <c r="E618" s="6"/>
    </row>
    <row r="619" spans="1:5" x14ac:dyDescent="0.3">
      <c r="A619" t="s">
        <v>2224</v>
      </c>
      <c r="C619" t="s">
        <v>1724</v>
      </c>
      <c r="E619" s="6"/>
    </row>
    <row r="620" spans="1:5" x14ac:dyDescent="0.3">
      <c r="A620" t="s">
        <v>2225</v>
      </c>
      <c r="C620" t="s">
        <v>1725</v>
      </c>
      <c r="E620" s="6"/>
    </row>
    <row r="621" spans="1:5" x14ac:dyDescent="0.3">
      <c r="A621" t="s">
        <v>2226</v>
      </c>
      <c r="C621" t="s">
        <v>1726</v>
      </c>
      <c r="E621" s="6"/>
    </row>
    <row r="622" spans="1:5" x14ac:dyDescent="0.3">
      <c r="A622" t="s">
        <v>2227</v>
      </c>
      <c r="C622" t="s">
        <v>1727</v>
      </c>
      <c r="E622" s="6"/>
    </row>
    <row r="623" spans="1:5" x14ac:dyDescent="0.3">
      <c r="A623" t="s">
        <v>2228</v>
      </c>
      <c r="C623" t="s">
        <v>1728</v>
      </c>
      <c r="E623" s="6"/>
    </row>
    <row r="624" spans="1:5" x14ac:dyDescent="0.3">
      <c r="A624" t="s">
        <v>2229</v>
      </c>
      <c r="C624" t="s">
        <v>1729</v>
      </c>
      <c r="E624" s="6"/>
    </row>
    <row r="625" spans="1:5" x14ac:dyDescent="0.3">
      <c r="A625" t="s">
        <v>2230</v>
      </c>
      <c r="C625" t="s">
        <v>1730</v>
      </c>
      <c r="E625" s="6"/>
    </row>
    <row r="626" spans="1:5" x14ac:dyDescent="0.3">
      <c r="A626" t="s">
        <v>2231</v>
      </c>
      <c r="C626" t="s">
        <v>1731</v>
      </c>
      <c r="E626" s="6"/>
    </row>
    <row r="627" spans="1:5" x14ac:dyDescent="0.3">
      <c r="A627" t="s">
        <v>2232</v>
      </c>
      <c r="C627" t="s">
        <v>1732</v>
      </c>
      <c r="E627" s="6"/>
    </row>
    <row r="628" spans="1:5" x14ac:dyDescent="0.3">
      <c r="A628" t="s">
        <v>2233</v>
      </c>
      <c r="C628" t="s">
        <v>1733</v>
      </c>
      <c r="E628" s="6"/>
    </row>
    <row r="629" spans="1:5" x14ac:dyDescent="0.3">
      <c r="A629" t="s">
        <v>2234</v>
      </c>
      <c r="C629" t="s">
        <v>1734</v>
      </c>
      <c r="E629" s="6"/>
    </row>
    <row r="630" spans="1:5" x14ac:dyDescent="0.3">
      <c r="A630" t="s">
        <v>2235</v>
      </c>
      <c r="C630" t="s">
        <v>1735</v>
      </c>
      <c r="E630" s="6"/>
    </row>
    <row r="631" spans="1:5" x14ac:dyDescent="0.3">
      <c r="A631" t="s">
        <v>2236</v>
      </c>
      <c r="C631" t="s">
        <v>1736</v>
      </c>
      <c r="E631" s="6"/>
    </row>
    <row r="632" spans="1:5" x14ac:dyDescent="0.3">
      <c r="A632" t="s">
        <v>2237</v>
      </c>
      <c r="C632" t="s">
        <v>1737</v>
      </c>
      <c r="E632" s="6"/>
    </row>
    <row r="633" spans="1:5" x14ac:dyDescent="0.3">
      <c r="A633" t="s">
        <v>2238</v>
      </c>
      <c r="C633" t="s">
        <v>1738</v>
      </c>
      <c r="E633" s="6"/>
    </row>
    <row r="634" spans="1:5" x14ac:dyDescent="0.3">
      <c r="A634" t="s">
        <v>2239</v>
      </c>
      <c r="C634" t="s">
        <v>1739</v>
      </c>
      <c r="E634" s="6"/>
    </row>
    <row r="635" spans="1:5" x14ac:dyDescent="0.3">
      <c r="A635" t="s">
        <v>2240</v>
      </c>
      <c r="C635" t="s">
        <v>1740</v>
      </c>
      <c r="E635" s="6"/>
    </row>
    <row r="636" spans="1:5" x14ac:dyDescent="0.3">
      <c r="A636" t="s">
        <v>2241</v>
      </c>
      <c r="C636" t="s">
        <v>1741</v>
      </c>
      <c r="E636" s="6"/>
    </row>
    <row r="637" spans="1:5" x14ac:dyDescent="0.3">
      <c r="A637" t="s">
        <v>2242</v>
      </c>
      <c r="C637" t="s">
        <v>1742</v>
      </c>
      <c r="E637" s="6"/>
    </row>
    <row r="638" spans="1:5" x14ac:dyDescent="0.3">
      <c r="A638" t="s">
        <v>2243</v>
      </c>
      <c r="C638" t="s">
        <v>1743</v>
      </c>
      <c r="E638" s="6"/>
    </row>
    <row r="639" spans="1:5" x14ac:dyDescent="0.3">
      <c r="A639" t="s">
        <v>2244</v>
      </c>
      <c r="C639" t="s">
        <v>1744</v>
      </c>
      <c r="E639" s="6"/>
    </row>
    <row r="640" spans="1:5" x14ac:dyDescent="0.3">
      <c r="A640" t="s">
        <v>2245</v>
      </c>
      <c r="C640" t="s">
        <v>1745</v>
      </c>
      <c r="E640" s="6"/>
    </row>
    <row r="641" spans="1:5" x14ac:dyDescent="0.3">
      <c r="A641" t="s">
        <v>1111</v>
      </c>
      <c r="C641" t="s">
        <v>1746</v>
      </c>
      <c r="E641" s="6"/>
    </row>
    <row r="642" spans="1:5" x14ac:dyDescent="0.3">
      <c r="A642" t="s">
        <v>1112</v>
      </c>
      <c r="C642" t="s">
        <v>1747</v>
      </c>
      <c r="E642" s="6"/>
    </row>
    <row r="643" spans="1:5" x14ac:dyDescent="0.3">
      <c r="A643" t="s">
        <v>2246</v>
      </c>
      <c r="C643" t="s">
        <v>1748</v>
      </c>
      <c r="E643" s="6"/>
    </row>
    <row r="644" spans="1:5" x14ac:dyDescent="0.3">
      <c r="A644" t="s">
        <v>2247</v>
      </c>
      <c r="C644" t="s">
        <v>1749</v>
      </c>
      <c r="E644" s="6"/>
    </row>
    <row r="645" spans="1:5" x14ac:dyDescent="0.3">
      <c r="A645" t="s">
        <v>2248</v>
      </c>
      <c r="C645" t="s">
        <v>1750</v>
      </c>
      <c r="E645" s="6"/>
    </row>
    <row r="646" spans="1:5" x14ac:dyDescent="0.3">
      <c r="A646" t="s">
        <v>1113</v>
      </c>
      <c r="C646" t="s">
        <v>1751</v>
      </c>
      <c r="E646" s="6"/>
    </row>
    <row r="647" spans="1:5" x14ac:dyDescent="0.3">
      <c r="A647" t="s">
        <v>1114</v>
      </c>
      <c r="C647" t="s">
        <v>1752</v>
      </c>
      <c r="E647" s="6"/>
    </row>
    <row r="648" spans="1:5" x14ac:dyDescent="0.3">
      <c r="A648" t="s">
        <v>1115</v>
      </c>
      <c r="C648" t="s">
        <v>1753</v>
      </c>
      <c r="E648" s="6"/>
    </row>
    <row r="649" spans="1:5" x14ac:dyDescent="0.3">
      <c r="A649" t="s">
        <v>2249</v>
      </c>
      <c r="C649" t="s">
        <v>1754</v>
      </c>
      <c r="E649" s="6"/>
    </row>
    <row r="650" spans="1:5" x14ac:dyDescent="0.3">
      <c r="A650" t="s">
        <v>2250</v>
      </c>
      <c r="C650" t="s">
        <v>1755</v>
      </c>
      <c r="E650" s="6"/>
    </row>
    <row r="651" spans="1:5" x14ac:dyDescent="0.3">
      <c r="A651" t="s">
        <v>2251</v>
      </c>
      <c r="C651" t="s">
        <v>1756</v>
      </c>
      <c r="E651" s="6"/>
    </row>
    <row r="652" spans="1:5" x14ac:dyDescent="0.3">
      <c r="A652" t="s">
        <v>2252</v>
      </c>
      <c r="C652" t="s">
        <v>1757</v>
      </c>
      <c r="E652" s="6"/>
    </row>
    <row r="653" spans="1:5" x14ac:dyDescent="0.3">
      <c r="A653" t="s">
        <v>2253</v>
      </c>
      <c r="C653" t="s">
        <v>1758</v>
      </c>
      <c r="E653" s="6"/>
    </row>
    <row r="654" spans="1:5" x14ac:dyDescent="0.3">
      <c r="A654" t="s">
        <v>2254</v>
      </c>
      <c r="C654" t="s">
        <v>1759</v>
      </c>
      <c r="E654" s="6"/>
    </row>
    <row r="655" spans="1:5" x14ac:dyDescent="0.3">
      <c r="A655" t="s">
        <v>2255</v>
      </c>
      <c r="C655" t="s">
        <v>1760</v>
      </c>
      <c r="E655" s="6"/>
    </row>
    <row r="656" spans="1:5" x14ac:dyDescent="0.3">
      <c r="A656" t="s">
        <v>2256</v>
      </c>
      <c r="C656" t="s">
        <v>1761</v>
      </c>
      <c r="E656" s="6"/>
    </row>
    <row r="657" spans="1:5" x14ac:dyDescent="0.3">
      <c r="A657" t="s">
        <v>2257</v>
      </c>
      <c r="C657" t="s">
        <v>1762</v>
      </c>
      <c r="E657" s="6"/>
    </row>
    <row r="658" spans="1:5" x14ac:dyDescent="0.3">
      <c r="A658" t="s">
        <v>2258</v>
      </c>
      <c r="C658" t="s">
        <v>1763</v>
      </c>
      <c r="E658" s="6"/>
    </row>
    <row r="659" spans="1:5" x14ac:dyDescent="0.3">
      <c r="A659" t="s">
        <v>2259</v>
      </c>
      <c r="C659" t="s">
        <v>1764</v>
      </c>
      <c r="E659" s="6"/>
    </row>
    <row r="660" spans="1:5" x14ac:dyDescent="0.3">
      <c r="A660" t="s">
        <v>2260</v>
      </c>
      <c r="C660" t="s">
        <v>1765</v>
      </c>
      <c r="E660" s="6"/>
    </row>
    <row r="661" spans="1:5" x14ac:dyDescent="0.3">
      <c r="A661" t="s">
        <v>2261</v>
      </c>
      <c r="C661" t="s">
        <v>1766</v>
      </c>
      <c r="E661" s="6"/>
    </row>
    <row r="662" spans="1:5" x14ac:dyDescent="0.3">
      <c r="A662" t="s">
        <v>2262</v>
      </c>
      <c r="C662" t="s">
        <v>1767</v>
      </c>
      <c r="E662" s="6"/>
    </row>
    <row r="663" spans="1:5" x14ac:dyDescent="0.3">
      <c r="A663" t="s">
        <v>2263</v>
      </c>
      <c r="C663" t="s">
        <v>1768</v>
      </c>
      <c r="E663" s="6"/>
    </row>
    <row r="664" spans="1:5" x14ac:dyDescent="0.3">
      <c r="A664" t="s">
        <v>2264</v>
      </c>
      <c r="C664" t="s">
        <v>1769</v>
      </c>
      <c r="E664" s="6"/>
    </row>
    <row r="665" spans="1:5" x14ac:dyDescent="0.3">
      <c r="A665" t="s">
        <v>2265</v>
      </c>
      <c r="C665" t="s">
        <v>1770</v>
      </c>
      <c r="E665" s="6"/>
    </row>
    <row r="666" spans="1:5" x14ac:dyDescent="0.3">
      <c r="A666" t="s">
        <v>2266</v>
      </c>
      <c r="C666" t="s">
        <v>1771</v>
      </c>
      <c r="E666" s="6"/>
    </row>
    <row r="667" spans="1:5" x14ac:dyDescent="0.3">
      <c r="A667" t="s">
        <v>1117</v>
      </c>
      <c r="C667" t="s">
        <v>1772</v>
      </c>
      <c r="E667" s="6"/>
    </row>
    <row r="668" spans="1:5" x14ac:dyDescent="0.3">
      <c r="A668" t="s">
        <v>2267</v>
      </c>
      <c r="C668" t="s">
        <v>1773</v>
      </c>
      <c r="E668" s="6"/>
    </row>
    <row r="669" spans="1:5" x14ac:dyDescent="0.3">
      <c r="A669" t="s">
        <v>2268</v>
      </c>
      <c r="C669" t="s">
        <v>1774</v>
      </c>
      <c r="E669" s="6"/>
    </row>
    <row r="670" spans="1:5" x14ac:dyDescent="0.3">
      <c r="A670" t="s">
        <v>2269</v>
      </c>
      <c r="C670" t="s">
        <v>1775</v>
      </c>
      <c r="E670" s="6"/>
    </row>
    <row r="671" spans="1:5" x14ac:dyDescent="0.3">
      <c r="A671" t="s">
        <v>2270</v>
      </c>
      <c r="C671" t="s">
        <v>1776</v>
      </c>
      <c r="E671" s="6"/>
    </row>
    <row r="672" spans="1:5" x14ac:dyDescent="0.3">
      <c r="A672" t="s">
        <v>2271</v>
      </c>
      <c r="C672" t="s">
        <v>1777</v>
      </c>
      <c r="E672" s="6"/>
    </row>
    <row r="673" spans="1:5" x14ac:dyDescent="0.3">
      <c r="A673" t="s">
        <v>2272</v>
      </c>
      <c r="C673" t="s">
        <v>1778</v>
      </c>
      <c r="E673" s="6"/>
    </row>
    <row r="674" spans="1:5" x14ac:dyDescent="0.3">
      <c r="A674" t="s">
        <v>2273</v>
      </c>
      <c r="C674" t="s">
        <v>1779</v>
      </c>
      <c r="E674" s="6"/>
    </row>
    <row r="675" spans="1:5" x14ac:dyDescent="0.3">
      <c r="A675" t="s">
        <v>1118</v>
      </c>
      <c r="C675" t="s">
        <v>1780</v>
      </c>
      <c r="E675" s="6"/>
    </row>
    <row r="676" spans="1:5" x14ac:dyDescent="0.3">
      <c r="A676" t="s">
        <v>2274</v>
      </c>
      <c r="C676" t="s">
        <v>1781</v>
      </c>
      <c r="E676" s="6"/>
    </row>
    <row r="677" spans="1:5" x14ac:dyDescent="0.3">
      <c r="A677" t="s">
        <v>2275</v>
      </c>
      <c r="C677" t="s">
        <v>1782</v>
      </c>
      <c r="E677" s="6"/>
    </row>
    <row r="678" spans="1:5" x14ac:dyDescent="0.3">
      <c r="A678" t="s">
        <v>2276</v>
      </c>
      <c r="C678" t="s">
        <v>1783</v>
      </c>
      <c r="E678" s="6"/>
    </row>
    <row r="679" spans="1:5" x14ac:dyDescent="0.3">
      <c r="A679" t="s">
        <v>2277</v>
      </c>
      <c r="C679" t="s">
        <v>1784</v>
      </c>
      <c r="E679" s="6"/>
    </row>
    <row r="680" spans="1:5" x14ac:dyDescent="0.3">
      <c r="A680" t="s">
        <v>2278</v>
      </c>
      <c r="C680" t="s">
        <v>1785</v>
      </c>
      <c r="E680" s="6"/>
    </row>
    <row r="681" spans="1:5" x14ac:dyDescent="0.3">
      <c r="A681" t="s">
        <v>2279</v>
      </c>
      <c r="C681" t="s">
        <v>1786</v>
      </c>
      <c r="E681" s="6"/>
    </row>
    <row r="682" spans="1:5" x14ac:dyDescent="0.3">
      <c r="A682" t="s">
        <v>2280</v>
      </c>
      <c r="C682" t="s">
        <v>1787</v>
      </c>
      <c r="E682" s="6"/>
    </row>
    <row r="683" spans="1:5" x14ac:dyDescent="0.3">
      <c r="A683" t="s">
        <v>2281</v>
      </c>
      <c r="C683" t="s">
        <v>1788</v>
      </c>
      <c r="E683" s="6"/>
    </row>
    <row r="684" spans="1:5" x14ac:dyDescent="0.3">
      <c r="A684" t="s">
        <v>2282</v>
      </c>
      <c r="C684" t="s">
        <v>1789</v>
      </c>
      <c r="E684" s="6"/>
    </row>
    <row r="685" spans="1:5" x14ac:dyDescent="0.3">
      <c r="A685" t="s">
        <v>2283</v>
      </c>
      <c r="C685" t="s">
        <v>1790</v>
      </c>
      <c r="E685" s="6"/>
    </row>
    <row r="686" spans="1:5" x14ac:dyDescent="0.3">
      <c r="A686" t="s">
        <v>2284</v>
      </c>
      <c r="C686" t="s">
        <v>1791</v>
      </c>
      <c r="E686" s="6"/>
    </row>
    <row r="687" spans="1:5" x14ac:dyDescent="0.3">
      <c r="A687" t="s">
        <v>2285</v>
      </c>
      <c r="C687" t="s">
        <v>1792</v>
      </c>
      <c r="E687" s="6"/>
    </row>
    <row r="688" spans="1:5" x14ac:dyDescent="0.3">
      <c r="A688" t="s">
        <v>2286</v>
      </c>
      <c r="C688" t="s">
        <v>1793</v>
      </c>
      <c r="E688" s="6"/>
    </row>
    <row r="689" spans="1:5" x14ac:dyDescent="0.3">
      <c r="A689" t="s">
        <v>2287</v>
      </c>
      <c r="C689" t="s">
        <v>1794</v>
      </c>
      <c r="E689" s="6"/>
    </row>
    <row r="690" spans="1:5" x14ac:dyDescent="0.3">
      <c r="A690" t="s">
        <v>2288</v>
      </c>
      <c r="C690" t="s">
        <v>1795</v>
      </c>
      <c r="E690" s="6"/>
    </row>
    <row r="691" spans="1:5" x14ac:dyDescent="0.3">
      <c r="A691" t="s">
        <v>2289</v>
      </c>
      <c r="C691" t="s">
        <v>1796</v>
      </c>
      <c r="E691" s="6"/>
    </row>
    <row r="692" spans="1:5" x14ac:dyDescent="0.3">
      <c r="A692" t="s">
        <v>2290</v>
      </c>
      <c r="C692" t="s">
        <v>1797</v>
      </c>
      <c r="E692" s="6"/>
    </row>
    <row r="693" spans="1:5" x14ac:dyDescent="0.3">
      <c r="A693" t="s">
        <v>2291</v>
      </c>
      <c r="C693" t="s">
        <v>1798</v>
      </c>
      <c r="E693" s="6"/>
    </row>
    <row r="694" spans="1:5" x14ac:dyDescent="0.3">
      <c r="A694" t="s">
        <v>2292</v>
      </c>
      <c r="C694" t="s">
        <v>1799</v>
      </c>
      <c r="E694" s="6"/>
    </row>
    <row r="695" spans="1:5" x14ac:dyDescent="0.3">
      <c r="A695" t="s">
        <v>2293</v>
      </c>
      <c r="C695" t="s">
        <v>1800</v>
      </c>
      <c r="E695" s="6"/>
    </row>
    <row r="696" spans="1:5" x14ac:dyDescent="0.3">
      <c r="A696" t="s">
        <v>2294</v>
      </c>
      <c r="C696" t="s">
        <v>1801</v>
      </c>
      <c r="E696" s="6"/>
    </row>
    <row r="697" spans="1:5" x14ac:dyDescent="0.3">
      <c r="A697" t="s">
        <v>2295</v>
      </c>
      <c r="C697" t="s">
        <v>1802</v>
      </c>
      <c r="E697" s="6"/>
    </row>
    <row r="698" spans="1:5" x14ac:dyDescent="0.3">
      <c r="A698" t="s">
        <v>2296</v>
      </c>
      <c r="C698" t="s">
        <v>1803</v>
      </c>
      <c r="E698" s="6"/>
    </row>
    <row r="699" spans="1:5" x14ac:dyDescent="0.3">
      <c r="A699" t="s">
        <v>2297</v>
      </c>
      <c r="C699" t="s">
        <v>1804</v>
      </c>
      <c r="E699" s="6"/>
    </row>
    <row r="700" spans="1:5" x14ac:dyDescent="0.3">
      <c r="A700" t="s">
        <v>2298</v>
      </c>
      <c r="C700" t="s">
        <v>1805</v>
      </c>
      <c r="E700" s="6"/>
    </row>
    <row r="701" spans="1:5" x14ac:dyDescent="0.3">
      <c r="A701" t="s">
        <v>2299</v>
      </c>
      <c r="C701" t="s">
        <v>1806</v>
      </c>
      <c r="E701" s="6"/>
    </row>
    <row r="702" spans="1:5" x14ac:dyDescent="0.3">
      <c r="A702" t="s">
        <v>2300</v>
      </c>
      <c r="C702" t="s">
        <v>1807</v>
      </c>
      <c r="E702" s="6"/>
    </row>
    <row r="703" spans="1:5" x14ac:dyDescent="0.3">
      <c r="A703" t="s">
        <v>2301</v>
      </c>
      <c r="C703" t="s">
        <v>1808</v>
      </c>
      <c r="E703" s="6"/>
    </row>
    <row r="704" spans="1:5" x14ac:dyDescent="0.3">
      <c r="A704" t="s">
        <v>2302</v>
      </c>
      <c r="C704" t="s">
        <v>1809</v>
      </c>
      <c r="E704" s="6"/>
    </row>
    <row r="705" spans="1:5" x14ac:dyDescent="0.3">
      <c r="A705" t="s">
        <v>2303</v>
      </c>
      <c r="C705" t="s">
        <v>1810</v>
      </c>
      <c r="E705" s="6"/>
    </row>
    <row r="706" spans="1:5" x14ac:dyDescent="0.3">
      <c r="A706" t="s">
        <v>2304</v>
      </c>
      <c r="C706" t="s">
        <v>1811</v>
      </c>
      <c r="E706" s="6"/>
    </row>
    <row r="707" spans="1:5" x14ac:dyDescent="0.3">
      <c r="A707" t="s">
        <v>2305</v>
      </c>
      <c r="C707" t="s">
        <v>1812</v>
      </c>
      <c r="E707" s="6"/>
    </row>
    <row r="708" spans="1:5" x14ac:dyDescent="0.3">
      <c r="A708" t="s">
        <v>2306</v>
      </c>
      <c r="C708" t="s">
        <v>1813</v>
      </c>
      <c r="E708" s="6"/>
    </row>
    <row r="709" spans="1:5" x14ac:dyDescent="0.3">
      <c r="A709" t="s">
        <v>2307</v>
      </c>
      <c r="C709" t="s">
        <v>1814</v>
      </c>
      <c r="E709" s="6"/>
    </row>
    <row r="710" spans="1:5" x14ac:dyDescent="0.3">
      <c r="A710" t="s">
        <v>2308</v>
      </c>
      <c r="C710" t="s">
        <v>1815</v>
      </c>
      <c r="E710" s="6"/>
    </row>
    <row r="711" spans="1:5" x14ac:dyDescent="0.3">
      <c r="A711" t="s">
        <v>2309</v>
      </c>
      <c r="C711" t="s">
        <v>1816</v>
      </c>
      <c r="E711" s="6"/>
    </row>
    <row r="712" spans="1:5" x14ac:dyDescent="0.3">
      <c r="A712" t="s">
        <v>2310</v>
      </c>
      <c r="C712" t="s">
        <v>1817</v>
      </c>
      <c r="E712" s="6"/>
    </row>
    <row r="713" spans="1:5" x14ac:dyDescent="0.3">
      <c r="A713" t="s">
        <v>2311</v>
      </c>
      <c r="C713" t="s">
        <v>1818</v>
      </c>
      <c r="E713" s="6"/>
    </row>
    <row r="714" spans="1:5" x14ac:dyDescent="0.3">
      <c r="A714" t="s">
        <v>2312</v>
      </c>
      <c r="C714" t="s">
        <v>1819</v>
      </c>
      <c r="E714" s="6"/>
    </row>
    <row r="715" spans="1:5" x14ac:dyDescent="0.3">
      <c r="A715" t="s">
        <v>2313</v>
      </c>
      <c r="C715" t="s">
        <v>1820</v>
      </c>
      <c r="E715" s="6"/>
    </row>
    <row r="716" spans="1:5" x14ac:dyDescent="0.3">
      <c r="A716" t="s">
        <v>2314</v>
      </c>
      <c r="C716" t="s">
        <v>1821</v>
      </c>
      <c r="E716" s="6"/>
    </row>
    <row r="717" spans="1:5" x14ac:dyDescent="0.3">
      <c r="A717" t="s">
        <v>2315</v>
      </c>
      <c r="C717" t="s">
        <v>1822</v>
      </c>
      <c r="E717" s="6"/>
    </row>
    <row r="718" spans="1:5" x14ac:dyDescent="0.3">
      <c r="A718" t="s">
        <v>2316</v>
      </c>
      <c r="C718" t="s">
        <v>1823</v>
      </c>
      <c r="E718" s="6"/>
    </row>
    <row r="719" spans="1:5" x14ac:dyDescent="0.3">
      <c r="A719" t="s">
        <v>2317</v>
      </c>
      <c r="C719" t="s">
        <v>1824</v>
      </c>
      <c r="E719" s="6"/>
    </row>
    <row r="720" spans="1:5" x14ac:dyDescent="0.3">
      <c r="A720" t="s">
        <v>2318</v>
      </c>
      <c r="C720" t="s">
        <v>1825</v>
      </c>
      <c r="E720" s="6"/>
    </row>
    <row r="721" spans="1:5" x14ac:dyDescent="0.3">
      <c r="A721" t="s">
        <v>2319</v>
      </c>
      <c r="C721" t="s">
        <v>1826</v>
      </c>
      <c r="E721" s="6"/>
    </row>
    <row r="722" spans="1:5" x14ac:dyDescent="0.3">
      <c r="A722" t="s">
        <v>2320</v>
      </c>
      <c r="C722" t="s">
        <v>1827</v>
      </c>
      <c r="E722" s="6"/>
    </row>
    <row r="723" spans="1:5" x14ac:dyDescent="0.3">
      <c r="A723" t="s">
        <v>2321</v>
      </c>
      <c r="C723" t="s">
        <v>1828</v>
      </c>
      <c r="E723" s="6"/>
    </row>
    <row r="724" spans="1:5" x14ac:dyDescent="0.3">
      <c r="A724" t="s">
        <v>2322</v>
      </c>
      <c r="C724" t="s">
        <v>1829</v>
      </c>
      <c r="E724" s="6"/>
    </row>
    <row r="725" spans="1:5" x14ac:dyDescent="0.3">
      <c r="A725" t="s">
        <v>2323</v>
      </c>
      <c r="C725" t="s">
        <v>1830</v>
      </c>
      <c r="E725" s="6"/>
    </row>
    <row r="726" spans="1:5" x14ac:dyDescent="0.3">
      <c r="A726" t="s">
        <v>2324</v>
      </c>
      <c r="C726" t="s">
        <v>1831</v>
      </c>
      <c r="E726" s="6"/>
    </row>
    <row r="727" spans="1:5" x14ac:dyDescent="0.3">
      <c r="A727" t="s">
        <v>2325</v>
      </c>
      <c r="C727" t="s">
        <v>1832</v>
      </c>
      <c r="E727" s="6"/>
    </row>
    <row r="728" spans="1:5" x14ac:dyDescent="0.3">
      <c r="A728" t="s">
        <v>2326</v>
      </c>
      <c r="C728" t="s">
        <v>1833</v>
      </c>
      <c r="E728" s="6"/>
    </row>
    <row r="729" spans="1:5" x14ac:dyDescent="0.3">
      <c r="A729" t="s">
        <v>2327</v>
      </c>
      <c r="C729" t="s">
        <v>1834</v>
      </c>
      <c r="E729" s="6"/>
    </row>
    <row r="730" spans="1:5" x14ac:dyDescent="0.3">
      <c r="A730" t="s">
        <v>2328</v>
      </c>
      <c r="C730" t="s">
        <v>1835</v>
      </c>
      <c r="E730" s="6"/>
    </row>
    <row r="731" spans="1:5" x14ac:dyDescent="0.3">
      <c r="A731" t="s">
        <v>2329</v>
      </c>
      <c r="C731" t="s">
        <v>1836</v>
      </c>
      <c r="E731" s="6"/>
    </row>
    <row r="732" spans="1:5" x14ac:dyDescent="0.3">
      <c r="A732" t="s">
        <v>2330</v>
      </c>
      <c r="C732" t="s">
        <v>1837</v>
      </c>
      <c r="E732" s="6"/>
    </row>
    <row r="733" spans="1:5" x14ac:dyDescent="0.3">
      <c r="A733" t="s">
        <v>2331</v>
      </c>
      <c r="C733" t="s">
        <v>1838</v>
      </c>
      <c r="E733" s="6"/>
    </row>
    <row r="734" spans="1:5" x14ac:dyDescent="0.3">
      <c r="A734" t="s">
        <v>2332</v>
      </c>
      <c r="C734" t="s">
        <v>1839</v>
      </c>
      <c r="E734" s="6"/>
    </row>
    <row r="735" spans="1:5" x14ac:dyDescent="0.3">
      <c r="A735" t="s">
        <v>2333</v>
      </c>
      <c r="C735" t="s">
        <v>1840</v>
      </c>
      <c r="E735" s="6"/>
    </row>
    <row r="736" spans="1:5" x14ac:dyDescent="0.3">
      <c r="A736" t="s">
        <v>2334</v>
      </c>
      <c r="C736" t="s">
        <v>1841</v>
      </c>
      <c r="E736" s="6"/>
    </row>
    <row r="737" spans="1:5" x14ac:dyDescent="0.3">
      <c r="A737" t="s">
        <v>2335</v>
      </c>
      <c r="C737" t="s">
        <v>1842</v>
      </c>
      <c r="E737" s="6"/>
    </row>
    <row r="738" spans="1:5" x14ac:dyDescent="0.3">
      <c r="A738" t="s">
        <v>2336</v>
      </c>
      <c r="C738" t="s">
        <v>1843</v>
      </c>
      <c r="E738" s="6"/>
    </row>
    <row r="739" spans="1:5" x14ac:dyDescent="0.3">
      <c r="A739" t="s">
        <v>2337</v>
      </c>
      <c r="C739" t="s">
        <v>1844</v>
      </c>
      <c r="E739" s="6"/>
    </row>
    <row r="740" spans="1:5" x14ac:dyDescent="0.3">
      <c r="A740" t="s">
        <v>2338</v>
      </c>
      <c r="C740" t="s">
        <v>1845</v>
      </c>
      <c r="E740" s="6"/>
    </row>
    <row r="741" spans="1:5" x14ac:dyDescent="0.3">
      <c r="A741" t="s">
        <v>2339</v>
      </c>
      <c r="C741" t="s">
        <v>1846</v>
      </c>
      <c r="E741" s="6"/>
    </row>
    <row r="742" spans="1:5" x14ac:dyDescent="0.3">
      <c r="A742" t="s">
        <v>2340</v>
      </c>
      <c r="C742" t="s">
        <v>1847</v>
      </c>
      <c r="E742" s="6"/>
    </row>
    <row r="743" spans="1:5" x14ac:dyDescent="0.3">
      <c r="A743" t="s">
        <v>2341</v>
      </c>
      <c r="C743" t="s">
        <v>1848</v>
      </c>
      <c r="E743" s="6"/>
    </row>
    <row r="744" spans="1:5" x14ac:dyDescent="0.3">
      <c r="A744" t="s">
        <v>2342</v>
      </c>
      <c r="C744" t="s">
        <v>1849</v>
      </c>
      <c r="E744" s="6"/>
    </row>
    <row r="745" spans="1:5" x14ac:dyDescent="0.3">
      <c r="A745" t="s">
        <v>2343</v>
      </c>
      <c r="C745" t="s">
        <v>1850</v>
      </c>
      <c r="E745" s="6"/>
    </row>
    <row r="746" spans="1:5" x14ac:dyDescent="0.3">
      <c r="A746" t="s">
        <v>2344</v>
      </c>
      <c r="C746" t="s">
        <v>1851</v>
      </c>
      <c r="E746" s="6"/>
    </row>
    <row r="747" spans="1:5" x14ac:dyDescent="0.3">
      <c r="A747" t="s">
        <v>2345</v>
      </c>
      <c r="C747" t="s">
        <v>1852</v>
      </c>
      <c r="E747" s="6"/>
    </row>
    <row r="748" spans="1:5" x14ac:dyDescent="0.3">
      <c r="A748" t="s">
        <v>2346</v>
      </c>
      <c r="C748" t="s">
        <v>1853</v>
      </c>
      <c r="E748" s="6"/>
    </row>
    <row r="749" spans="1:5" x14ac:dyDescent="0.3">
      <c r="A749" t="s">
        <v>2347</v>
      </c>
      <c r="C749" t="s">
        <v>1854</v>
      </c>
      <c r="E749" s="6"/>
    </row>
    <row r="750" spans="1:5" x14ac:dyDescent="0.3">
      <c r="A750" t="s">
        <v>2348</v>
      </c>
      <c r="C750" t="s">
        <v>1855</v>
      </c>
      <c r="E750" s="6"/>
    </row>
    <row r="751" spans="1:5" x14ac:dyDescent="0.3">
      <c r="A751" t="s">
        <v>2349</v>
      </c>
      <c r="C751" t="s">
        <v>1856</v>
      </c>
      <c r="E751" s="6"/>
    </row>
    <row r="752" spans="1:5" x14ac:dyDescent="0.3">
      <c r="A752" t="s">
        <v>2350</v>
      </c>
      <c r="C752" t="s">
        <v>1857</v>
      </c>
      <c r="E752" s="6"/>
    </row>
    <row r="753" spans="1:5" x14ac:dyDescent="0.3">
      <c r="A753" t="s">
        <v>2351</v>
      </c>
      <c r="C753" t="s">
        <v>1858</v>
      </c>
      <c r="E753" s="6"/>
    </row>
    <row r="754" spans="1:5" x14ac:dyDescent="0.3">
      <c r="A754" t="s">
        <v>2352</v>
      </c>
      <c r="C754" t="s">
        <v>1859</v>
      </c>
      <c r="E754" s="6"/>
    </row>
    <row r="755" spans="1:5" x14ac:dyDescent="0.3">
      <c r="A755" t="s">
        <v>2353</v>
      </c>
      <c r="C755" t="s">
        <v>1860</v>
      </c>
      <c r="E755" s="6"/>
    </row>
    <row r="756" spans="1:5" x14ac:dyDescent="0.3">
      <c r="A756" t="s">
        <v>2354</v>
      </c>
      <c r="C756" t="s">
        <v>1861</v>
      </c>
      <c r="E756" s="6"/>
    </row>
    <row r="757" spans="1:5" x14ac:dyDescent="0.3">
      <c r="A757" t="s">
        <v>2355</v>
      </c>
      <c r="C757" t="s">
        <v>1862</v>
      </c>
      <c r="E757" s="6"/>
    </row>
    <row r="758" spans="1:5" x14ac:dyDescent="0.3">
      <c r="A758" t="s">
        <v>2356</v>
      </c>
      <c r="C758" t="s">
        <v>1863</v>
      </c>
      <c r="E758" s="6"/>
    </row>
    <row r="759" spans="1:5" x14ac:dyDescent="0.3">
      <c r="A759" t="s">
        <v>2357</v>
      </c>
      <c r="C759" t="s">
        <v>1864</v>
      </c>
      <c r="E759" s="6"/>
    </row>
    <row r="760" spans="1:5" x14ac:dyDescent="0.3">
      <c r="A760" t="s">
        <v>2358</v>
      </c>
      <c r="C760" t="s">
        <v>1865</v>
      </c>
      <c r="E760" s="6"/>
    </row>
    <row r="761" spans="1:5" x14ac:dyDescent="0.3">
      <c r="A761" t="s">
        <v>2359</v>
      </c>
      <c r="C761" t="s">
        <v>1866</v>
      </c>
      <c r="E761" s="6"/>
    </row>
    <row r="762" spans="1:5" x14ac:dyDescent="0.3">
      <c r="A762" t="s">
        <v>2360</v>
      </c>
      <c r="C762" t="s">
        <v>1867</v>
      </c>
      <c r="E762" s="6"/>
    </row>
    <row r="763" spans="1:5" x14ac:dyDescent="0.3">
      <c r="A763" t="s">
        <v>2361</v>
      </c>
      <c r="C763" t="s">
        <v>1868</v>
      </c>
      <c r="E763" s="6"/>
    </row>
    <row r="764" spans="1:5" x14ac:dyDescent="0.3">
      <c r="A764" t="s">
        <v>2362</v>
      </c>
      <c r="C764" t="s">
        <v>1869</v>
      </c>
      <c r="E764" s="6"/>
    </row>
    <row r="765" spans="1:5" x14ac:dyDescent="0.3">
      <c r="A765" t="s">
        <v>2363</v>
      </c>
      <c r="C765" t="s">
        <v>1870</v>
      </c>
      <c r="E765" s="6"/>
    </row>
    <row r="766" spans="1:5" x14ac:dyDescent="0.3">
      <c r="A766" t="s">
        <v>2364</v>
      </c>
      <c r="C766" t="s">
        <v>1871</v>
      </c>
      <c r="E766" s="6"/>
    </row>
    <row r="767" spans="1:5" x14ac:dyDescent="0.3">
      <c r="A767" t="s">
        <v>2365</v>
      </c>
      <c r="C767" t="s">
        <v>1872</v>
      </c>
      <c r="E767" s="6"/>
    </row>
    <row r="768" spans="1:5" x14ac:dyDescent="0.3">
      <c r="A768" t="s">
        <v>2366</v>
      </c>
      <c r="C768" t="s">
        <v>1873</v>
      </c>
      <c r="E768" s="6"/>
    </row>
    <row r="769" spans="1:5" x14ac:dyDescent="0.3">
      <c r="A769" t="s">
        <v>2367</v>
      </c>
      <c r="C769" t="s">
        <v>1874</v>
      </c>
      <c r="E769" s="6"/>
    </row>
    <row r="770" spans="1:5" x14ac:dyDescent="0.3">
      <c r="A770" t="s">
        <v>2368</v>
      </c>
      <c r="C770" t="s">
        <v>1875</v>
      </c>
      <c r="E770" s="6"/>
    </row>
    <row r="771" spans="1:5" x14ac:dyDescent="0.3">
      <c r="A771" t="s">
        <v>1119</v>
      </c>
      <c r="C771" t="s">
        <v>1876</v>
      </c>
      <c r="E771" s="6"/>
    </row>
    <row r="772" spans="1:5" x14ac:dyDescent="0.3">
      <c r="A772" t="s">
        <v>2369</v>
      </c>
      <c r="C772" t="s">
        <v>1877</v>
      </c>
      <c r="E772" s="6"/>
    </row>
    <row r="773" spans="1:5" x14ac:dyDescent="0.3">
      <c r="A773" t="s">
        <v>2370</v>
      </c>
      <c r="C773" t="s">
        <v>1878</v>
      </c>
      <c r="E773" s="6"/>
    </row>
    <row r="774" spans="1:5" x14ac:dyDescent="0.3">
      <c r="A774" t="s">
        <v>2371</v>
      </c>
      <c r="C774" t="s">
        <v>1879</v>
      </c>
      <c r="E774" s="6"/>
    </row>
    <row r="775" spans="1:5" x14ac:dyDescent="0.3">
      <c r="A775" t="s">
        <v>2372</v>
      </c>
      <c r="C775" t="s">
        <v>1880</v>
      </c>
      <c r="E775" s="6"/>
    </row>
    <row r="776" spans="1:5" x14ac:dyDescent="0.3">
      <c r="A776" t="s">
        <v>2373</v>
      </c>
      <c r="C776" t="s">
        <v>1881</v>
      </c>
      <c r="E776" s="6"/>
    </row>
    <row r="777" spans="1:5" x14ac:dyDescent="0.3">
      <c r="A777" t="s">
        <v>1120</v>
      </c>
      <c r="C777" t="s">
        <v>1882</v>
      </c>
      <c r="E777" s="6"/>
    </row>
    <row r="778" spans="1:5" x14ac:dyDescent="0.3">
      <c r="A778" t="s">
        <v>2374</v>
      </c>
      <c r="C778" t="s">
        <v>1883</v>
      </c>
      <c r="E778" s="6"/>
    </row>
    <row r="779" spans="1:5" x14ac:dyDescent="0.3">
      <c r="A779" t="s">
        <v>2375</v>
      </c>
      <c r="C779" t="s">
        <v>1884</v>
      </c>
      <c r="E779" s="6"/>
    </row>
    <row r="780" spans="1:5" x14ac:dyDescent="0.3">
      <c r="A780" t="s">
        <v>2376</v>
      </c>
      <c r="C780" t="s">
        <v>1885</v>
      </c>
      <c r="E780" s="6"/>
    </row>
    <row r="781" spans="1:5" x14ac:dyDescent="0.3">
      <c r="A781" t="s">
        <v>2377</v>
      </c>
      <c r="C781" t="s">
        <v>1886</v>
      </c>
      <c r="E781" s="6"/>
    </row>
    <row r="782" spans="1:5" x14ac:dyDescent="0.3">
      <c r="A782" t="s">
        <v>2378</v>
      </c>
      <c r="C782" t="s">
        <v>1887</v>
      </c>
      <c r="E782" s="6"/>
    </row>
    <row r="783" spans="1:5" x14ac:dyDescent="0.3">
      <c r="A783" t="s">
        <v>2379</v>
      </c>
      <c r="C783" t="s">
        <v>1888</v>
      </c>
      <c r="E783" s="6"/>
    </row>
    <row r="784" spans="1:5" x14ac:dyDescent="0.3">
      <c r="A784" t="s">
        <v>2380</v>
      </c>
      <c r="C784" t="s">
        <v>1889</v>
      </c>
      <c r="E784" s="6"/>
    </row>
    <row r="785" spans="1:5" x14ac:dyDescent="0.3">
      <c r="A785" t="s">
        <v>2381</v>
      </c>
      <c r="C785" t="s">
        <v>1890</v>
      </c>
      <c r="E785" s="6"/>
    </row>
    <row r="786" spans="1:5" x14ac:dyDescent="0.3">
      <c r="A786" t="s">
        <v>2382</v>
      </c>
      <c r="C786" t="s">
        <v>1891</v>
      </c>
      <c r="E786" s="6"/>
    </row>
    <row r="787" spans="1:5" x14ac:dyDescent="0.3">
      <c r="A787" t="s">
        <v>2383</v>
      </c>
      <c r="C787" t="s">
        <v>1892</v>
      </c>
      <c r="E787" s="6"/>
    </row>
    <row r="788" spans="1:5" x14ac:dyDescent="0.3">
      <c r="A788" t="s">
        <v>2384</v>
      </c>
      <c r="C788" t="s">
        <v>1893</v>
      </c>
      <c r="E788" s="6"/>
    </row>
    <row r="789" spans="1:5" x14ac:dyDescent="0.3">
      <c r="A789" t="s">
        <v>2385</v>
      </c>
      <c r="C789" t="s">
        <v>1894</v>
      </c>
      <c r="E789" s="6"/>
    </row>
    <row r="790" spans="1:5" x14ac:dyDescent="0.3">
      <c r="A790" t="s">
        <v>2386</v>
      </c>
      <c r="C790" t="s">
        <v>1895</v>
      </c>
      <c r="E790" s="6"/>
    </row>
    <row r="791" spans="1:5" x14ac:dyDescent="0.3">
      <c r="A791" t="s">
        <v>2387</v>
      </c>
      <c r="C791" t="s">
        <v>1896</v>
      </c>
      <c r="E791" s="6"/>
    </row>
    <row r="792" spans="1:5" x14ac:dyDescent="0.3">
      <c r="A792" t="s">
        <v>2388</v>
      </c>
      <c r="C792" t="s">
        <v>1897</v>
      </c>
      <c r="E792" s="6"/>
    </row>
    <row r="793" spans="1:5" x14ac:dyDescent="0.3">
      <c r="A793" t="s">
        <v>2389</v>
      </c>
      <c r="C793" t="s">
        <v>1898</v>
      </c>
      <c r="E793" s="6"/>
    </row>
    <row r="794" spans="1:5" x14ac:dyDescent="0.3">
      <c r="A794" t="s">
        <v>2390</v>
      </c>
      <c r="C794" t="s">
        <v>1899</v>
      </c>
      <c r="E794" s="6"/>
    </row>
    <row r="795" spans="1:5" x14ac:dyDescent="0.3">
      <c r="A795" t="s">
        <v>2391</v>
      </c>
      <c r="C795" t="s">
        <v>1900</v>
      </c>
      <c r="E795" s="6"/>
    </row>
    <row r="796" spans="1:5" x14ac:dyDescent="0.3">
      <c r="A796" t="s">
        <v>2392</v>
      </c>
      <c r="C796" t="s">
        <v>1901</v>
      </c>
      <c r="E796" s="6"/>
    </row>
    <row r="797" spans="1:5" x14ac:dyDescent="0.3">
      <c r="A797" t="s">
        <v>2393</v>
      </c>
      <c r="C797" t="s">
        <v>1902</v>
      </c>
      <c r="E797" s="6"/>
    </row>
    <row r="798" spans="1:5" x14ac:dyDescent="0.3">
      <c r="A798" t="s">
        <v>2394</v>
      </c>
      <c r="C798" t="s">
        <v>1903</v>
      </c>
      <c r="E798" s="6"/>
    </row>
    <row r="799" spans="1:5" x14ac:dyDescent="0.3">
      <c r="A799" t="s">
        <v>2395</v>
      </c>
      <c r="C799" t="s">
        <v>1904</v>
      </c>
      <c r="E799" s="6"/>
    </row>
    <row r="800" spans="1:5" x14ac:dyDescent="0.3">
      <c r="A800" t="s">
        <v>2396</v>
      </c>
      <c r="C800" t="s">
        <v>1905</v>
      </c>
      <c r="E800" s="6"/>
    </row>
    <row r="801" spans="1:5" x14ac:dyDescent="0.3">
      <c r="A801" t="s">
        <v>2397</v>
      </c>
      <c r="C801" t="s">
        <v>1906</v>
      </c>
      <c r="E801" s="6"/>
    </row>
    <row r="802" spans="1:5" x14ac:dyDescent="0.3">
      <c r="A802" t="s">
        <v>2398</v>
      </c>
      <c r="C802" t="s">
        <v>1907</v>
      </c>
      <c r="E802" s="6"/>
    </row>
    <row r="803" spans="1:5" x14ac:dyDescent="0.3">
      <c r="A803" t="s">
        <v>2399</v>
      </c>
      <c r="C803" t="s">
        <v>1908</v>
      </c>
      <c r="E803" s="6"/>
    </row>
    <row r="804" spans="1:5" x14ac:dyDescent="0.3">
      <c r="A804" t="s">
        <v>2400</v>
      </c>
      <c r="C804" t="s">
        <v>1909</v>
      </c>
      <c r="E804" s="6"/>
    </row>
    <row r="805" spans="1:5" x14ac:dyDescent="0.3">
      <c r="A805" t="s">
        <v>2401</v>
      </c>
      <c r="C805" t="s">
        <v>1910</v>
      </c>
      <c r="E805" s="6"/>
    </row>
    <row r="806" spans="1:5" x14ac:dyDescent="0.3">
      <c r="A806" t="s">
        <v>2402</v>
      </c>
      <c r="C806" t="s">
        <v>1911</v>
      </c>
      <c r="E806" s="6"/>
    </row>
    <row r="807" spans="1:5" x14ac:dyDescent="0.3">
      <c r="A807" t="s">
        <v>1121</v>
      </c>
      <c r="C807" t="s">
        <v>1912</v>
      </c>
      <c r="E807" s="6"/>
    </row>
    <row r="808" spans="1:5" x14ac:dyDescent="0.3">
      <c r="A808" t="s">
        <v>2403</v>
      </c>
      <c r="C808" t="s">
        <v>1913</v>
      </c>
      <c r="E808" s="6"/>
    </row>
    <row r="809" spans="1:5" x14ac:dyDescent="0.3">
      <c r="A809" t="s">
        <v>2404</v>
      </c>
      <c r="C809" t="s">
        <v>1914</v>
      </c>
      <c r="E809" s="6"/>
    </row>
    <row r="810" spans="1:5" x14ac:dyDescent="0.3">
      <c r="A810" t="s">
        <v>2405</v>
      </c>
      <c r="C810" t="s">
        <v>1915</v>
      </c>
      <c r="E810" s="6"/>
    </row>
    <row r="811" spans="1:5" x14ac:dyDescent="0.3">
      <c r="A811" t="s">
        <v>2406</v>
      </c>
      <c r="C811" t="s">
        <v>1916</v>
      </c>
      <c r="E811" s="6"/>
    </row>
    <row r="812" spans="1:5" x14ac:dyDescent="0.3">
      <c r="A812" t="s">
        <v>2407</v>
      </c>
      <c r="C812" t="s">
        <v>1917</v>
      </c>
      <c r="E812" s="6"/>
    </row>
    <row r="813" spans="1:5" x14ac:dyDescent="0.3">
      <c r="A813" t="s">
        <v>2408</v>
      </c>
      <c r="C813" t="s">
        <v>1918</v>
      </c>
      <c r="E813" s="6"/>
    </row>
    <row r="814" spans="1:5" x14ac:dyDescent="0.3">
      <c r="A814" t="s">
        <v>2409</v>
      </c>
      <c r="C814" t="s">
        <v>1919</v>
      </c>
      <c r="E814" s="6"/>
    </row>
    <row r="815" spans="1:5" x14ac:dyDescent="0.3">
      <c r="A815" t="s">
        <v>2410</v>
      </c>
      <c r="C815" t="s">
        <v>1920</v>
      </c>
      <c r="E815" s="6"/>
    </row>
    <row r="816" spans="1:5" x14ac:dyDescent="0.3">
      <c r="A816" t="s">
        <v>2411</v>
      </c>
      <c r="C816" t="s">
        <v>1921</v>
      </c>
      <c r="E816" s="6"/>
    </row>
    <row r="817" spans="1:5" x14ac:dyDescent="0.3">
      <c r="A817" t="s">
        <v>2412</v>
      </c>
      <c r="C817" t="s">
        <v>1922</v>
      </c>
      <c r="E817" s="6"/>
    </row>
    <row r="818" spans="1:5" x14ac:dyDescent="0.3">
      <c r="A818" t="s">
        <v>2413</v>
      </c>
      <c r="C818" t="s">
        <v>1923</v>
      </c>
      <c r="E818" s="6"/>
    </row>
    <row r="819" spans="1:5" x14ac:dyDescent="0.3">
      <c r="A819" t="s">
        <v>2414</v>
      </c>
      <c r="C819" t="s">
        <v>1924</v>
      </c>
      <c r="E819" s="6"/>
    </row>
    <row r="820" spans="1:5" x14ac:dyDescent="0.3">
      <c r="A820" t="s">
        <v>2415</v>
      </c>
      <c r="C820" t="s">
        <v>1925</v>
      </c>
      <c r="E820" s="6"/>
    </row>
    <row r="821" spans="1:5" x14ac:dyDescent="0.3">
      <c r="A821" t="s">
        <v>2416</v>
      </c>
      <c r="C821" t="s">
        <v>1926</v>
      </c>
      <c r="E821" s="6"/>
    </row>
    <row r="822" spans="1:5" x14ac:dyDescent="0.3">
      <c r="A822" t="s">
        <v>2417</v>
      </c>
      <c r="C822" t="s">
        <v>1927</v>
      </c>
      <c r="E822" s="6"/>
    </row>
    <row r="823" spans="1:5" x14ac:dyDescent="0.3">
      <c r="A823" t="s">
        <v>2418</v>
      </c>
      <c r="C823" t="s">
        <v>1928</v>
      </c>
      <c r="E823" s="6"/>
    </row>
    <row r="824" spans="1:5" x14ac:dyDescent="0.3">
      <c r="A824" t="s">
        <v>2419</v>
      </c>
      <c r="C824" t="s">
        <v>1929</v>
      </c>
      <c r="E824" s="6"/>
    </row>
    <row r="825" spans="1:5" x14ac:dyDescent="0.3">
      <c r="A825" t="s">
        <v>2420</v>
      </c>
      <c r="C825" t="s">
        <v>1930</v>
      </c>
      <c r="E825" s="6"/>
    </row>
    <row r="826" spans="1:5" x14ac:dyDescent="0.3">
      <c r="A826" t="s">
        <v>2421</v>
      </c>
      <c r="C826" t="s">
        <v>1931</v>
      </c>
      <c r="E826" s="6"/>
    </row>
    <row r="827" spans="1:5" x14ac:dyDescent="0.3">
      <c r="A827" t="s">
        <v>2422</v>
      </c>
      <c r="C827" t="s">
        <v>1932</v>
      </c>
      <c r="E827" s="6"/>
    </row>
    <row r="828" spans="1:5" x14ac:dyDescent="0.3">
      <c r="A828" t="s">
        <v>2423</v>
      </c>
      <c r="C828" t="s">
        <v>1933</v>
      </c>
      <c r="E828" s="6"/>
    </row>
    <row r="829" spans="1:5" x14ac:dyDescent="0.3">
      <c r="A829" t="s">
        <v>2424</v>
      </c>
      <c r="C829" t="s">
        <v>1934</v>
      </c>
      <c r="E829" s="6"/>
    </row>
    <row r="830" spans="1:5" x14ac:dyDescent="0.3">
      <c r="A830" t="s">
        <v>2425</v>
      </c>
      <c r="C830" t="s">
        <v>1935</v>
      </c>
      <c r="E830" s="6"/>
    </row>
    <row r="831" spans="1:5" x14ac:dyDescent="0.3">
      <c r="A831" t="s">
        <v>2426</v>
      </c>
      <c r="C831" t="s">
        <v>1936</v>
      </c>
      <c r="E831" s="6"/>
    </row>
    <row r="832" spans="1:5" x14ac:dyDescent="0.3">
      <c r="A832" t="s">
        <v>2427</v>
      </c>
      <c r="C832" t="s">
        <v>1937</v>
      </c>
      <c r="E832" s="6"/>
    </row>
    <row r="833" spans="1:5" x14ac:dyDescent="0.3">
      <c r="A833" t="s">
        <v>2428</v>
      </c>
      <c r="C833" t="s">
        <v>1938</v>
      </c>
      <c r="E833" s="6"/>
    </row>
    <row r="834" spans="1:5" x14ac:dyDescent="0.3">
      <c r="A834" t="s">
        <v>2429</v>
      </c>
      <c r="C834" t="s">
        <v>1939</v>
      </c>
      <c r="E834" s="6"/>
    </row>
    <row r="835" spans="1:5" x14ac:dyDescent="0.3">
      <c r="A835" t="s">
        <v>2430</v>
      </c>
      <c r="C835" t="s">
        <v>1940</v>
      </c>
      <c r="E835" s="6"/>
    </row>
    <row r="836" spans="1:5" x14ac:dyDescent="0.3">
      <c r="A836" t="s">
        <v>2431</v>
      </c>
      <c r="C836" t="s">
        <v>1941</v>
      </c>
      <c r="E836" s="6"/>
    </row>
    <row r="837" spans="1:5" x14ac:dyDescent="0.3">
      <c r="A837" t="s">
        <v>2432</v>
      </c>
      <c r="C837" t="s">
        <v>1942</v>
      </c>
      <c r="E837" s="6"/>
    </row>
    <row r="838" spans="1:5" x14ac:dyDescent="0.3">
      <c r="A838" t="s">
        <v>2433</v>
      </c>
      <c r="C838" t="s">
        <v>1943</v>
      </c>
      <c r="E838" s="6"/>
    </row>
    <row r="839" spans="1:5" x14ac:dyDescent="0.3">
      <c r="A839" t="s">
        <v>1122</v>
      </c>
      <c r="C839" t="s">
        <v>1944</v>
      </c>
      <c r="E839" s="6"/>
    </row>
    <row r="840" spans="1:5" x14ac:dyDescent="0.3">
      <c r="A840" t="s">
        <v>2434</v>
      </c>
      <c r="C840" t="s">
        <v>1945</v>
      </c>
      <c r="E840" s="6"/>
    </row>
    <row r="841" spans="1:5" x14ac:dyDescent="0.3">
      <c r="A841" t="s">
        <v>1123</v>
      </c>
      <c r="C841" t="s">
        <v>1946</v>
      </c>
      <c r="E841" s="6"/>
    </row>
    <row r="842" spans="1:5" x14ac:dyDescent="0.3">
      <c r="A842" t="s">
        <v>1124</v>
      </c>
      <c r="C842" t="s">
        <v>1947</v>
      </c>
      <c r="E842" s="6"/>
    </row>
    <row r="843" spans="1:5" x14ac:dyDescent="0.3">
      <c r="A843" t="s">
        <v>1125</v>
      </c>
      <c r="C843" t="s">
        <v>1948</v>
      </c>
      <c r="E843" s="6"/>
    </row>
    <row r="844" spans="1:5" x14ac:dyDescent="0.3">
      <c r="A844" t="s">
        <v>1126</v>
      </c>
      <c r="C844" t="s">
        <v>1949</v>
      </c>
      <c r="E844" s="6"/>
    </row>
    <row r="845" spans="1:5" x14ac:dyDescent="0.3">
      <c r="A845" t="s">
        <v>2435</v>
      </c>
      <c r="C845" t="s">
        <v>1950</v>
      </c>
      <c r="E845" s="6"/>
    </row>
    <row r="846" spans="1:5" x14ac:dyDescent="0.3">
      <c r="A846" t="s">
        <v>2436</v>
      </c>
      <c r="C846" t="s">
        <v>1951</v>
      </c>
      <c r="E846" s="6"/>
    </row>
    <row r="847" spans="1:5" x14ac:dyDescent="0.3">
      <c r="A847" t="s">
        <v>2437</v>
      </c>
      <c r="C847" t="s">
        <v>1952</v>
      </c>
      <c r="E847" s="6"/>
    </row>
    <row r="848" spans="1:5" x14ac:dyDescent="0.3">
      <c r="A848" t="s">
        <v>2438</v>
      </c>
      <c r="C848" t="s">
        <v>1953</v>
      </c>
      <c r="E848" s="6"/>
    </row>
    <row r="849" spans="1:5" x14ac:dyDescent="0.3">
      <c r="A849" t="s">
        <v>2439</v>
      </c>
      <c r="C849" t="s">
        <v>1954</v>
      </c>
      <c r="E849" s="6"/>
    </row>
    <row r="850" spans="1:5" x14ac:dyDescent="0.3">
      <c r="A850" t="s">
        <v>2440</v>
      </c>
      <c r="C850" t="s">
        <v>1955</v>
      </c>
      <c r="E850" s="6"/>
    </row>
    <row r="851" spans="1:5" x14ac:dyDescent="0.3">
      <c r="A851" t="s">
        <v>1127</v>
      </c>
      <c r="C851" t="s">
        <v>1956</v>
      </c>
      <c r="E851" s="6"/>
    </row>
    <row r="852" spans="1:5" x14ac:dyDescent="0.3">
      <c r="A852" t="s">
        <v>1128</v>
      </c>
      <c r="C852" t="s">
        <v>1957</v>
      </c>
      <c r="E852" s="6"/>
    </row>
    <row r="853" spans="1:5" x14ac:dyDescent="0.3">
      <c r="A853" t="s">
        <v>1129</v>
      </c>
      <c r="C853" t="s">
        <v>1958</v>
      </c>
      <c r="E853" s="6"/>
    </row>
    <row r="854" spans="1:5" x14ac:dyDescent="0.3">
      <c r="A854" t="s">
        <v>1130</v>
      </c>
      <c r="C854" t="s">
        <v>1959</v>
      </c>
      <c r="E854" s="6"/>
    </row>
    <row r="855" spans="1:5" x14ac:dyDescent="0.3">
      <c r="A855" t="s">
        <v>2441</v>
      </c>
      <c r="C855" t="s">
        <v>1960</v>
      </c>
      <c r="E855" s="6"/>
    </row>
    <row r="856" spans="1:5" x14ac:dyDescent="0.3">
      <c r="A856" t="s">
        <v>2442</v>
      </c>
      <c r="C856" t="s">
        <v>1961</v>
      </c>
      <c r="E856" s="6"/>
    </row>
    <row r="857" spans="1:5" x14ac:dyDescent="0.3">
      <c r="A857" t="s">
        <v>2443</v>
      </c>
      <c r="C857" t="s">
        <v>1962</v>
      </c>
      <c r="E857" s="6"/>
    </row>
    <row r="858" spans="1:5" x14ac:dyDescent="0.3">
      <c r="A858" t="s">
        <v>2444</v>
      </c>
      <c r="C858" t="s">
        <v>1963</v>
      </c>
      <c r="E858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6F16-E8AD-42BE-B55C-C08677C46144}">
  <dimension ref="A1:J117"/>
  <sheetViews>
    <sheetView topLeftCell="A97" workbookViewId="0">
      <selection activeCell="C2" sqref="C2:C117"/>
    </sheetView>
  </sheetViews>
  <sheetFormatPr defaultRowHeight="14" x14ac:dyDescent="0.3"/>
  <cols>
    <col min="1" max="1" width="14.6640625" customWidth="1"/>
    <col min="3" max="3" width="19.08203125" customWidth="1"/>
    <col min="7" max="7" width="16.1640625" bestFit="1" customWidth="1"/>
    <col min="8" max="8" width="16" bestFit="1" customWidth="1"/>
    <col min="9" max="9" width="17.1640625" bestFit="1" customWidth="1"/>
    <col min="10" max="10" width="26.58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t="s">
        <v>459</v>
      </c>
    </row>
    <row r="3" spans="1:5" x14ac:dyDescent="0.3">
      <c r="C3" t="s">
        <v>460</v>
      </c>
    </row>
    <row r="4" spans="1:5" x14ac:dyDescent="0.3">
      <c r="C4" t="s">
        <v>461</v>
      </c>
    </row>
    <row r="5" spans="1:5" x14ac:dyDescent="0.3">
      <c r="C5" t="s">
        <v>462</v>
      </c>
    </row>
    <row r="6" spans="1:5" x14ac:dyDescent="0.3">
      <c r="C6" t="s">
        <v>463</v>
      </c>
    </row>
    <row r="7" spans="1:5" x14ac:dyDescent="0.3">
      <c r="C7" t="s">
        <v>464</v>
      </c>
    </row>
    <row r="8" spans="1:5" x14ac:dyDescent="0.3">
      <c r="C8" t="s">
        <v>465</v>
      </c>
    </row>
    <row r="9" spans="1:5" x14ac:dyDescent="0.3">
      <c r="C9" t="s">
        <v>466</v>
      </c>
    </row>
    <row r="10" spans="1:5" x14ac:dyDescent="0.3">
      <c r="C10" t="s">
        <v>467</v>
      </c>
    </row>
    <row r="11" spans="1:5" x14ac:dyDescent="0.3">
      <c r="C11" t="s">
        <v>468</v>
      </c>
    </row>
    <row r="12" spans="1:5" x14ac:dyDescent="0.3">
      <c r="C12" t="s">
        <v>469</v>
      </c>
    </row>
    <row r="13" spans="1:5" x14ac:dyDescent="0.3">
      <c r="C13" t="s">
        <v>470</v>
      </c>
    </row>
    <row r="14" spans="1:5" x14ac:dyDescent="0.3">
      <c r="C14" t="s">
        <v>471</v>
      </c>
    </row>
    <row r="15" spans="1:5" x14ac:dyDescent="0.3">
      <c r="C15" t="s">
        <v>490</v>
      </c>
    </row>
    <row r="16" spans="1:5" x14ac:dyDescent="0.3">
      <c r="C16" t="s">
        <v>472</v>
      </c>
    </row>
    <row r="17" spans="1:3" x14ac:dyDescent="0.3">
      <c r="C17" t="s">
        <v>473</v>
      </c>
    </row>
    <row r="18" spans="1:3" x14ac:dyDescent="0.3">
      <c r="C18" t="s">
        <v>474</v>
      </c>
    </row>
    <row r="19" spans="1:3" x14ac:dyDescent="0.3">
      <c r="A19" t="s">
        <v>477</v>
      </c>
      <c r="C19" t="s">
        <v>475</v>
      </c>
    </row>
    <row r="20" spans="1:3" x14ac:dyDescent="0.3">
      <c r="C20" t="s">
        <v>476</v>
      </c>
    </row>
    <row r="21" spans="1:3" x14ac:dyDescent="0.3">
      <c r="A21" t="s">
        <v>479</v>
      </c>
      <c r="C21" t="s">
        <v>478</v>
      </c>
    </row>
    <row r="22" spans="1:3" x14ac:dyDescent="0.3">
      <c r="C22" t="s">
        <v>480</v>
      </c>
    </row>
    <row r="23" spans="1:3" x14ac:dyDescent="0.3">
      <c r="C23" t="s">
        <v>482</v>
      </c>
    </row>
    <row r="24" spans="1:3" x14ac:dyDescent="0.3">
      <c r="C24" t="s">
        <v>481</v>
      </c>
    </row>
    <row r="25" spans="1:3" x14ac:dyDescent="0.3">
      <c r="C25" t="s">
        <v>483</v>
      </c>
    </row>
    <row r="26" spans="1:3" x14ac:dyDescent="0.3">
      <c r="C26" t="s">
        <v>484</v>
      </c>
    </row>
    <row r="27" spans="1:3" x14ac:dyDescent="0.3">
      <c r="C27" t="s">
        <v>485</v>
      </c>
    </row>
    <row r="28" spans="1:3" x14ac:dyDescent="0.3">
      <c r="C28" t="s">
        <v>486</v>
      </c>
    </row>
    <row r="29" spans="1:3" x14ac:dyDescent="0.3">
      <c r="A29" t="s">
        <v>487</v>
      </c>
      <c r="C29" t="s">
        <v>488</v>
      </c>
    </row>
    <row r="30" spans="1:3" x14ac:dyDescent="0.3">
      <c r="C30" t="s">
        <v>491</v>
      </c>
    </row>
    <row r="31" spans="1:3" x14ac:dyDescent="0.3">
      <c r="C31" t="s">
        <v>492</v>
      </c>
    </row>
    <row r="32" spans="1:3" x14ac:dyDescent="0.3">
      <c r="C32" t="s">
        <v>493</v>
      </c>
    </row>
    <row r="33" spans="3:3" x14ac:dyDescent="0.3">
      <c r="C33" t="s">
        <v>494</v>
      </c>
    </row>
    <row r="34" spans="3:3" x14ac:dyDescent="0.3">
      <c r="C34" t="s">
        <v>495</v>
      </c>
    </row>
    <row r="35" spans="3:3" x14ac:dyDescent="0.3">
      <c r="C35" t="s">
        <v>496</v>
      </c>
    </row>
    <row r="36" spans="3:3" x14ac:dyDescent="0.3">
      <c r="C36" t="s">
        <v>498</v>
      </c>
    </row>
    <row r="37" spans="3:3" x14ac:dyDescent="0.3">
      <c r="C37" t="s">
        <v>497</v>
      </c>
    </row>
    <row r="38" spans="3:3" x14ac:dyDescent="0.3">
      <c r="C38" t="s">
        <v>499</v>
      </c>
    </row>
    <row r="39" spans="3:3" x14ac:dyDescent="0.3">
      <c r="C39" t="s">
        <v>500</v>
      </c>
    </row>
    <row r="40" spans="3:3" x14ac:dyDescent="0.3">
      <c r="C40" t="s">
        <v>501</v>
      </c>
    </row>
    <row r="41" spans="3:3" x14ac:dyDescent="0.3">
      <c r="C41" t="s">
        <v>502</v>
      </c>
    </row>
    <row r="42" spans="3:3" x14ac:dyDescent="0.3">
      <c r="C42" t="s">
        <v>503</v>
      </c>
    </row>
    <row r="43" spans="3:3" x14ac:dyDescent="0.3">
      <c r="C43" t="s">
        <v>504</v>
      </c>
    </row>
    <row r="44" spans="3:3" x14ac:dyDescent="0.3">
      <c r="C44" t="s">
        <v>506</v>
      </c>
    </row>
    <row r="45" spans="3:3" x14ac:dyDescent="0.3">
      <c r="C45" t="s">
        <v>505</v>
      </c>
    </row>
    <row r="46" spans="3:3" x14ac:dyDescent="0.3">
      <c r="C46" t="s">
        <v>526</v>
      </c>
    </row>
    <row r="47" spans="3:3" x14ac:dyDescent="0.3">
      <c r="C47" t="s">
        <v>507</v>
      </c>
    </row>
    <row r="48" spans="3:3" x14ac:dyDescent="0.3">
      <c r="C48" t="s">
        <v>508</v>
      </c>
    </row>
    <row r="49" spans="1:10" x14ac:dyDescent="0.3">
      <c r="C49" t="s">
        <v>509</v>
      </c>
      <c r="G49" t="s">
        <v>539</v>
      </c>
      <c r="H49" t="s">
        <v>540</v>
      </c>
      <c r="I49" t="s">
        <v>541</v>
      </c>
      <c r="J49" t="s">
        <v>542</v>
      </c>
    </row>
    <row r="50" spans="1:10" x14ac:dyDescent="0.3">
      <c r="C50" t="s">
        <v>510</v>
      </c>
      <c r="F50" t="s">
        <v>527</v>
      </c>
      <c r="G50" t="str">
        <f>$F50&amp;" "&amp;G$49&amp;" YOY"</f>
        <v>AUD CPI YOY</v>
      </c>
      <c r="H50" t="str">
        <f t="shared" ref="H50:J62" si="0">$F50&amp;" "&amp;H$49&amp;" YOY"</f>
        <v>AUD PPI YOY</v>
      </c>
      <c r="I50" t="str">
        <f t="shared" si="0"/>
        <v>AUD GDP YOY</v>
      </c>
      <c r="J50" t="str">
        <f t="shared" si="0"/>
        <v>AUD Unemployment YOY</v>
      </c>
    </row>
    <row r="51" spans="1:10" x14ac:dyDescent="0.3">
      <c r="C51" t="s">
        <v>508</v>
      </c>
      <c r="F51" t="s">
        <v>528</v>
      </c>
      <c r="G51" t="str">
        <f t="shared" ref="G51:G62" si="1">$F51&amp;" "&amp;G$49&amp;" YOY"</f>
        <v>NZD CPI YOY</v>
      </c>
      <c r="H51" t="str">
        <f t="shared" si="0"/>
        <v>NZD PPI YOY</v>
      </c>
      <c r="I51" t="str">
        <f t="shared" si="0"/>
        <v>NZD GDP YOY</v>
      </c>
      <c r="J51" t="str">
        <f t="shared" si="0"/>
        <v>NZD Unemployment YOY</v>
      </c>
    </row>
    <row r="52" spans="1:10" x14ac:dyDescent="0.3">
      <c r="C52" t="s">
        <v>511</v>
      </c>
      <c r="F52" t="s">
        <v>529</v>
      </c>
      <c r="G52" t="str">
        <f t="shared" si="1"/>
        <v>KRW CPI YOY</v>
      </c>
      <c r="H52" t="str">
        <f t="shared" si="0"/>
        <v>KRW PPI YOY</v>
      </c>
      <c r="I52" t="str">
        <f t="shared" si="0"/>
        <v>KRW GDP YOY</v>
      </c>
      <c r="J52" t="str">
        <f t="shared" si="0"/>
        <v>KRW Unemployment YOY</v>
      </c>
    </row>
    <row r="53" spans="1:10" x14ac:dyDescent="0.3">
      <c r="C53" t="s">
        <v>512</v>
      </c>
      <c r="F53" t="s">
        <v>530</v>
      </c>
      <c r="G53" t="str">
        <f t="shared" si="1"/>
        <v>CAD CPI YOY</v>
      </c>
      <c r="H53" t="str">
        <f t="shared" si="0"/>
        <v>CAD PPI YOY</v>
      </c>
      <c r="I53" t="str">
        <f t="shared" si="0"/>
        <v>CAD GDP YOY</v>
      </c>
      <c r="J53" t="str">
        <f t="shared" si="0"/>
        <v>CAD Unemployment YOY</v>
      </c>
    </row>
    <row r="54" spans="1:10" x14ac:dyDescent="0.3">
      <c r="C54" t="s">
        <v>513</v>
      </c>
      <c r="F54" t="s">
        <v>531</v>
      </c>
      <c r="G54" t="str">
        <f t="shared" si="1"/>
        <v>NOK CPI YOY</v>
      </c>
      <c r="H54" t="str">
        <f t="shared" si="0"/>
        <v>NOK PPI YOY</v>
      </c>
      <c r="I54" t="str">
        <f t="shared" si="0"/>
        <v>NOK GDP YOY</v>
      </c>
      <c r="J54" t="str">
        <f t="shared" si="0"/>
        <v>NOK Unemployment YOY</v>
      </c>
    </row>
    <row r="55" spans="1:10" x14ac:dyDescent="0.3">
      <c r="C55" t="s">
        <v>514</v>
      </c>
      <c r="F55" t="s">
        <v>532</v>
      </c>
      <c r="G55" t="str">
        <f t="shared" si="1"/>
        <v>CHF CPI YOY</v>
      </c>
      <c r="H55" t="str">
        <f t="shared" si="0"/>
        <v>CHF PPI YOY</v>
      </c>
      <c r="I55" t="str">
        <f t="shared" si="0"/>
        <v>CHF GDP YOY</v>
      </c>
      <c r="J55" t="str">
        <f t="shared" si="0"/>
        <v>CHF Unemployment YOY</v>
      </c>
    </row>
    <row r="56" spans="1:10" x14ac:dyDescent="0.3">
      <c r="C56" t="s">
        <v>515</v>
      </c>
      <c r="F56" t="s">
        <v>533</v>
      </c>
      <c r="G56" t="str">
        <f t="shared" si="1"/>
        <v>INDIA CPI YOY</v>
      </c>
      <c r="H56" t="str">
        <f t="shared" si="0"/>
        <v>INDIA PPI YOY</v>
      </c>
      <c r="I56" t="str">
        <f t="shared" si="0"/>
        <v>INDIA GDP YOY</v>
      </c>
      <c r="J56" t="str">
        <f t="shared" si="0"/>
        <v>INDIA Unemployment YOY</v>
      </c>
    </row>
    <row r="57" spans="1:10" x14ac:dyDescent="0.3">
      <c r="C57" t="s">
        <v>516</v>
      </c>
      <c r="F57" t="s">
        <v>36</v>
      </c>
      <c r="G57" t="str">
        <f t="shared" si="1"/>
        <v>Indonesia CPI YOY</v>
      </c>
      <c r="H57" t="str">
        <f t="shared" si="0"/>
        <v>Indonesia PPI YOY</v>
      </c>
      <c r="I57" t="str">
        <f t="shared" si="0"/>
        <v>Indonesia GDP YOY</v>
      </c>
      <c r="J57" t="str">
        <f t="shared" si="0"/>
        <v>Indonesia Unemployment YOY</v>
      </c>
    </row>
    <row r="58" spans="1:10" x14ac:dyDescent="0.3">
      <c r="C58" t="s">
        <v>517</v>
      </c>
      <c r="F58" t="s">
        <v>534</v>
      </c>
      <c r="G58" t="str">
        <f t="shared" si="1"/>
        <v>Taiwan CPI YOY</v>
      </c>
      <c r="H58" t="str">
        <f t="shared" si="0"/>
        <v>Taiwan PPI YOY</v>
      </c>
      <c r="I58" t="str">
        <f t="shared" si="0"/>
        <v>Taiwan GDP YOY</v>
      </c>
      <c r="J58" t="str">
        <f t="shared" si="0"/>
        <v>Taiwan Unemployment YOY</v>
      </c>
    </row>
    <row r="59" spans="1:10" x14ac:dyDescent="0.3">
      <c r="A59" t="s">
        <v>519</v>
      </c>
      <c r="C59" t="s">
        <v>518</v>
      </c>
      <c r="F59" t="s">
        <v>535</v>
      </c>
      <c r="G59" t="str">
        <f t="shared" si="1"/>
        <v>PHP CPI YOY</v>
      </c>
      <c r="H59" t="str">
        <f t="shared" si="0"/>
        <v>PHP PPI YOY</v>
      </c>
      <c r="I59" t="str">
        <f t="shared" si="0"/>
        <v>PHP GDP YOY</v>
      </c>
      <c r="J59" t="str">
        <f t="shared" si="0"/>
        <v>PHP Unemployment YOY</v>
      </c>
    </row>
    <row r="60" spans="1:10" x14ac:dyDescent="0.3">
      <c r="C60" t="s">
        <v>520</v>
      </c>
      <c r="F60" t="s">
        <v>536</v>
      </c>
      <c r="G60" t="str">
        <f t="shared" si="1"/>
        <v>ZAR CPI YOY</v>
      </c>
      <c r="H60" t="str">
        <f t="shared" si="0"/>
        <v>ZAR PPI YOY</v>
      </c>
      <c r="I60" t="str">
        <f t="shared" si="0"/>
        <v>ZAR GDP YOY</v>
      </c>
      <c r="J60" t="str">
        <f t="shared" si="0"/>
        <v>ZAR Unemployment YOY</v>
      </c>
    </row>
    <row r="61" spans="1:10" x14ac:dyDescent="0.3">
      <c r="C61" t="s">
        <v>521</v>
      </c>
      <c r="F61" t="s">
        <v>537</v>
      </c>
      <c r="G61" t="str">
        <f t="shared" si="1"/>
        <v>TRY CPI YOY</v>
      </c>
      <c r="H61" t="str">
        <f t="shared" si="0"/>
        <v>TRY PPI YOY</v>
      </c>
      <c r="I61" t="str">
        <f t="shared" si="0"/>
        <v>TRY GDP YOY</v>
      </c>
      <c r="J61" t="str">
        <f t="shared" si="0"/>
        <v>TRY Unemployment YOY</v>
      </c>
    </row>
    <row r="62" spans="1:10" x14ac:dyDescent="0.3">
      <c r="C62" t="s">
        <v>522</v>
      </c>
      <c r="F62" t="s">
        <v>538</v>
      </c>
      <c r="G62" t="str">
        <f t="shared" si="1"/>
        <v>Thailand CPI YOY</v>
      </c>
      <c r="H62" t="str">
        <f t="shared" si="0"/>
        <v>Thailand PPI YOY</v>
      </c>
      <c r="I62" t="str">
        <f t="shared" si="0"/>
        <v>Thailand GDP YOY</v>
      </c>
      <c r="J62" t="str">
        <f t="shared" si="0"/>
        <v>Thailand Unemployment YOY</v>
      </c>
    </row>
    <row r="63" spans="1:10" x14ac:dyDescent="0.3">
      <c r="C63" t="s">
        <v>523</v>
      </c>
    </row>
    <row r="64" spans="1:10" x14ac:dyDescent="0.3">
      <c r="C64" t="s">
        <v>524</v>
      </c>
    </row>
    <row r="65" spans="3:3" x14ac:dyDescent="0.3">
      <c r="C65" t="s">
        <v>525</v>
      </c>
    </row>
    <row r="66" spans="3:3" x14ac:dyDescent="0.3">
      <c r="C66" t="s">
        <v>543</v>
      </c>
    </row>
    <row r="67" spans="3:3" x14ac:dyDescent="0.3">
      <c r="C67" t="s">
        <v>544</v>
      </c>
    </row>
    <row r="68" spans="3:3" x14ac:dyDescent="0.3">
      <c r="C68" t="s">
        <v>545</v>
      </c>
    </row>
    <row r="69" spans="3:3" x14ac:dyDescent="0.3">
      <c r="C69" t="s">
        <v>546</v>
      </c>
    </row>
    <row r="70" spans="3:3" x14ac:dyDescent="0.3">
      <c r="C70" t="s">
        <v>547</v>
      </c>
    </row>
    <row r="71" spans="3:3" x14ac:dyDescent="0.3">
      <c r="C71" t="s">
        <v>548</v>
      </c>
    </row>
    <row r="72" spans="3:3" x14ac:dyDescent="0.3">
      <c r="C72" t="s">
        <v>549</v>
      </c>
    </row>
    <row r="73" spans="3:3" x14ac:dyDescent="0.3">
      <c r="C73" t="s">
        <v>550</v>
      </c>
    </row>
    <row r="74" spans="3:3" x14ac:dyDescent="0.3">
      <c r="C74" t="s">
        <v>551</v>
      </c>
    </row>
    <row r="75" spans="3:3" x14ac:dyDescent="0.3">
      <c r="C75" t="s">
        <v>552</v>
      </c>
    </row>
    <row r="76" spans="3:3" x14ac:dyDescent="0.3">
      <c r="C76" t="s">
        <v>553</v>
      </c>
    </row>
    <row r="77" spans="3:3" x14ac:dyDescent="0.3">
      <c r="C77" t="s">
        <v>554</v>
      </c>
    </row>
    <row r="78" spans="3:3" x14ac:dyDescent="0.3">
      <c r="C78" t="s">
        <v>555</v>
      </c>
    </row>
    <row r="79" spans="3:3" x14ac:dyDescent="0.3">
      <c r="C79" t="s">
        <v>556</v>
      </c>
    </row>
    <row r="80" spans="3:3" x14ac:dyDescent="0.3">
      <c r="C80" t="s">
        <v>557</v>
      </c>
    </row>
    <row r="81" spans="3:3" x14ac:dyDescent="0.3">
      <c r="C81" t="s">
        <v>558</v>
      </c>
    </row>
    <row r="82" spans="3:3" x14ac:dyDescent="0.3">
      <c r="C82" t="s">
        <v>559</v>
      </c>
    </row>
    <row r="83" spans="3:3" x14ac:dyDescent="0.3">
      <c r="C83" t="s">
        <v>560</v>
      </c>
    </row>
    <row r="84" spans="3:3" x14ac:dyDescent="0.3">
      <c r="C84" t="s">
        <v>561</v>
      </c>
    </row>
    <row r="85" spans="3:3" x14ac:dyDescent="0.3">
      <c r="C85" t="s">
        <v>562</v>
      </c>
    </row>
    <row r="86" spans="3:3" x14ac:dyDescent="0.3">
      <c r="C86" t="s">
        <v>563</v>
      </c>
    </row>
    <row r="87" spans="3:3" x14ac:dyDescent="0.3">
      <c r="C87" t="s">
        <v>564</v>
      </c>
    </row>
    <row r="88" spans="3:3" x14ac:dyDescent="0.3">
      <c r="C88" t="s">
        <v>565</v>
      </c>
    </row>
    <row r="89" spans="3:3" x14ac:dyDescent="0.3">
      <c r="C89" t="s">
        <v>566</v>
      </c>
    </row>
    <row r="90" spans="3:3" x14ac:dyDescent="0.3">
      <c r="C90" t="s">
        <v>567</v>
      </c>
    </row>
    <row r="91" spans="3:3" x14ac:dyDescent="0.3">
      <c r="C91" t="s">
        <v>568</v>
      </c>
    </row>
    <row r="92" spans="3:3" x14ac:dyDescent="0.3">
      <c r="C92" t="s">
        <v>569</v>
      </c>
    </row>
    <row r="93" spans="3:3" x14ac:dyDescent="0.3">
      <c r="C93" t="s">
        <v>570</v>
      </c>
    </row>
    <row r="94" spans="3:3" x14ac:dyDescent="0.3">
      <c r="C94" t="s">
        <v>571</v>
      </c>
    </row>
    <row r="95" spans="3:3" x14ac:dyDescent="0.3">
      <c r="C95" t="s">
        <v>572</v>
      </c>
    </row>
    <row r="96" spans="3:3" x14ac:dyDescent="0.3">
      <c r="C96" t="s">
        <v>573</v>
      </c>
    </row>
    <row r="97" spans="3:3" x14ac:dyDescent="0.3">
      <c r="C97" t="s">
        <v>574</v>
      </c>
    </row>
    <row r="98" spans="3:3" x14ac:dyDescent="0.3">
      <c r="C98" t="s">
        <v>575</v>
      </c>
    </row>
    <row r="99" spans="3:3" x14ac:dyDescent="0.3">
      <c r="C99" t="s">
        <v>576</v>
      </c>
    </row>
    <row r="100" spans="3:3" x14ac:dyDescent="0.3">
      <c r="C100" t="s">
        <v>577</v>
      </c>
    </row>
    <row r="101" spans="3:3" x14ac:dyDescent="0.3">
      <c r="C101" t="s">
        <v>578</v>
      </c>
    </row>
    <row r="102" spans="3:3" x14ac:dyDescent="0.3">
      <c r="C102" t="s">
        <v>579</v>
      </c>
    </row>
    <row r="103" spans="3:3" x14ac:dyDescent="0.3">
      <c r="C103" t="s">
        <v>580</v>
      </c>
    </row>
    <row r="104" spans="3:3" x14ac:dyDescent="0.3">
      <c r="C104" t="s">
        <v>581</v>
      </c>
    </row>
    <row r="105" spans="3:3" x14ac:dyDescent="0.3">
      <c r="C105" t="s">
        <v>582</v>
      </c>
    </row>
    <row r="106" spans="3:3" x14ac:dyDescent="0.3">
      <c r="C106" t="s">
        <v>583</v>
      </c>
    </row>
    <row r="107" spans="3:3" x14ac:dyDescent="0.3">
      <c r="C107" t="s">
        <v>584</v>
      </c>
    </row>
    <row r="108" spans="3:3" x14ac:dyDescent="0.3">
      <c r="C108" t="s">
        <v>585</v>
      </c>
    </row>
    <row r="109" spans="3:3" x14ac:dyDescent="0.3">
      <c r="C109" t="s">
        <v>586</v>
      </c>
    </row>
    <row r="110" spans="3:3" x14ac:dyDescent="0.3">
      <c r="C110" t="s">
        <v>587</v>
      </c>
    </row>
    <row r="111" spans="3:3" x14ac:dyDescent="0.3">
      <c r="C111" t="s">
        <v>588</v>
      </c>
    </row>
    <row r="112" spans="3:3" x14ac:dyDescent="0.3">
      <c r="C112" t="s">
        <v>589</v>
      </c>
    </row>
    <row r="113" spans="3:3" x14ac:dyDescent="0.3">
      <c r="C113" t="s">
        <v>590</v>
      </c>
    </row>
    <row r="114" spans="3:3" x14ac:dyDescent="0.3">
      <c r="C114" t="s">
        <v>591</v>
      </c>
    </row>
    <row r="115" spans="3:3" x14ac:dyDescent="0.3">
      <c r="C115" t="s">
        <v>592</v>
      </c>
    </row>
    <row r="116" spans="3:3" x14ac:dyDescent="0.3">
      <c r="C116" t="s">
        <v>593</v>
      </c>
    </row>
    <row r="117" spans="3:3" x14ac:dyDescent="0.3">
      <c r="C117" t="s">
        <v>594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0EF9-E714-4F8F-8B8B-C857AA2BD00D}">
  <dimension ref="A1:E97"/>
  <sheetViews>
    <sheetView workbookViewId="0">
      <selection activeCell="E10" sqref="E10"/>
    </sheetView>
  </sheetViews>
  <sheetFormatPr defaultRowHeight="14" x14ac:dyDescent="0.3"/>
  <cols>
    <col min="1" max="1" width="15.08203125" bestFit="1" customWidth="1"/>
    <col min="3" max="3" width="25.33203125" bestFit="1" customWidth="1"/>
    <col min="4" max="4" width="9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A2" t="s">
        <v>780</v>
      </c>
      <c r="C2" t="s">
        <v>623</v>
      </c>
      <c r="D2" t="s">
        <v>622</v>
      </c>
      <c r="E2" t="s">
        <v>621</v>
      </c>
    </row>
    <row r="3" spans="1:5" x14ac:dyDescent="0.3">
      <c r="A3" t="s">
        <v>781</v>
      </c>
      <c r="C3" t="s">
        <v>625</v>
      </c>
      <c r="D3" t="s">
        <v>624</v>
      </c>
    </row>
    <row r="4" spans="1:5" x14ac:dyDescent="0.3">
      <c r="A4" t="s">
        <v>782</v>
      </c>
      <c r="C4" t="s">
        <v>627</v>
      </c>
      <c r="D4" t="s">
        <v>626</v>
      </c>
    </row>
    <row r="5" spans="1:5" x14ac:dyDescent="0.3">
      <c r="A5" t="s">
        <v>812</v>
      </c>
      <c r="C5" t="s">
        <v>628</v>
      </c>
      <c r="D5" t="s">
        <v>783</v>
      </c>
    </row>
    <row r="6" spans="1:5" x14ac:dyDescent="0.3">
      <c r="A6" t="s">
        <v>813</v>
      </c>
      <c r="C6" t="s">
        <v>629</v>
      </c>
      <c r="D6" t="s">
        <v>784</v>
      </c>
    </row>
    <row r="7" spans="1:5" x14ac:dyDescent="0.3">
      <c r="A7" t="s">
        <v>814</v>
      </c>
      <c r="C7" t="s">
        <v>634</v>
      </c>
      <c r="D7" t="s">
        <v>785</v>
      </c>
    </row>
    <row r="8" spans="1:5" x14ac:dyDescent="0.3">
      <c r="A8" t="s">
        <v>815</v>
      </c>
      <c r="C8" t="s">
        <v>635</v>
      </c>
      <c r="D8" t="s">
        <v>786</v>
      </c>
    </row>
    <row r="9" spans="1:5" x14ac:dyDescent="0.3">
      <c r="A9" t="s">
        <v>817</v>
      </c>
      <c r="C9" t="s">
        <v>816</v>
      </c>
      <c r="D9" t="s">
        <v>787</v>
      </c>
    </row>
    <row r="10" spans="1:5" x14ac:dyDescent="0.3">
      <c r="A10" t="s">
        <v>818</v>
      </c>
      <c r="C10" t="s">
        <v>631</v>
      </c>
      <c r="D10" t="s">
        <v>630</v>
      </c>
    </row>
    <row r="11" spans="1:5" x14ac:dyDescent="0.3">
      <c r="A11" t="s">
        <v>642</v>
      </c>
      <c r="C11" t="s">
        <v>819</v>
      </c>
      <c r="D11" t="s">
        <v>788</v>
      </c>
    </row>
    <row r="12" spans="1:5" x14ac:dyDescent="0.3">
      <c r="A12" t="s">
        <v>820</v>
      </c>
      <c r="C12" t="s">
        <v>633</v>
      </c>
      <c r="D12" t="s">
        <v>632</v>
      </c>
    </row>
    <row r="13" spans="1:5" x14ac:dyDescent="0.3">
      <c r="A13" t="s">
        <v>821</v>
      </c>
      <c r="C13" t="s">
        <v>637</v>
      </c>
      <c r="D13" t="s">
        <v>636</v>
      </c>
    </row>
    <row r="14" spans="1:5" x14ac:dyDescent="0.3">
      <c r="A14" t="s">
        <v>835</v>
      </c>
      <c r="C14" t="s">
        <v>638</v>
      </c>
      <c r="D14" t="s">
        <v>789</v>
      </c>
    </row>
    <row r="15" spans="1:5" x14ac:dyDescent="0.3">
      <c r="A15" t="s">
        <v>836</v>
      </c>
      <c r="C15" t="s">
        <v>680</v>
      </c>
      <c r="D15" t="s">
        <v>790</v>
      </c>
    </row>
    <row r="16" spans="1:5" x14ac:dyDescent="0.3">
      <c r="A16" t="s">
        <v>837</v>
      </c>
      <c r="C16" t="s">
        <v>639</v>
      </c>
      <c r="D16" t="s">
        <v>791</v>
      </c>
    </row>
    <row r="17" spans="1:4" x14ac:dyDescent="0.3">
      <c r="A17" t="s">
        <v>822</v>
      </c>
      <c r="C17" t="s">
        <v>641</v>
      </c>
      <c r="D17" t="s">
        <v>640</v>
      </c>
    </row>
    <row r="18" spans="1:4" x14ac:dyDescent="0.3">
      <c r="A18" t="s">
        <v>838</v>
      </c>
      <c r="C18" t="s">
        <v>644</v>
      </c>
      <c r="D18" t="s">
        <v>643</v>
      </c>
    </row>
    <row r="19" spans="1:4" x14ac:dyDescent="0.3">
      <c r="A19" t="s">
        <v>839</v>
      </c>
      <c r="C19" t="s">
        <v>646</v>
      </c>
      <c r="D19" t="s">
        <v>645</v>
      </c>
    </row>
    <row r="20" spans="1:4" x14ac:dyDescent="0.3">
      <c r="A20" t="s">
        <v>840</v>
      </c>
      <c r="C20" t="s">
        <v>648</v>
      </c>
      <c r="D20" t="s">
        <v>647</v>
      </c>
    </row>
    <row r="21" spans="1:4" x14ac:dyDescent="0.3">
      <c r="A21" t="s">
        <v>651</v>
      </c>
      <c r="C21" t="s">
        <v>650</v>
      </c>
      <c r="D21" t="s">
        <v>649</v>
      </c>
    </row>
    <row r="22" spans="1:4" x14ac:dyDescent="0.3">
      <c r="A22" t="s">
        <v>652</v>
      </c>
      <c r="C22" t="s">
        <v>654</v>
      </c>
      <c r="D22" t="s">
        <v>653</v>
      </c>
    </row>
    <row r="23" spans="1:4" x14ac:dyDescent="0.3">
      <c r="A23" t="s">
        <v>841</v>
      </c>
      <c r="C23" t="s">
        <v>655</v>
      </c>
      <c r="D23" t="s">
        <v>792</v>
      </c>
    </row>
    <row r="24" spans="1:4" x14ac:dyDescent="0.3">
      <c r="A24" t="s">
        <v>823</v>
      </c>
      <c r="C24" t="s">
        <v>656</v>
      </c>
      <c r="D24" t="s">
        <v>793</v>
      </c>
    </row>
    <row r="25" spans="1:4" x14ac:dyDescent="0.3">
      <c r="A25" t="s">
        <v>824</v>
      </c>
      <c r="C25" t="s">
        <v>657</v>
      </c>
      <c r="D25" t="s">
        <v>794</v>
      </c>
    </row>
    <row r="26" spans="1:4" x14ac:dyDescent="0.3">
      <c r="C26" t="s">
        <v>658</v>
      </c>
      <c r="D26" t="s">
        <v>795</v>
      </c>
    </row>
    <row r="27" spans="1:4" x14ac:dyDescent="0.3">
      <c r="A27" t="s">
        <v>825</v>
      </c>
      <c r="C27" t="s">
        <v>659</v>
      </c>
      <c r="D27" t="s">
        <v>796</v>
      </c>
    </row>
    <row r="28" spans="1:4" x14ac:dyDescent="0.3">
      <c r="A28" t="s">
        <v>661</v>
      </c>
      <c r="C28" t="s">
        <v>660</v>
      </c>
      <c r="D28" t="s">
        <v>797</v>
      </c>
    </row>
    <row r="29" spans="1:4" x14ac:dyDescent="0.3">
      <c r="A29" t="s">
        <v>826</v>
      </c>
      <c r="C29" t="s">
        <v>662</v>
      </c>
      <c r="D29" t="s">
        <v>798</v>
      </c>
    </row>
    <row r="30" spans="1:4" x14ac:dyDescent="0.3">
      <c r="A30" t="s">
        <v>668</v>
      </c>
      <c r="C30" t="s">
        <v>667</v>
      </c>
      <c r="D30" t="s">
        <v>799</v>
      </c>
    </row>
    <row r="31" spans="1:4" x14ac:dyDescent="0.3">
      <c r="A31" t="s">
        <v>669</v>
      </c>
      <c r="C31" t="s">
        <v>670</v>
      </c>
      <c r="D31" t="s">
        <v>800</v>
      </c>
    </row>
    <row r="32" spans="1:4" x14ac:dyDescent="0.3">
      <c r="A32" t="s">
        <v>671</v>
      </c>
      <c r="C32" t="s">
        <v>672</v>
      </c>
      <c r="D32" t="s">
        <v>801</v>
      </c>
    </row>
    <row r="33" spans="1:4" x14ac:dyDescent="0.3">
      <c r="A33" t="s">
        <v>676</v>
      </c>
      <c r="C33" t="s">
        <v>675</v>
      </c>
      <c r="D33" t="s">
        <v>802</v>
      </c>
    </row>
    <row r="34" spans="1:4" x14ac:dyDescent="0.3">
      <c r="A34" t="s">
        <v>678</v>
      </c>
      <c r="C34" t="s">
        <v>677</v>
      </c>
      <c r="D34" t="s">
        <v>803</v>
      </c>
    </row>
    <row r="35" spans="1:4" x14ac:dyDescent="0.3">
      <c r="A35" t="s">
        <v>674</v>
      </c>
      <c r="C35" t="s">
        <v>673</v>
      </c>
      <c r="D35" t="s">
        <v>804</v>
      </c>
    </row>
    <row r="36" spans="1:4" x14ac:dyDescent="0.3">
      <c r="A36" t="s">
        <v>842</v>
      </c>
      <c r="C36" t="s">
        <v>663</v>
      </c>
      <c r="D36" t="s">
        <v>805</v>
      </c>
    </row>
    <row r="37" spans="1:4" x14ac:dyDescent="0.3">
      <c r="A37" t="s">
        <v>666</v>
      </c>
      <c r="C37" t="s">
        <v>665</v>
      </c>
      <c r="D37" t="s">
        <v>664</v>
      </c>
    </row>
    <row r="38" spans="1:4" x14ac:dyDescent="0.3">
      <c r="A38" t="s">
        <v>843</v>
      </c>
      <c r="C38" t="s">
        <v>681</v>
      </c>
      <c r="D38" t="s">
        <v>806</v>
      </c>
    </row>
    <row r="39" spans="1:4" x14ac:dyDescent="0.3">
      <c r="A39" t="s">
        <v>844</v>
      </c>
      <c r="C39" t="s">
        <v>682</v>
      </c>
      <c r="D39" t="s">
        <v>807</v>
      </c>
    </row>
    <row r="40" spans="1:4" x14ac:dyDescent="0.3">
      <c r="A40" t="s">
        <v>845</v>
      </c>
      <c r="C40" t="s">
        <v>684</v>
      </c>
      <c r="D40" t="s">
        <v>683</v>
      </c>
    </row>
    <row r="41" spans="1:4" x14ac:dyDescent="0.3">
      <c r="A41" t="s">
        <v>827</v>
      </c>
      <c r="C41" t="s">
        <v>688</v>
      </c>
      <c r="D41" t="s">
        <v>687</v>
      </c>
    </row>
    <row r="42" spans="1:4" x14ac:dyDescent="0.3">
      <c r="A42" t="s">
        <v>850</v>
      </c>
      <c r="C42" t="s">
        <v>851</v>
      </c>
    </row>
    <row r="43" spans="1:4" x14ac:dyDescent="0.3">
      <c r="A43" t="s">
        <v>853</v>
      </c>
      <c r="C43" t="s">
        <v>852</v>
      </c>
    </row>
    <row r="44" spans="1:4" x14ac:dyDescent="0.3">
      <c r="A44" t="s">
        <v>689</v>
      </c>
      <c r="C44" t="s">
        <v>849</v>
      </c>
      <c r="D44" t="s">
        <v>808</v>
      </c>
    </row>
    <row r="45" spans="1:4" x14ac:dyDescent="0.3">
      <c r="A45" t="s">
        <v>847</v>
      </c>
      <c r="C45" t="s">
        <v>848</v>
      </c>
    </row>
    <row r="46" spans="1:4" x14ac:dyDescent="0.3">
      <c r="A46" t="s">
        <v>846</v>
      </c>
      <c r="C46" t="s">
        <v>685</v>
      </c>
      <c r="D46" t="s">
        <v>809</v>
      </c>
    </row>
    <row r="47" spans="1:4" x14ac:dyDescent="0.3">
      <c r="A47" t="s">
        <v>855</v>
      </c>
      <c r="C47" t="s">
        <v>854</v>
      </c>
      <c r="D47" t="s">
        <v>686</v>
      </c>
    </row>
    <row r="48" spans="1:4" x14ac:dyDescent="0.3">
      <c r="A48" t="s">
        <v>856</v>
      </c>
      <c r="C48" t="s">
        <v>691</v>
      </c>
      <c r="D48" t="s">
        <v>810</v>
      </c>
    </row>
    <row r="49" spans="1:4" x14ac:dyDescent="0.3">
      <c r="A49" t="s">
        <v>857</v>
      </c>
      <c r="C49" t="s">
        <v>858</v>
      </c>
      <c r="D49" t="s">
        <v>811</v>
      </c>
    </row>
    <row r="50" spans="1:4" x14ac:dyDescent="0.3">
      <c r="A50" t="s">
        <v>828</v>
      </c>
      <c r="C50" t="s">
        <v>690</v>
      </c>
    </row>
    <row r="51" spans="1:4" x14ac:dyDescent="0.3">
      <c r="A51" t="s">
        <v>829</v>
      </c>
      <c r="C51" t="s">
        <v>692</v>
      </c>
    </row>
    <row r="52" spans="1:4" x14ac:dyDescent="0.3">
      <c r="A52" t="s">
        <v>830</v>
      </c>
      <c r="C52" t="s">
        <v>693</v>
      </c>
    </row>
    <row r="53" spans="1:4" x14ac:dyDescent="0.3">
      <c r="A53" t="s">
        <v>831</v>
      </c>
      <c r="C53" t="s">
        <v>694</v>
      </c>
    </row>
    <row r="54" spans="1:4" x14ac:dyDescent="0.3">
      <c r="A54" t="s">
        <v>832</v>
      </c>
      <c r="C54" t="s">
        <v>695</v>
      </c>
    </row>
    <row r="55" spans="1:4" x14ac:dyDescent="0.3">
      <c r="A55" t="s">
        <v>833</v>
      </c>
      <c r="C55" t="s">
        <v>696</v>
      </c>
    </row>
    <row r="56" spans="1:4" x14ac:dyDescent="0.3">
      <c r="A56" t="s">
        <v>698</v>
      </c>
      <c r="C56" t="s">
        <v>697</v>
      </c>
    </row>
    <row r="57" spans="1:4" x14ac:dyDescent="0.3">
      <c r="A57" t="s">
        <v>834</v>
      </c>
      <c r="C57" t="s">
        <v>699</v>
      </c>
    </row>
    <row r="58" spans="1:4" x14ac:dyDescent="0.3">
      <c r="A58" t="s">
        <v>700</v>
      </c>
      <c r="C58" t="s">
        <v>779</v>
      </c>
    </row>
    <row r="59" spans="1:4" x14ac:dyDescent="0.3">
      <c r="A59" t="s">
        <v>701</v>
      </c>
      <c r="C59" t="s">
        <v>702</v>
      </c>
    </row>
    <row r="60" spans="1:4" x14ac:dyDescent="0.3">
      <c r="A60" t="s">
        <v>706</v>
      </c>
      <c r="C60" t="s">
        <v>703</v>
      </c>
    </row>
    <row r="61" spans="1:4" x14ac:dyDescent="0.3">
      <c r="A61" t="s">
        <v>707</v>
      </c>
      <c r="C61" t="s">
        <v>704</v>
      </c>
    </row>
    <row r="62" spans="1:4" x14ac:dyDescent="0.3">
      <c r="A62" t="s">
        <v>709</v>
      </c>
      <c r="C62" t="s">
        <v>708</v>
      </c>
    </row>
    <row r="63" spans="1:4" x14ac:dyDescent="0.3">
      <c r="A63" t="s">
        <v>711</v>
      </c>
      <c r="C63" t="s">
        <v>710</v>
      </c>
    </row>
    <row r="64" spans="1:4" x14ac:dyDescent="0.3">
      <c r="A64" t="s">
        <v>712</v>
      </c>
      <c r="C64" t="s">
        <v>713</v>
      </c>
    </row>
    <row r="65" spans="1:3" x14ac:dyDescent="0.3">
      <c r="A65" t="s">
        <v>714</v>
      </c>
      <c r="C65" t="s">
        <v>705</v>
      </c>
    </row>
    <row r="66" spans="1:3" x14ac:dyDescent="0.3">
      <c r="A66" t="s">
        <v>716</v>
      </c>
      <c r="C66" t="s">
        <v>715</v>
      </c>
    </row>
    <row r="67" spans="1:3" x14ac:dyDescent="0.3">
      <c r="A67" t="s">
        <v>717</v>
      </c>
      <c r="C67" t="s">
        <v>718</v>
      </c>
    </row>
    <row r="68" spans="1:3" x14ac:dyDescent="0.3">
      <c r="A68" t="s">
        <v>722</v>
      </c>
      <c r="C68" t="s">
        <v>719</v>
      </c>
    </row>
    <row r="69" spans="1:3" x14ac:dyDescent="0.3">
      <c r="A69" t="s">
        <v>721</v>
      </c>
      <c r="C69" t="s">
        <v>720</v>
      </c>
    </row>
    <row r="70" spans="1:3" x14ac:dyDescent="0.3">
      <c r="A70" t="s">
        <v>724</v>
      </c>
      <c r="C70" t="s">
        <v>723</v>
      </c>
    </row>
    <row r="71" spans="1:3" x14ac:dyDescent="0.3">
      <c r="A71" t="s">
        <v>726</v>
      </c>
      <c r="C71" t="s">
        <v>725</v>
      </c>
    </row>
    <row r="72" spans="1:3" x14ac:dyDescent="0.3">
      <c r="A72" t="s">
        <v>727</v>
      </c>
      <c r="C72" t="s">
        <v>728</v>
      </c>
    </row>
    <row r="73" spans="1:3" x14ac:dyDescent="0.3">
      <c r="A73" t="s">
        <v>732</v>
      </c>
      <c r="C73" t="s">
        <v>729</v>
      </c>
    </row>
    <row r="74" spans="1:3" x14ac:dyDescent="0.3">
      <c r="A74" t="s">
        <v>731</v>
      </c>
      <c r="C74" t="s">
        <v>730</v>
      </c>
    </row>
    <row r="75" spans="1:3" x14ac:dyDescent="0.3">
      <c r="A75" t="s">
        <v>738</v>
      </c>
      <c r="C75" t="s">
        <v>733</v>
      </c>
    </row>
    <row r="76" spans="1:3" x14ac:dyDescent="0.3">
      <c r="A76" t="s">
        <v>737</v>
      </c>
      <c r="C76" t="s">
        <v>736</v>
      </c>
    </row>
    <row r="77" spans="1:3" x14ac:dyDescent="0.3">
      <c r="A77" t="s">
        <v>735</v>
      </c>
      <c r="C77" t="s">
        <v>734</v>
      </c>
    </row>
    <row r="78" spans="1:3" x14ac:dyDescent="0.3">
      <c r="A78" t="s">
        <v>744</v>
      </c>
      <c r="C78" t="s">
        <v>739</v>
      </c>
    </row>
    <row r="79" spans="1:3" x14ac:dyDescent="0.3">
      <c r="A79" t="s">
        <v>742</v>
      </c>
      <c r="C79" t="s">
        <v>740</v>
      </c>
    </row>
    <row r="80" spans="1:3" x14ac:dyDescent="0.3">
      <c r="A80" t="s">
        <v>743</v>
      </c>
      <c r="C80" t="s">
        <v>741</v>
      </c>
    </row>
    <row r="81" spans="1:3" x14ac:dyDescent="0.3">
      <c r="A81" t="s">
        <v>745</v>
      </c>
      <c r="C81" t="s">
        <v>746</v>
      </c>
    </row>
    <row r="82" spans="1:3" x14ac:dyDescent="0.3">
      <c r="A82" t="s">
        <v>747</v>
      </c>
      <c r="C82" t="s">
        <v>748</v>
      </c>
    </row>
    <row r="83" spans="1:3" x14ac:dyDescent="0.3">
      <c r="A83" t="s">
        <v>750</v>
      </c>
      <c r="C83" t="s">
        <v>752</v>
      </c>
    </row>
    <row r="84" spans="1:3" x14ac:dyDescent="0.3">
      <c r="A84" t="s">
        <v>751</v>
      </c>
      <c r="C84" t="s">
        <v>749</v>
      </c>
    </row>
    <row r="85" spans="1:3" x14ac:dyDescent="0.3">
      <c r="A85" t="s">
        <v>753</v>
      </c>
      <c r="C85" t="s">
        <v>754</v>
      </c>
    </row>
    <row r="86" spans="1:3" x14ac:dyDescent="0.3">
      <c r="A86" t="s">
        <v>758</v>
      </c>
      <c r="C86" t="s">
        <v>755</v>
      </c>
    </row>
    <row r="87" spans="1:3" x14ac:dyDescent="0.3">
      <c r="A87" t="s">
        <v>757</v>
      </c>
      <c r="C87" t="s">
        <v>756</v>
      </c>
    </row>
    <row r="88" spans="1:3" x14ac:dyDescent="0.3">
      <c r="A88" t="s">
        <v>762</v>
      </c>
      <c r="C88" t="s">
        <v>759</v>
      </c>
    </row>
    <row r="89" spans="1:3" x14ac:dyDescent="0.3">
      <c r="A89" t="s">
        <v>763</v>
      </c>
      <c r="C89" t="s">
        <v>760</v>
      </c>
    </row>
    <row r="90" spans="1:3" x14ac:dyDescent="0.3">
      <c r="A90" t="s">
        <v>764</v>
      </c>
      <c r="C90" t="s">
        <v>761</v>
      </c>
    </row>
    <row r="91" spans="1:3" x14ac:dyDescent="0.3">
      <c r="A91" t="s">
        <v>768</v>
      </c>
      <c r="C91" t="s">
        <v>765</v>
      </c>
    </row>
    <row r="92" spans="1:3" x14ac:dyDescent="0.3">
      <c r="A92" t="s">
        <v>770</v>
      </c>
      <c r="C92" t="s">
        <v>769</v>
      </c>
    </row>
    <row r="93" spans="1:3" x14ac:dyDescent="0.3">
      <c r="A93" t="s">
        <v>771</v>
      </c>
      <c r="C93" t="s">
        <v>766</v>
      </c>
    </row>
    <row r="94" spans="1:3" x14ac:dyDescent="0.3">
      <c r="A94" t="s">
        <v>773</v>
      </c>
      <c r="C94" t="s">
        <v>772</v>
      </c>
    </row>
    <row r="95" spans="1:3" x14ac:dyDescent="0.3">
      <c r="A95" t="s">
        <v>778</v>
      </c>
      <c r="C95" t="s">
        <v>777</v>
      </c>
    </row>
    <row r="96" spans="1:3" x14ac:dyDescent="0.3">
      <c r="A96" t="s">
        <v>774</v>
      </c>
      <c r="C96" t="s">
        <v>767</v>
      </c>
    </row>
    <row r="97" spans="1:3" x14ac:dyDescent="0.3">
      <c r="A97" t="s">
        <v>775</v>
      </c>
      <c r="C97" t="s">
        <v>776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EBDE-5E32-4A36-8EC5-5BD0C6A8FC81}">
  <dimension ref="A1:E69"/>
  <sheetViews>
    <sheetView workbookViewId="0">
      <selection activeCell="C59" sqref="C59"/>
    </sheetView>
  </sheetViews>
  <sheetFormatPr defaultRowHeight="14" x14ac:dyDescent="0.3"/>
  <cols>
    <col min="3" max="3" width="29.5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s="2" t="s">
        <v>50</v>
      </c>
      <c r="D2" t="s">
        <v>14</v>
      </c>
    </row>
    <row r="3" spans="1:5" x14ac:dyDescent="0.3">
      <c r="C3" s="2" t="s">
        <v>51</v>
      </c>
      <c r="D3" t="s">
        <v>14</v>
      </c>
    </row>
    <row r="4" spans="1:5" x14ac:dyDescent="0.3">
      <c r="C4" s="2" t="s">
        <v>52</v>
      </c>
      <c r="D4" t="s">
        <v>14</v>
      </c>
    </row>
    <row r="5" spans="1:5" x14ac:dyDescent="0.3">
      <c r="C5" s="2" t="s">
        <v>53</v>
      </c>
      <c r="D5" t="s">
        <v>14</v>
      </c>
    </row>
    <row r="6" spans="1:5" x14ac:dyDescent="0.3">
      <c r="C6" s="2" t="s">
        <v>54</v>
      </c>
      <c r="D6" t="s">
        <v>14</v>
      </c>
    </row>
    <row r="7" spans="1:5" x14ac:dyDescent="0.3">
      <c r="C7" s="2" t="s">
        <v>55</v>
      </c>
      <c r="D7" t="s">
        <v>14</v>
      </c>
    </row>
    <row r="8" spans="1:5" x14ac:dyDescent="0.3">
      <c r="C8" s="2" t="s">
        <v>56</v>
      </c>
      <c r="D8" t="s">
        <v>14</v>
      </c>
    </row>
    <row r="9" spans="1:5" x14ac:dyDescent="0.3">
      <c r="C9" s="2" t="s">
        <v>57</v>
      </c>
      <c r="D9" t="s">
        <v>14</v>
      </c>
    </row>
    <row r="10" spans="1:5" x14ac:dyDescent="0.3">
      <c r="C10" s="2" t="s">
        <v>58</v>
      </c>
      <c r="D10" t="s">
        <v>14</v>
      </c>
    </row>
    <row r="11" spans="1:5" x14ac:dyDescent="0.3">
      <c r="C11" s="2" t="s">
        <v>59</v>
      </c>
      <c r="D11" t="s">
        <v>14</v>
      </c>
    </row>
    <row r="12" spans="1:5" x14ac:dyDescent="0.3">
      <c r="C12" s="2" t="s">
        <v>60</v>
      </c>
      <c r="D12" t="s">
        <v>14</v>
      </c>
    </row>
    <row r="13" spans="1:5" x14ac:dyDescent="0.3">
      <c r="C13" s="2" t="s">
        <v>61</v>
      </c>
      <c r="D13" t="s">
        <v>14</v>
      </c>
    </row>
    <row r="14" spans="1:5" x14ac:dyDescent="0.3">
      <c r="C14" s="2" t="s">
        <v>62</v>
      </c>
      <c r="D14" t="s">
        <v>14</v>
      </c>
    </row>
    <row r="15" spans="1:5" x14ac:dyDescent="0.3">
      <c r="C15" s="2" t="s">
        <v>63</v>
      </c>
      <c r="D15" t="s">
        <v>14</v>
      </c>
    </row>
    <row r="16" spans="1:5" x14ac:dyDescent="0.3">
      <c r="C16" s="2" t="s">
        <v>64</v>
      </c>
      <c r="D16" t="s">
        <v>14</v>
      </c>
    </row>
    <row r="17" spans="3:4" x14ac:dyDescent="0.3">
      <c r="C17" s="2" t="s">
        <v>65</v>
      </c>
      <c r="D17" t="s">
        <v>14</v>
      </c>
    </row>
    <row r="18" spans="3:4" x14ac:dyDescent="0.3">
      <c r="C18" s="2" t="s">
        <v>66</v>
      </c>
      <c r="D18" t="s">
        <v>14</v>
      </c>
    </row>
    <row r="19" spans="3:4" x14ac:dyDescent="0.3">
      <c r="C19" s="2" t="s">
        <v>67</v>
      </c>
      <c r="D19" t="s">
        <v>14</v>
      </c>
    </row>
    <row r="20" spans="3:4" x14ac:dyDescent="0.3">
      <c r="C20" s="2" t="s">
        <v>68</v>
      </c>
      <c r="D20" t="s">
        <v>14</v>
      </c>
    </row>
    <row r="21" spans="3:4" x14ac:dyDescent="0.3">
      <c r="C21" s="2" t="s">
        <v>69</v>
      </c>
      <c r="D21" t="s">
        <v>14</v>
      </c>
    </row>
    <row r="22" spans="3:4" x14ac:dyDescent="0.3">
      <c r="C22" s="2" t="s">
        <v>68</v>
      </c>
      <c r="D22" t="s">
        <v>14</v>
      </c>
    </row>
    <row r="23" spans="3:4" x14ac:dyDescent="0.3">
      <c r="C23" s="2" t="s">
        <v>70</v>
      </c>
      <c r="D23" t="s">
        <v>14</v>
      </c>
    </row>
    <row r="24" spans="3:4" x14ac:dyDescent="0.3">
      <c r="C24" s="2" t="s">
        <v>71</v>
      </c>
      <c r="D24" t="s">
        <v>14</v>
      </c>
    </row>
    <row r="25" spans="3:4" x14ac:dyDescent="0.3">
      <c r="C25" s="2" t="s">
        <v>72</v>
      </c>
      <c r="D25" t="s">
        <v>14</v>
      </c>
    </row>
    <row r="26" spans="3:4" x14ac:dyDescent="0.3">
      <c r="C26" s="2" t="s">
        <v>73</v>
      </c>
      <c r="D26" t="s">
        <v>14</v>
      </c>
    </row>
    <row r="27" spans="3:4" x14ac:dyDescent="0.3">
      <c r="C27" s="2" t="s">
        <v>74</v>
      </c>
      <c r="D27" t="s">
        <v>14</v>
      </c>
    </row>
    <row r="28" spans="3:4" x14ac:dyDescent="0.3">
      <c r="C28" s="2" t="s">
        <v>75</v>
      </c>
      <c r="D28" t="s">
        <v>14</v>
      </c>
    </row>
    <row r="29" spans="3:4" x14ac:dyDescent="0.3">
      <c r="C29" s="2" t="s">
        <v>76</v>
      </c>
      <c r="D29" t="s">
        <v>14</v>
      </c>
    </row>
    <row r="30" spans="3:4" x14ac:dyDescent="0.3">
      <c r="C30" s="2" t="s">
        <v>77</v>
      </c>
      <c r="D30" t="s">
        <v>14</v>
      </c>
    </row>
    <row r="31" spans="3:4" x14ac:dyDescent="0.3">
      <c r="C31" s="2" t="s">
        <v>78</v>
      </c>
      <c r="D31" t="s">
        <v>14</v>
      </c>
    </row>
    <row r="32" spans="3:4" x14ac:dyDescent="0.3">
      <c r="C32" s="2" t="s">
        <v>79</v>
      </c>
      <c r="D32" t="s">
        <v>14</v>
      </c>
    </row>
    <row r="33" spans="3:4" x14ac:dyDescent="0.3">
      <c r="C33" s="2" t="s">
        <v>80</v>
      </c>
      <c r="D33" t="s">
        <v>14</v>
      </c>
    </row>
    <row r="34" spans="3:4" x14ac:dyDescent="0.3">
      <c r="C34" s="2" t="s">
        <v>81</v>
      </c>
      <c r="D34" t="s">
        <v>14</v>
      </c>
    </row>
    <row r="35" spans="3:4" x14ac:dyDescent="0.3">
      <c r="C35" s="2" t="s">
        <v>82</v>
      </c>
      <c r="D35" t="s">
        <v>14</v>
      </c>
    </row>
    <row r="36" spans="3:4" x14ac:dyDescent="0.3">
      <c r="C36" s="2" t="s">
        <v>83</v>
      </c>
      <c r="D36" t="s">
        <v>14</v>
      </c>
    </row>
    <row r="37" spans="3:4" x14ac:dyDescent="0.3">
      <c r="C37" s="2" t="s">
        <v>84</v>
      </c>
      <c r="D37" t="s">
        <v>14</v>
      </c>
    </row>
    <row r="38" spans="3:4" x14ac:dyDescent="0.3">
      <c r="C38" s="2" t="s">
        <v>85</v>
      </c>
      <c r="D38" t="s">
        <v>14</v>
      </c>
    </row>
    <row r="39" spans="3:4" x14ac:dyDescent="0.3">
      <c r="C39" s="2" t="s">
        <v>86</v>
      </c>
      <c r="D39" t="s">
        <v>14</v>
      </c>
    </row>
    <row r="40" spans="3:4" x14ac:dyDescent="0.3">
      <c r="C40" s="2" t="s">
        <v>87</v>
      </c>
      <c r="D40" t="s">
        <v>14</v>
      </c>
    </row>
    <row r="41" spans="3:4" x14ac:dyDescent="0.3">
      <c r="C41" s="2" t="s">
        <v>88</v>
      </c>
      <c r="D41" t="s">
        <v>14</v>
      </c>
    </row>
    <row r="42" spans="3:4" x14ac:dyDescent="0.3">
      <c r="C42" s="2" t="s">
        <v>89</v>
      </c>
      <c r="D42" t="s">
        <v>14</v>
      </c>
    </row>
    <row r="43" spans="3:4" x14ac:dyDescent="0.3">
      <c r="C43" s="2" t="s">
        <v>90</v>
      </c>
      <c r="D43" t="s">
        <v>14</v>
      </c>
    </row>
    <row r="44" spans="3:4" x14ac:dyDescent="0.3">
      <c r="C44" s="2" t="s">
        <v>91</v>
      </c>
      <c r="D44" t="s">
        <v>14</v>
      </c>
    </row>
    <row r="45" spans="3:4" x14ac:dyDescent="0.3">
      <c r="C45" s="2" t="s">
        <v>92</v>
      </c>
      <c r="D45" t="s">
        <v>14</v>
      </c>
    </row>
    <row r="46" spans="3:4" x14ac:dyDescent="0.3">
      <c r="C46" s="2" t="s">
        <v>93</v>
      </c>
      <c r="D46" t="s">
        <v>14</v>
      </c>
    </row>
    <row r="47" spans="3:4" x14ac:dyDescent="0.3">
      <c r="C47" s="2" t="s">
        <v>94</v>
      </c>
      <c r="D47" t="s">
        <v>14</v>
      </c>
    </row>
    <row r="48" spans="3:4" x14ac:dyDescent="0.3">
      <c r="C48" s="2" t="s">
        <v>95</v>
      </c>
      <c r="D48" t="s">
        <v>14</v>
      </c>
    </row>
    <row r="49" spans="3:4" x14ac:dyDescent="0.3">
      <c r="C49" s="2" t="s">
        <v>96</v>
      </c>
      <c r="D49" t="s">
        <v>14</v>
      </c>
    </row>
    <row r="50" spans="3:4" x14ac:dyDescent="0.3">
      <c r="C50" s="2" t="s">
        <v>97</v>
      </c>
      <c r="D50" t="s">
        <v>14</v>
      </c>
    </row>
    <row r="51" spans="3:4" x14ac:dyDescent="0.3">
      <c r="C51" s="2" t="s">
        <v>98</v>
      </c>
      <c r="D51" t="s">
        <v>14</v>
      </c>
    </row>
    <row r="52" spans="3:4" x14ac:dyDescent="0.3">
      <c r="C52" s="2" t="s">
        <v>99</v>
      </c>
      <c r="D52" t="s">
        <v>14</v>
      </c>
    </row>
    <row r="53" spans="3:4" x14ac:dyDescent="0.3">
      <c r="C53" s="2" t="s">
        <v>100</v>
      </c>
      <c r="D53" t="s">
        <v>14</v>
      </c>
    </row>
    <row r="54" spans="3:4" x14ac:dyDescent="0.3">
      <c r="C54" s="2" t="s">
        <v>101</v>
      </c>
      <c r="D54" t="s">
        <v>14</v>
      </c>
    </row>
    <row r="55" spans="3:4" x14ac:dyDescent="0.3">
      <c r="C55" s="2" t="s">
        <v>102</v>
      </c>
      <c r="D55" t="s">
        <v>14</v>
      </c>
    </row>
    <row r="56" spans="3:4" x14ac:dyDescent="0.3">
      <c r="C56" s="2" t="s">
        <v>103</v>
      </c>
      <c r="D56" t="s">
        <v>14</v>
      </c>
    </row>
    <row r="57" spans="3:4" x14ac:dyDescent="0.3">
      <c r="C57" s="2" t="s">
        <v>104</v>
      </c>
      <c r="D57" t="s">
        <v>14</v>
      </c>
    </row>
    <row r="58" spans="3:4" x14ac:dyDescent="0.3">
      <c r="C58" s="3" t="s">
        <v>105</v>
      </c>
      <c r="D58" t="s">
        <v>14</v>
      </c>
    </row>
    <row r="59" spans="3:4" x14ac:dyDescent="0.3">
      <c r="C59" s="3" t="s">
        <v>106</v>
      </c>
      <c r="D59" t="s">
        <v>14</v>
      </c>
    </row>
    <row r="60" spans="3:4" x14ac:dyDescent="0.3">
      <c r="C60" s="2" t="s">
        <v>107</v>
      </c>
      <c r="D60" t="s">
        <v>14</v>
      </c>
    </row>
    <row r="61" spans="3:4" x14ac:dyDescent="0.3">
      <c r="C61" s="2" t="s">
        <v>108</v>
      </c>
      <c r="D61" t="s">
        <v>14</v>
      </c>
    </row>
    <row r="62" spans="3:4" x14ac:dyDescent="0.3">
      <c r="C62" s="2" t="s">
        <v>109</v>
      </c>
      <c r="D62" t="s">
        <v>14</v>
      </c>
    </row>
    <row r="63" spans="3:4" x14ac:dyDescent="0.3">
      <c r="C63" s="2" t="s">
        <v>110</v>
      </c>
      <c r="D63" t="s">
        <v>14</v>
      </c>
    </row>
    <row r="64" spans="3:4" x14ac:dyDescent="0.3">
      <c r="C64" s="2" t="s">
        <v>111</v>
      </c>
      <c r="D64" t="s">
        <v>14</v>
      </c>
    </row>
    <row r="65" spans="3:4" x14ac:dyDescent="0.3">
      <c r="C65" s="2" t="s">
        <v>112</v>
      </c>
      <c r="D65" t="s">
        <v>14</v>
      </c>
    </row>
    <row r="66" spans="3:4" x14ac:dyDescent="0.3">
      <c r="C66" s="2" t="s">
        <v>113</v>
      </c>
      <c r="D66" t="s">
        <v>14</v>
      </c>
    </row>
    <row r="67" spans="3:4" x14ac:dyDescent="0.3">
      <c r="C67" s="2" t="s">
        <v>114</v>
      </c>
      <c r="D67" t="s">
        <v>14</v>
      </c>
    </row>
    <row r="68" spans="3:4" x14ac:dyDescent="0.3">
      <c r="C68" s="2" t="s">
        <v>115</v>
      </c>
      <c r="D68" t="s">
        <v>14</v>
      </c>
    </row>
    <row r="69" spans="3:4" x14ac:dyDescent="0.3">
      <c r="C69" s="2" t="s">
        <v>116</v>
      </c>
      <c r="D69" t="s">
        <v>14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CBA492-7B6D-4CE9-9946-7DD02AF014E9}">
          <x14:formula1>
            <xm:f>List!$A$2:$A$9</xm:f>
          </x14:formula1>
          <xm:sqref>D2:D69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814-1B81-45F0-845C-384779C653F0}">
  <dimension ref="A1:E12"/>
  <sheetViews>
    <sheetView workbookViewId="0">
      <selection sqref="A1:E1"/>
    </sheetView>
  </sheetViews>
  <sheetFormatPr defaultRowHeight="14" x14ac:dyDescent="0.3"/>
  <cols>
    <col min="3" max="3" width="16.1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s="2" t="s">
        <v>39</v>
      </c>
      <c r="D2" t="s">
        <v>13</v>
      </c>
      <c r="E2" s="2" t="s">
        <v>18</v>
      </c>
    </row>
    <row r="3" spans="1:5" x14ac:dyDescent="0.3">
      <c r="C3" s="2" t="s">
        <v>40</v>
      </c>
      <c r="D3" t="s">
        <v>13</v>
      </c>
      <c r="E3" s="2" t="s">
        <v>18</v>
      </c>
    </row>
    <row r="4" spans="1:5" x14ac:dyDescent="0.3">
      <c r="C4" s="2" t="s">
        <v>41</v>
      </c>
      <c r="D4" t="s">
        <v>13</v>
      </c>
      <c r="E4" s="2" t="s">
        <v>16</v>
      </c>
    </row>
    <row r="5" spans="1:5" x14ac:dyDescent="0.3">
      <c r="C5" s="2" t="s">
        <v>42</v>
      </c>
      <c r="D5" t="s">
        <v>13</v>
      </c>
      <c r="E5" s="2" t="s">
        <v>16</v>
      </c>
    </row>
    <row r="6" spans="1:5" x14ac:dyDescent="0.3">
      <c r="C6" s="2" t="s">
        <v>43</v>
      </c>
      <c r="D6" t="s">
        <v>13</v>
      </c>
      <c r="E6" s="2" t="s">
        <v>33</v>
      </c>
    </row>
    <row r="7" spans="1:5" x14ac:dyDescent="0.3">
      <c r="C7" s="2" t="s">
        <v>44</v>
      </c>
      <c r="D7" t="s">
        <v>13</v>
      </c>
      <c r="E7" s="2" t="s">
        <v>20</v>
      </c>
    </row>
    <row r="8" spans="1:5" x14ac:dyDescent="0.3">
      <c r="C8" s="2" t="s">
        <v>45</v>
      </c>
      <c r="D8" t="s">
        <v>13</v>
      </c>
      <c r="E8" s="2" t="s">
        <v>20</v>
      </c>
    </row>
    <row r="9" spans="1:5" x14ac:dyDescent="0.3">
      <c r="C9" s="2" t="s">
        <v>46</v>
      </c>
      <c r="D9" t="s">
        <v>13</v>
      </c>
      <c r="E9" s="2" t="s">
        <v>23</v>
      </c>
    </row>
    <row r="10" spans="1:5" x14ac:dyDescent="0.3">
      <c r="C10" s="2" t="s">
        <v>47</v>
      </c>
      <c r="D10" t="s">
        <v>13</v>
      </c>
      <c r="E10" s="2" t="s">
        <v>18</v>
      </c>
    </row>
    <row r="11" spans="1:5" x14ac:dyDescent="0.3">
      <c r="C11" s="2" t="s">
        <v>48</v>
      </c>
      <c r="D11" t="s">
        <v>13</v>
      </c>
      <c r="E11" s="2" t="s">
        <v>29</v>
      </c>
    </row>
    <row r="12" spans="1:5" x14ac:dyDescent="0.3">
      <c r="C12" s="2" t="s">
        <v>49</v>
      </c>
      <c r="D12" t="s">
        <v>13</v>
      </c>
      <c r="E12" s="2" t="s">
        <v>26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C1AEB0-41A5-4448-8F46-B26DF525261A}">
          <x14:formula1>
            <xm:f>List!$A$2:$A$9</xm:f>
          </x14:formula1>
          <xm:sqref>D2:E12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55B2-BF80-4BA5-9CEF-17CCB48006AF}">
  <dimension ref="A1:C20"/>
  <sheetViews>
    <sheetView workbookViewId="0">
      <selection activeCell="A2" sqref="A2:A10"/>
    </sheetView>
  </sheetViews>
  <sheetFormatPr defaultRowHeight="14" x14ac:dyDescent="0.3"/>
  <sheetData>
    <row r="1" spans="1:3" x14ac:dyDescent="0.3">
      <c r="A1" s="1" t="s">
        <v>5</v>
      </c>
      <c r="C1" s="1" t="s">
        <v>15</v>
      </c>
    </row>
    <row r="2" spans="1:3" x14ac:dyDescent="0.3">
      <c r="A2" t="s">
        <v>4</v>
      </c>
      <c r="C2" t="s">
        <v>17</v>
      </c>
    </row>
    <row r="3" spans="1:3" x14ac:dyDescent="0.3">
      <c r="A3" t="s">
        <v>6</v>
      </c>
      <c r="C3" t="s">
        <v>19</v>
      </c>
    </row>
    <row r="4" spans="1:3" x14ac:dyDescent="0.3">
      <c r="A4" t="s">
        <v>7</v>
      </c>
      <c r="C4" t="s">
        <v>27</v>
      </c>
    </row>
    <row r="5" spans="1:3" x14ac:dyDescent="0.3">
      <c r="A5" t="s">
        <v>8</v>
      </c>
      <c r="C5" t="s">
        <v>21</v>
      </c>
    </row>
    <row r="6" spans="1:3" x14ac:dyDescent="0.3">
      <c r="A6" t="s">
        <v>9</v>
      </c>
      <c r="C6" t="s">
        <v>22</v>
      </c>
    </row>
    <row r="7" spans="1:3" x14ac:dyDescent="0.3">
      <c r="A7" t="s">
        <v>10</v>
      </c>
      <c r="C7" t="s">
        <v>24</v>
      </c>
    </row>
    <row r="8" spans="1:3" x14ac:dyDescent="0.3">
      <c r="A8" t="s">
        <v>11</v>
      </c>
      <c r="C8" t="s">
        <v>25</v>
      </c>
    </row>
    <row r="9" spans="1:3" x14ac:dyDescent="0.3">
      <c r="A9" t="s">
        <v>12</v>
      </c>
      <c r="C9" t="s">
        <v>28</v>
      </c>
    </row>
    <row r="10" spans="1:3" x14ac:dyDescent="0.3">
      <c r="A10" t="s">
        <v>131</v>
      </c>
      <c r="C10" t="s">
        <v>30</v>
      </c>
    </row>
    <row r="11" spans="1:3" x14ac:dyDescent="0.3">
      <c r="C11" t="s">
        <v>31</v>
      </c>
    </row>
    <row r="12" spans="1:3" x14ac:dyDescent="0.3">
      <c r="C12" t="s">
        <v>32</v>
      </c>
    </row>
    <row r="13" spans="1:3" x14ac:dyDescent="0.3">
      <c r="C13" t="s">
        <v>36</v>
      </c>
    </row>
    <row r="14" spans="1:3" x14ac:dyDescent="0.3">
      <c r="C14" t="s">
        <v>37</v>
      </c>
    </row>
    <row r="15" spans="1:3" x14ac:dyDescent="0.3">
      <c r="C15" t="s">
        <v>34</v>
      </c>
    </row>
    <row r="16" spans="1:3" x14ac:dyDescent="0.3">
      <c r="C16" t="s">
        <v>38</v>
      </c>
    </row>
    <row r="17" spans="3:3" x14ac:dyDescent="0.3">
      <c r="C17" t="s">
        <v>288</v>
      </c>
    </row>
    <row r="20" spans="3:3" x14ac:dyDescent="0.3">
      <c r="C20" t="s">
        <v>131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EAB1-81A2-4062-9F44-482897811748}">
  <dimension ref="A1:O173"/>
  <sheetViews>
    <sheetView topLeftCell="A7" workbookViewId="0">
      <selection sqref="A1:E1"/>
    </sheetView>
  </sheetViews>
  <sheetFormatPr defaultRowHeight="14" x14ac:dyDescent="0.3"/>
  <cols>
    <col min="1" max="1" width="25.25" bestFit="1" customWidth="1"/>
    <col min="8" max="8" width="13.75" customWidth="1"/>
    <col min="9" max="9" width="17" customWidth="1"/>
    <col min="10" max="10" width="15.08203125" bestFit="1" customWidth="1"/>
    <col min="11" max="11" width="18.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15" x14ac:dyDescent="0.3">
      <c r="A2" t="s">
        <v>289</v>
      </c>
      <c r="G2" s="2" t="s">
        <v>117</v>
      </c>
      <c r="H2" t="str">
        <f>$G2&amp;" Vol 1M"</f>
        <v>EURUSD Vol 1M</v>
      </c>
      <c r="I2" t="str">
        <f>$G2&amp;"25B3M Curncy"</f>
        <v>EURUSD25B3M Curncy</v>
      </c>
      <c r="J2" t="str">
        <f>$G2&amp;" Vol 3M"</f>
        <v>EURUSD Vol 3M</v>
      </c>
      <c r="K2" t="str">
        <f>$G2&amp;"H1M Curncy"</f>
        <v>EURUSDH1M Curncy</v>
      </c>
      <c r="L2" t="str">
        <f>$G2&amp;" Vol 6M"</f>
        <v>EURUSD Vol 6M</v>
      </c>
      <c r="M2" t="str">
        <f>$G2&amp;"V6M Curncy"</f>
        <v>EURUSDV6M Curncy</v>
      </c>
      <c r="N2" t="str">
        <f>$G2&amp;" Vol 12M"</f>
        <v>EURUSD Vol 12M</v>
      </c>
      <c r="O2" t="str">
        <f>$G2&amp;"V12M Curncy"</f>
        <v>EURUSDV12M Curncy</v>
      </c>
    </row>
    <row r="3" spans="1:15" x14ac:dyDescent="0.3">
      <c r="A3" t="s">
        <v>290</v>
      </c>
      <c r="G3" s="2" t="s">
        <v>119</v>
      </c>
      <c r="H3" t="str">
        <f t="shared" ref="H3:H21" si="0">$G3&amp;" Vol 1M"</f>
        <v>USDJPY Vol 1M</v>
      </c>
      <c r="I3" t="str">
        <f t="shared" ref="I3:I21" si="1">$G3&amp;"25B3M Curncy"</f>
        <v>USDJPY25B3M Curncy</v>
      </c>
      <c r="J3" t="str">
        <f t="shared" ref="J3:J21" si="2">$G3&amp;" Vol 3M"</f>
        <v>USDJPY Vol 3M</v>
      </c>
      <c r="K3" t="str">
        <f t="shared" ref="K3:K21" si="3">$G3&amp;"H1M Curncy"</f>
        <v>USDJPYH1M Curncy</v>
      </c>
      <c r="L3" t="str">
        <f t="shared" ref="L3:L21" si="4">$G3&amp;" Vol 6M"</f>
        <v>USDJPY Vol 6M</v>
      </c>
      <c r="M3" t="str">
        <f t="shared" ref="M3:M21" si="5">$G3&amp;"V6M Curncy"</f>
        <v>USDJPYV6M Curncy</v>
      </c>
      <c r="N3" t="str">
        <f t="shared" ref="N3:N21" si="6">$G3&amp;" Vol 12M"</f>
        <v>USDJPY Vol 12M</v>
      </c>
      <c r="O3" t="str">
        <f t="shared" ref="O3:O21" si="7">$G3&amp;"V12M Curncy"</f>
        <v>USDJPYV12M Curncy</v>
      </c>
    </row>
    <row r="4" spans="1:15" x14ac:dyDescent="0.3">
      <c r="A4" t="s">
        <v>291</v>
      </c>
      <c r="G4" s="2" t="s">
        <v>120</v>
      </c>
      <c r="H4" t="str">
        <f t="shared" si="0"/>
        <v>GBPUSD Vol 1M</v>
      </c>
      <c r="I4" t="str">
        <f t="shared" si="1"/>
        <v>GBPUSD25B3M Curncy</v>
      </c>
      <c r="J4" t="str">
        <f t="shared" si="2"/>
        <v>GBPUSD Vol 3M</v>
      </c>
      <c r="K4" t="str">
        <f t="shared" si="3"/>
        <v>GBPUSDH1M Curncy</v>
      </c>
      <c r="L4" t="str">
        <f t="shared" si="4"/>
        <v>GBPUSD Vol 6M</v>
      </c>
      <c r="M4" t="str">
        <f t="shared" si="5"/>
        <v>GBPUSDV6M Curncy</v>
      </c>
      <c r="N4" t="str">
        <f t="shared" si="6"/>
        <v>GBPUSD Vol 12M</v>
      </c>
      <c r="O4" t="str">
        <f t="shared" si="7"/>
        <v>GBPUSDV12M Curncy</v>
      </c>
    </row>
    <row r="5" spans="1:15" x14ac:dyDescent="0.3">
      <c r="A5" t="s">
        <v>292</v>
      </c>
      <c r="G5" s="2" t="s">
        <v>121</v>
      </c>
      <c r="H5" t="str">
        <f t="shared" si="0"/>
        <v>AUDUSD Vol 1M</v>
      </c>
      <c r="I5" t="str">
        <f t="shared" si="1"/>
        <v>AUDUSD25B3M Curncy</v>
      </c>
      <c r="J5" t="str">
        <f t="shared" si="2"/>
        <v>AUDUSD Vol 3M</v>
      </c>
      <c r="K5" t="str">
        <f t="shared" si="3"/>
        <v>AUDUSDH1M Curncy</v>
      </c>
      <c r="L5" t="str">
        <f t="shared" si="4"/>
        <v>AUDUSD Vol 6M</v>
      </c>
      <c r="M5" t="str">
        <f t="shared" si="5"/>
        <v>AUDUSDV6M Curncy</v>
      </c>
      <c r="N5" t="str">
        <f t="shared" si="6"/>
        <v>AUDUSD Vol 12M</v>
      </c>
      <c r="O5" t="str">
        <f t="shared" si="7"/>
        <v>AUDUSDV12M Curncy</v>
      </c>
    </row>
    <row r="6" spans="1:15" x14ac:dyDescent="0.3">
      <c r="A6" t="s">
        <v>293</v>
      </c>
      <c r="G6" s="2" t="s">
        <v>122</v>
      </c>
      <c r="H6" t="str">
        <f t="shared" si="0"/>
        <v>USDCAD Vol 1M</v>
      </c>
      <c r="I6" t="str">
        <f t="shared" si="1"/>
        <v>USDCAD25B3M Curncy</v>
      </c>
      <c r="J6" t="str">
        <f t="shared" si="2"/>
        <v>USDCAD Vol 3M</v>
      </c>
      <c r="K6" t="str">
        <f t="shared" si="3"/>
        <v>USDCADH1M Curncy</v>
      </c>
      <c r="L6" t="str">
        <f t="shared" si="4"/>
        <v>USDCAD Vol 6M</v>
      </c>
      <c r="M6" t="str">
        <f t="shared" si="5"/>
        <v>USDCADV6M Curncy</v>
      </c>
      <c r="N6" t="str">
        <f t="shared" si="6"/>
        <v>USDCAD Vol 12M</v>
      </c>
      <c r="O6" t="str">
        <f t="shared" si="7"/>
        <v>USDCADV12M Curncy</v>
      </c>
    </row>
    <row r="7" spans="1:15" x14ac:dyDescent="0.3">
      <c r="A7" t="s">
        <v>294</v>
      </c>
      <c r="G7" s="2" t="s">
        <v>123</v>
      </c>
      <c r="H7" t="str">
        <f t="shared" si="0"/>
        <v>NZDUSD Vol 1M</v>
      </c>
      <c r="I7" t="str">
        <f t="shared" si="1"/>
        <v>NZDUSD25B3M Curncy</v>
      </c>
      <c r="J7" t="str">
        <f t="shared" si="2"/>
        <v>NZDUSD Vol 3M</v>
      </c>
      <c r="K7" t="str">
        <f t="shared" si="3"/>
        <v>NZDUSDH1M Curncy</v>
      </c>
      <c r="L7" t="str">
        <f t="shared" si="4"/>
        <v>NZDUSD Vol 6M</v>
      </c>
      <c r="M7" t="str">
        <f t="shared" si="5"/>
        <v>NZDUSDV6M Curncy</v>
      </c>
      <c r="N7" t="str">
        <f t="shared" si="6"/>
        <v>NZDUSD Vol 12M</v>
      </c>
      <c r="O7" t="str">
        <f t="shared" si="7"/>
        <v>NZDUSDV12M Curncy</v>
      </c>
    </row>
    <row r="8" spans="1:15" x14ac:dyDescent="0.3">
      <c r="A8" t="s">
        <v>295</v>
      </c>
      <c r="G8" s="2" t="s">
        <v>124</v>
      </c>
      <c r="H8" t="str">
        <f t="shared" si="0"/>
        <v>USDCHF Vol 1M</v>
      </c>
      <c r="I8" t="str">
        <f t="shared" si="1"/>
        <v>USDCHF25B3M Curncy</v>
      </c>
      <c r="J8" t="str">
        <f t="shared" si="2"/>
        <v>USDCHF Vol 3M</v>
      </c>
      <c r="K8" t="str">
        <f t="shared" si="3"/>
        <v>USDCHFH1M Curncy</v>
      </c>
      <c r="L8" t="str">
        <f t="shared" si="4"/>
        <v>USDCHF Vol 6M</v>
      </c>
      <c r="M8" t="str">
        <f t="shared" si="5"/>
        <v>USDCHFV6M Curncy</v>
      </c>
      <c r="N8" t="str">
        <f t="shared" si="6"/>
        <v>USDCHF Vol 12M</v>
      </c>
      <c r="O8" t="str">
        <f t="shared" si="7"/>
        <v>USDCHFV12M Curncy</v>
      </c>
    </row>
    <row r="9" spans="1:15" x14ac:dyDescent="0.3">
      <c r="A9" t="s">
        <v>296</v>
      </c>
      <c r="G9" s="2" t="s">
        <v>125</v>
      </c>
      <c r="H9" t="str">
        <f t="shared" si="0"/>
        <v>USDNOK Vol 1M</v>
      </c>
      <c r="I9" t="str">
        <f t="shared" si="1"/>
        <v>USDNOK25B3M Curncy</v>
      </c>
      <c r="J9" t="str">
        <f t="shared" si="2"/>
        <v>USDNOK Vol 3M</v>
      </c>
      <c r="K9" t="str">
        <f t="shared" si="3"/>
        <v>USDNOKH1M Curncy</v>
      </c>
      <c r="L9" t="str">
        <f t="shared" si="4"/>
        <v>USDNOK Vol 6M</v>
      </c>
      <c r="M9" t="str">
        <f t="shared" si="5"/>
        <v>USDNOKV6M Curncy</v>
      </c>
      <c r="N9" t="str">
        <f t="shared" si="6"/>
        <v>USDNOK Vol 12M</v>
      </c>
      <c r="O9" t="str">
        <f t="shared" si="7"/>
        <v>USDNOKV12M Curncy</v>
      </c>
    </row>
    <row r="10" spans="1:15" x14ac:dyDescent="0.3">
      <c r="A10" t="s">
        <v>297</v>
      </c>
      <c r="G10" s="2" t="s">
        <v>126</v>
      </c>
      <c r="H10" t="str">
        <f t="shared" si="0"/>
        <v>USDCNH Vol 1M</v>
      </c>
      <c r="I10" t="str">
        <f t="shared" si="1"/>
        <v>USDCNH25B3M Curncy</v>
      </c>
      <c r="J10" t="str">
        <f t="shared" si="2"/>
        <v>USDCNH Vol 3M</v>
      </c>
      <c r="K10" t="str">
        <f t="shared" si="3"/>
        <v>USDCNHH1M Curncy</v>
      </c>
      <c r="L10" t="str">
        <f t="shared" si="4"/>
        <v>USDCNH Vol 6M</v>
      </c>
      <c r="M10" t="str">
        <f t="shared" si="5"/>
        <v>USDCNHV6M Curncy</v>
      </c>
      <c r="N10" t="str">
        <f t="shared" si="6"/>
        <v>USDCNH Vol 12M</v>
      </c>
      <c r="O10" t="str">
        <f t="shared" si="7"/>
        <v>USDCNHV12M Curncy</v>
      </c>
    </row>
    <row r="11" spans="1:15" x14ac:dyDescent="0.3">
      <c r="A11" t="s">
        <v>298</v>
      </c>
      <c r="G11" s="2" t="s">
        <v>129</v>
      </c>
      <c r="H11" t="str">
        <f t="shared" si="0"/>
        <v>USDSGD Vol 1M</v>
      </c>
      <c r="I11" t="str">
        <f t="shared" si="1"/>
        <v>USDSGD25B3M Curncy</v>
      </c>
      <c r="J11" t="str">
        <f t="shared" si="2"/>
        <v>USDSGD Vol 3M</v>
      </c>
      <c r="K11" t="str">
        <f t="shared" si="3"/>
        <v>USDSGDH1M Curncy</v>
      </c>
      <c r="L11" t="str">
        <f t="shared" si="4"/>
        <v>USDSGD Vol 6M</v>
      </c>
      <c r="M11" t="str">
        <f t="shared" si="5"/>
        <v>USDSGDV6M Curncy</v>
      </c>
      <c r="N11" t="str">
        <f t="shared" si="6"/>
        <v>USDSGD Vol 12M</v>
      </c>
      <c r="O11" t="str">
        <f t="shared" si="7"/>
        <v>USDSGDV12M Curncy</v>
      </c>
    </row>
    <row r="12" spans="1:15" x14ac:dyDescent="0.3">
      <c r="A12" t="s">
        <v>299</v>
      </c>
      <c r="G12" s="2" t="s">
        <v>130</v>
      </c>
      <c r="H12" t="str">
        <f t="shared" si="0"/>
        <v>USDTRY Vol 1M</v>
      </c>
      <c r="I12" t="str">
        <f t="shared" si="1"/>
        <v>USDTRY25B3M Curncy</v>
      </c>
      <c r="J12" t="str">
        <f t="shared" si="2"/>
        <v>USDTRY Vol 3M</v>
      </c>
      <c r="K12" t="str">
        <f t="shared" si="3"/>
        <v>USDTRYH1M Curncy</v>
      </c>
      <c r="L12" t="str">
        <f t="shared" si="4"/>
        <v>USDTRY Vol 6M</v>
      </c>
      <c r="M12" t="str">
        <f t="shared" si="5"/>
        <v>USDTRYV6M Curncy</v>
      </c>
      <c r="N12" t="str">
        <f t="shared" si="6"/>
        <v>USDTRY Vol 12M</v>
      </c>
      <c r="O12" t="str">
        <f t="shared" si="7"/>
        <v>USDTRYV12M Curncy</v>
      </c>
    </row>
    <row r="13" spans="1:15" x14ac:dyDescent="0.3">
      <c r="A13" t="s">
        <v>300</v>
      </c>
      <c r="G13" s="2" t="s">
        <v>135</v>
      </c>
      <c r="H13" t="str">
        <f t="shared" si="0"/>
        <v>USDHKD Vol 1M</v>
      </c>
      <c r="I13" t="str">
        <f t="shared" si="1"/>
        <v>USDHKD25B3M Curncy</v>
      </c>
      <c r="J13" t="str">
        <f t="shared" si="2"/>
        <v>USDHKD Vol 3M</v>
      </c>
      <c r="K13" t="str">
        <f t="shared" si="3"/>
        <v>USDHKDH1M Curncy</v>
      </c>
      <c r="L13" t="str">
        <f t="shared" si="4"/>
        <v>USDHKD Vol 6M</v>
      </c>
      <c r="M13" t="str">
        <f t="shared" si="5"/>
        <v>USDHKDV6M Curncy</v>
      </c>
      <c r="N13" t="str">
        <f t="shared" si="6"/>
        <v>USDHKD Vol 12M</v>
      </c>
      <c r="O13" t="str">
        <f t="shared" si="7"/>
        <v>USDHKDV12M Curncy</v>
      </c>
    </row>
    <row r="14" spans="1:15" x14ac:dyDescent="0.3">
      <c r="A14" t="s">
        <v>301</v>
      </c>
      <c r="G14" s="2" t="s">
        <v>136</v>
      </c>
      <c r="H14" t="str">
        <f t="shared" si="0"/>
        <v>USDZAR Vol 1M</v>
      </c>
      <c r="I14" t="str">
        <f t="shared" si="1"/>
        <v>USDZAR25B3M Curncy</v>
      </c>
      <c r="J14" t="str">
        <f t="shared" si="2"/>
        <v>USDZAR Vol 3M</v>
      </c>
      <c r="K14" t="str">
        <f t="shared" si="3"/>
        <v>USDZARH1M Curncy</v>
      </c>
      <c r="L14" t="str">
        <f t="shared" si="4"/>
        <v>USDZAR Vol 6M</v>
      </c>
      <c r="M14" t="str">
        <f t="shared" si="5"/>
        <v>USDZARV6M Curncy</v>
      </c>
      <c r="N14" t="str">
        <f t="shared" si="6"/>
        <v>USDZAR Vol 12M</v>
      </c>
      <c r="O14" t="str">
        <f t="shared" si="7"/>
        <v>USDZARV12M Curncy</v>
      </c>
    </row>
    <row r="15" spans="1:15" x14ac:dyDescent="0.3">
      <c r="A15" t="s">
        <v>302</v>
      </c>
      <c r="G15" s="2" t="s">
        <v>137</v>
      </c>
      <c r="H15" t="str">
        <f t="shared" si="0"/>
        <v>USDMXN Vol 1M</v>
      </c>
      <c r="I15" t="str">
        <f t="shared" si="1"/>
        <v>USDMXN25B3M Curncy</v>
      </c>
      <c r="J15" t="str">
        <f t="shared" si="2"/>
        <v>USDMXN Vol 3M</v>
      </c>
      <c r="K15" t="str">
        <f t="shared" si="3"/>
        <v>USDMXNH1M Curncy</v>
      </c>
      <c r="L15" t="str">
        <f t="shared" si="4"/>
        <v>USDMXN Vol 6M</v>
      </c>
      <c r="M15" t="str">
        <f t="shared" si="5"/>
        <v>USDMXNV6M Curncy</v>
      </c>
      <c r="N15" t="str">
        <f t="shared" si="6"/>
        <v>USDMXN Vol 12M</v>
      </c>
      <c r="O15" t="str">
        <f t="shared" si="7"/>
        <v>USDMXNV12M Curncy</v>
      </c>
    </row>
    <row r="16" spans="1:15" x14ac:dyDescent="0.3">
      <c r="A16" t="s">
        <v>303</v>
      </c>
      <c r="G16" s="2" t="s">
        <v>138</v>
      </c>
      <c r="H16" t="str">
        <f t="shared" si="0"/>
        <v>USDCNY Vol 1M</v>
      </c>
      <c r="I16" t="str">
        <f t="shared" si="1"/>
        <v>USDCNY25B3M Curncy</v>
      </c>
      <c r="J16" t="str">
        <f t="shared" si="2"/>
        <v>USDCNY Vol 3M</v>
      </c>
      <c r="K16" t="str">
        <f t="shared" si="3"/>
        <v>USDCNYH1M Curncy</v>
      </c>
      <c r="L16" t="str">
        <f t="shared" si="4"/>
        <v>USDCNY Vol 6M</v>
      </c>
      <c r="M16" t="str">
        <f t="shared" si="5"/>
        <v>USDCNYV6M Curncy</v>
      </c>
      <c r="N16" t="str">
        <f t="shared" si="6"/>
        <v>USDCNY Vol 12M</v>
      </c>
      <c r="O16" t="str">
        <f t="shared" si="7"/>
        <v>USDCNYV12M Curncy</v>
      </c>
    </row>
    <row r="17" spans="1:15" x14ac:dyDescent="0.3">
      <c r="A17" t="s">
        <v>304</v>
      </c>
      <c r="G17" s="2" t="s">
        <v>127</v>
      </c>
      <c r="H17" t="str">
        <f t="shared" si="0"/>
        <v>USDKRW Vol 1M</v>
      </c>
      <c r="I17" t="str">
        <f t="shared" si="1"/>
        <v>USDKRW25B3M Curncy</v>
      </c>
      <c r="J17" t="str">
        <f t="shared" si="2"/>
        <v>USDKRW Vol 3M</v>
      </c>
      <c r="K17" t="str">
        <f t="shared" si="3"/>
        <v>USDKRWH1M Curncy</v>
      </c>
      <c r="L17" t="str">
        <f t="shared" si="4"/>
        <v>USDKRW Vol 6M</v>
      </c>
      <c r="M17" t="str">
        <f t="shared" si="5"/>
        <v>USDKRWV6M Curncy</v>
      </c>
      <c r="N17" t="str">
        <f t="shared" si="6"/>
        <v>USDKRW Vol 12M</v>
      </c>
      <c r="O17" t="str">
        <f t="shared" si="7"/>
        <v>USDKRWV12M Curncy</v>
      </c>
    </row>
    <row r="18" spans="1:15" x14ac:dyDescent="0.3">
      <c r="A18" t="s">
        <v>305</v>
      </c>
      <c r="G18" s="2" t="s">
        <v>128</v>
      </c>
      <c r="H18" t="str">
        <f t="shared" si="0"/>
        <v>USDTWD Vol 1M</v>
      </c>
      <c r="I18" t="str">
        <f t="shared" si="1"/>
        <v>USDTWD25B3M Curncy</v>
      </c>
      <c r="J18" t="str">
        <f t="shared" si="2"/>
        <v>USDTWD Vol 3M</v>
      </c>
      <c r="K18" t="str">
        <f t="shared" si="3"/>
        <v>USDTWDH1M Curncy</v>
      </c>
      <c r="L18" t="str">
        <f t="shared" si="4"/>
        <v>USDTWD Vol 6M</v>
      </c>
      <c r="M18" t="str">
        <f t="shared" si="5"/>
        <v>USDTWDV6M Curncy</v>
      </c>
      <c r="N18" t="str">
        <f t="shared" si="6"/>
        <v>USDTWD Vol 12M</v>
      </c>
      <c r="O18" t="str">
        <f t="shared" si="7"/>
        <v>USDTWDV12M Curncy</v>
      </c>
    </row>
    <row r="19" spans="1:15" x14ac:dyDescent="0.3">
      <c r="A19" t="s">
        <v>306</v>
      </c>
      <c r="G19" s="2" t="s">
        <v>132</v>
      </c>
      <c r="H19" t="str">
        <f t="shared" si="0"/>
        <v>USDIDR Vol 1M</v>
      </c>
      <c r="I19" t="str">
        <f t="shared" si="1"/>
        <v>USDIDR25B3M Curncy</v>
      </c>
      <c r="J19" t="str">
        <f t="shared" si="2"/>
        <v>USDIDR Vol 3M</v>
      </c>
      <c r="K19" t="str">
        <f t="shared" si="3"/>
        <v>USDIDRH1M Curncy</v>
      </c>
      <c r="L19" t="str">
        <f t="shared" si="4"/>
        <v>USDIDR Vol 6M</v>
      </c>
      <c r="M19" t="str">
        <f t="shared" si="5"/>
        <v>USDIDRV6M Curncy</v>
      </c>
      <c r="N19" t="str">
        <f t="shared" si="6"/>
        <v>USDIDR Vol 12M</v>
      </c>
      <c r="O19" t="str">
        <f t="shared" si="7"/>
        <v>USDIDRV12M Curncy</v>
      </c>
    </row>
    <row r="20" spans="1:15" x14ac:dyDescent="0.3">
      <c r="A20" t="s">
        <v>307</v>
      </c>
      <c r="G20" s="2" t="s">
        <v>133</v>
      </c>
      <c r="H20" t="str">
        <f t="shared" si="0"/>
        <v>USDINR Vol 1M</v>
      </c>
      <c r="I20" t="str">
        <f t="shared" si="1"/>
        <v>USDINR25B3M Curncy</v>
      </c>
      <c r="J20" t="str">
        <f t="shared" si="2"/>
        <v>USDINR Vol 3M</v>
      </c>
      <c r="K20" t="str">
        <f t="shared" si="3"/>
        <v>USDINRH1M Curncy</v>
      </c>
      <c r="L20" t="str">
        <f t="shared" si="4"/>
        <v>USDINR Vol 6M</v>
      </c>
      <c r="M20" t="str">
        <f t="shared" si="5"/>
        <v>USDINRV6M Curncy</v>
      </c>
      <c r="N20" t="str">
        <f t="shared" si="6"/>
        <v>USDINR Vol 12M</v>
      </c>
      <c r="O20" t="str">
        <f t="shared" si="7"/>
        <v>USDINRV12M Curncy</v>
      </c>
    </row>
    <row r="21" spans="1:15" x14ac:dyDescent="0.3">
      <c r="A21" t="s">
        <v>308</v>
      </c>
      <c r="G21" s="2" t="s">
        <v>134</v>
      </c>
      <c r="H21" t="str">
        <f t="shared" si="0"/>
        <v>USDPHP Vol 1M</v>
      </c>
      <c r="I21" t="str">
        <f t="shared" si="1"/>
        <v>USDPHP25B3M Curncy</v>
      </c>
      <c r="J21" t="str">
        <f t="shared" si="2"/>
        <v>USDPHP Vol 3M</v>
      </c>
      <c r="K21" t="str">
        <f t="shared" si="3"/>
        <v>USDPHPH1M Curncy</v>
      </c>
      <c r="L21" t="str">
        <f t="shared" si="4"/>
        <v>USDPHP Vol 6M</v>
      </c>
      <c r="M21" t="str">
        <f t="shared" si="5"/>
        <v>USDPHPV6M Curncy</v>
      </c>
      <c r="N21" t="str">
        <f t="shared" si="6"/>
        <v>USDPHP Vol 12M</v>
      </c>
      <c r="O21" t="str">
        <f t="shared" si="7"/>
        <v>USDPHPV12M Curncy</v>
      </c>
    </row>
    <row r="22" spans="1:15" x14ac:dyDescent="0.3">
      <c r="A22" t="s">
        <v>309</v>
      </c>
    </row>
    <row r="23" spans="1:15" x14ac:dyDescent="0.3">
      <c r="A23" t="s">
        <v>310</v>
      </c>
    </row>
    <row r="24" spans="1:15" x14ac:dyDescent="0.3">
      <c r="A24" t="s">
        <v>311</v>
      </c>
    </row>
    <row r="25" spans="1:15" x14ac:dyDescent="0.3">
      <c r="A25" t="s">
        <v>312</v>
      </c>
    </row>
    <row r="26" spans="1:15" x14ac:dyDescent="0.3">
      <c r="A26" t="s">
        <v>313</v>
      </c>
    </row>
    <row r="27" spans="1:15" x14ac:dyDescent="0.3">
      <c r="A27" t="s">
        <v>314</v>
      </c>
    </row>
    <row r="28" spans="1:15" x14ac:dyDescent="0.3">
      <c r="A28" t="s">
        <v>315</v>
      </c>
    </row>
    <row r="29" spans="1:15" x14ac:dyDescent="0.3">
      <c r="A29" t="s">
        <v>316</v>
      </c>
    </row>
    <row r="30" spans="1:15" x14ac:dyDescent="0.3">
      <c r="A30" t="s">
        <v>317</v>
      </c>
    </row>
    <row r="31" spans="1:15" x14ac:dyDescent="0.3">
      <c r="A31" t="s">
        <v>318</v>
      </c>
    </row>
    <row r="32" spans="1:15" x14ac:dyDescent="0.3">
      <c r="A32" t="s">
        <v>319</v>
      </c>
    </row>
    <row r="33" spans="1:1" x14ac:dyDescent="0.3">
      <c r="A33" t="s">
        <v>320</v>
      </c>
    </row>
    <row r="34" spans="1:1" x14ac:dyDescent="0.3">
      <c r="A34" t="s">
        <v>321</v>
      </c>
    </row>
    <row r="35" spans="1:1" x14ac:dyDescent="0.3">
      <c r="A35" t="s">
        <v>322</v>
      </c>
    </row>
    <row r="36" spans="1:1" x14ac:dyDescent="0.3">
      <c r="A36" t="s">
        <v>323</v>
      </c>
    </row>
    <row r="37" spans="1:1" x14ac:dyDescent="0.3">
      <c r="A37" t="s">
        <v>324</v>
      </c>
    </row>
    <row r="38" spans="1:1" x14ac:dyDescent="0.3">
      <c r="A38" t="s">
        <v>325</v>
      </c>
    </row>
    <row r="39" spans="1:1" x14ac:dyDescent="0.3">
      <c r="A39" t="s">
        <v>326</v>
      </c>
    </row>
    <row r="40" spans="1:1" x14ac:dyDescent="0.3">
      <c r="A40" t="s">
        <v>327</v>
      </c>
    </row>
    <row r="41" spans="1:1" x14ac:dyDescent="0.3">
      <c r="A41" t="s">
        <v>328</v>
      </c>
    </row>
    <row r="42" spans="1:1" x14ac:dyDescent="0.3">
      <c r="A42" t="s">
        <v>329</v>
      </c>
    </row>
    <row r="43" spans="1:1" x14ac:dyDescent="0.3">
      <c r="A43" t="s">
        <v>330</v>
      </c>
    </row>
    <row r="44" spans="1:1" x14ac:dyDescent="0.3">
      <c r="A44" t="s">
        <v>331</v>
      </c>
    </row>
    <row r="45" spans="1:1" x14ac:dyDescent="0.3">
      <c r="A45" t="s">
        <v>332</v>
      </c>
    </row>
    <row r="46" spans="1:1" x14ac:dyDescent="0.3">
      <c r="A46" t="s">
        <v>333</v>
      </c>
    </row>
    <row r="47" spans="1:1" x14ac:dyDescent="0.3">
      <c r="A47" t="s">
        <v>334</v>
      </c>
    </row>
    <row r="48" spans="1:1" x14ac:dyDescent="0.3">
      <c r="A48" t="s">
        <v>335</v>
      </c>
    </row>
    <row r="49" spans="1:1" x14ac:dyDescent="0.3">
      <c r="A49" t="s">
        <v>336</v>
      </c>
    </row>
    <row r="50" spans="1:1" x14ac:dyDescent="0.3">
      <c r="A50" t="s">
        <v>337</v>
      </c>
    </row>
    <row r="51" spans="1:1" x14ac:dyDescent="0.3">
      <c r="A51" t="s">
        <v>338</v>
      </c>
    </row>
    <row r="52" spans="1:1" x14ac:dyDescent="0.3">
      <c r="A52" t="s">
        <v>339</v>
      </c>
    </row>
    <row r="53" spans="1:1" x14ac:dyDescent="0.3">
      <c r="A53" t="s">
        <v>340</v>
      </c>
    </row>
    <row r="54" spans="1:1" x14ac:dyDescent="0.3">
      <c r="A54" t="s">
        <v>341</v>
      </c>
    </row>
    <row r="55" spans="1:1" x14ac:dyDescent="0.3">
      <c r="A55" t="s">
        <v>342</v>
      </c>
    </row>
    <row r="56" spans="1:1" x14ac:dyDescent="0.3">
      <c r="A56" t="s">
        <v>343</v>
      </c>
    </row>
    <row r="57" spans="1:1" x14ac:dyDescent="0.3">
      <c r="A57" t="s">
        <v>344</v>
      </c>
    </row>
    <row r="58" spans="1:1" x14ac:dyDescent="0.3">
      <c r="A58" t="s">
        <v>345</v>
      </c>
    </row>
    <row r="59" spans="1:1" x14ac:dyDescent="0.3">
      <c r="A59" t="s">
        <v>346</v>
      </c>
    </row>
    <row r="60" spans="1:1" x14ac:dyDescent="0.3">
      <c r="A60" t="s">
        <v>347</v>
      </c>
    </row>
    <row r="61" spans="1:1" x14ac:dyDescent="0.3">
      <c r="A61" t="s">
        <v>348</v>
      </c>
    </row>
    <row r="62" spans="1:1" x14ac:dyDescent="0.3">
      <c r="A62" t="s">
        <v>349</v>
      </c>
    </row>
    <row r="63" spans="1:1" x14ac:dyDescent="0.3">
      <c r="A63" t="s">
        <v>350</v>
      </c>
    </row>
    <row r="64" spans="1:1" x14ac:dyDescent="0.3">
      <c r="A64" t="s">
        <v>351</v>
      </c>
    </row>
    <row r="65" spans="1:1" x14ac:dyDescent="0.3">
      <c r="A65" t="s">
        <v>352</v>
      </c>
    </row>
    <row r="66" spans="1:1" x14ac:dyDescent="0.3">
      <c r="A66" t="s">
        <v>353</v>
      </c>
    </row>
    <row r="67" spans="1:1" x14ac:dyDescent="0.3">
      <c r="A67" t="s">
        <v>354</v>
      </c>
    </row>
    <row r="68" spans="1:1" x14ac:dyDescent="0.3">
      <c r="A68" t="s">
        <v>355</v>
      </c>
    </row>
    <row r="69" spans="1:1" x14ac:dyDescent="0.3">
      <c r="A69" t="s">
        <v>356</v>
      </c>
    </row>
    <row r="70" spans="1:1" x14ac:dyDescent="0.3">
      <c r="A70" t="s">
        <v>357</v>
      </c>
    </row>
    <row r="71" spans="1:1" x14ac:dyDescent="0.3">
      <c r="A71" t="s">
        <v>358</v>
      </c>
    </row>
    <row r="72" spans="1:1" x14ac:dyDescent="0.3">
      <c r="A72" t="s">
        <v>359</v>
      </c>
    </row>
    <row r="73" spans="1:1" x14ac:dyDescent="0.3">
      <c r="A73" t="s">
        <v>360</v>
      </c>
    </row>
    <row r="74" spans="1:1" x14ac:dyDescent="0.3">
      <c r="A74" t="s">
        <v>361</v>
      </c>
    </row>
    <row r="75" spans="1:1" x14ac:dyDescent="0.3">
      <c r="A75" t="s">
        <v>362</v>
      </c>
    </row>
    <row r="76" spans="1:1" x14ac:dyDescent="0.3">
      <c r="A76" t="s">
        <v>363</v>
      </c>
    </row>
    <row r="77" spans="1:1" x14ac:dyDescent="0.3">
      <c r="A77" t="s">
        <v>364</v>
      </c>
    </row>
    <row r="78" spans="1:1" x14ac:dyDescent="0.3">
      <c r="A78" t="s">
        <v>365</v>
      </c>
    </row>
    <row r="79" spans="1:1" x14ac:dyDescent="0.3">
      <c r="A79" t="s">
        <v>366</v>
      </c>
    </row>
    <row r="80" spans="1:1" x14ac:dyDescent="0.3">
      <c r="A80" t="s">
        <v>367</v>
      </c>
    </row>
    <row r="81" spans="1:1" x14ac:dyDescent="0.3">
      <c r="A81" t="s">
        <v>368</v>
      </c>
    </row>
    <row r="82" spans="1:1" x14ac:dyDescent="0.3">
      <c r="A82" t="s">
        <v>369</v>
      </c>
    </row>
    <row r="83" spans="1:1" x14ac:dyDescent="0.3">
      <c r="A83" t="s">
        <v>370</v>
      </c>
    </row>
    <row r="84" spans="1:1" x14ac:dyDescent="0.3">
      <c r="A84" t="s">
        <v>371</v>
      </c>
    </row>
    <row r="85" spans="1:1" x14ac:dyDescent="0.3">
      <c r="A85" t="s">
        <v>372</v>
      </c>
    </row>
    <row r="86" spans="1:1" x14ac:dyDescent="0.3">
      <c r="A86" t="s">
        <v>373</v>
      </c>
    </row>
    <row r="87" spans="1:1" x14ac:dyDescent="0.3">
      <c r="A87" t="s">
        <v>374</v>
      </c>
    </row>
    <row r="88" spans="1:1" x14ac:dyDescent="0.3">
      <c r="A88" t="s">
        <v>375</v>
      </c>
    </row>
    <row r="89" spans="1:1" x14ac:dyDescent="0.3">
      <c r="A89" t="s">
        <v>376</v>
      </c>
    </row>
    <row r="90" spans="1:1" x14ac:dyDescent="0.3">
      <c r="A90" t="s">
        <v>377</v>
      </c>
    </row>
    <row r="91" spans="1:1" x14ac:dyDescent="0.3">
      <c r="A91" t="s">
        <v>378</v>
      </c>
    </row>
    <row r="92" spans="1:1" x14ac:dyDescent="0.3">
      <c r="A92" t="s">
        <v>379</v>
      </c>
    </row>
    <row r="93" spans="1:1" x14ac:dyDescent="0.3">
      <c r="A93" t="s">
        <v>380</v>
      </c>
    </row>
    <row r="94" spans="1:1" x14ac:dyDescent="0.3">
      <c r="A94" t="s">
        <v>381</v>
      </c>
    </row>
    <row r="95" spans="1:1" x14ac:dyDescent="0.3">
      <c r="A95" t="s">
        <v>382</v>
      </c>
    </row>
    <row r="96" spans="1:1" x14ac:dyDescent="0.3">
      <c r="A96" t="s">
        <v>383</v>
      </c>
    </row>
    <row r="97" spans="1:1" x14ac:dyDescent="0.3">
      <c r="A97" t="s">
        <v>384</v>
      </c>
    </row>
    <row r="98" spans="1:1" x14ac:dyDescent="0.3">
      <c r="A98" t="s">
        <v>385</v>
      </c>
    </row>
    <row r="99" spans="1:1" x14ac:dyDescent="0.3">
      <c r="A99" t="s">
        <v>386</v>
      </c>
    </row>
    <row r="100" spans="1:1" x14ac:dyDescent="0.3">
      <c r="A100" t="s">
        <v>387</v>
      </c>
    </row>
    <row r="101" spans="1:1" x14ac:dyDescent="0.3">
      <c r="A101" t="s">
        <v>388</v>
      </c>
    </row>
    <row r="102" spans="1:1" x14ac:dyDescent="0.3">
      <c r="A102" t="s">
        <v>389</v>
      </c>
    </row>
    <row r="103" spans="1:1" x14ac:dyDescent="0.3">
      <c r="A103" t="s">
        <v>390</v>
      </c>
    </row>
    <row r="104" spans="1:1" x14ac:dyDescent="0.3">
      <c r="A104" t="s">
        <v>391</v>
      </c>
    </row>
    <row r="105" spans="1:1" x14ac:dyDescent="0.3">
      <c r="A105" t="s">
        <v>392</v>
      </c>
    </row>
    <row r="106" spans="1:1" x14ac:dyDescent="0.3">
      <c r="A106" t="s">
        <v>393</v>
      </c>
    </row>
    <row r="107" spans="1:1" x14ac:dyDescent="0.3">
      <c r="A107" t="s">
        <v>394</v>
      </c>
    </row>
    <row r="108" spans="1:1" x14ac:dyDescent="0.3">
      <c r="A108" t="s">
        <v>395</v>
      </c>
    </row>
    <row r="109" spans="1:1" x14ac:dyDescent="0.3">
      <c r="A109" t="s">
        <v>396</v>
      </c>
    </row>
    <row r="110" spans="1:1" x14ac:dyDescent="0.3">
      <c r="A110" t="s">
        <v>397</v>
      </c>
    </row>
    <row r="111" spans="1:1" x14ac:dyDescent="0.3">
      <c r="A111" t="s">
        <v>398</v>
      </c>
    </row>
    <row r="112" spans="1:1" x14ac:dyDescent="0.3">
      <c r="A112" t="s">
        <v>399</v>
      </c>
    </row>
    <row r="113" spans="1:1" x14ac:dyDescent="0.3">
      <c r="A113" t="s">
        <v>400</v>
      </c>
    </row>
    <row r="114" spans="1:1" x14ac:dyDescent="0.3">
      <c r="A114" t="s">
        <v>401</v>
      </c>
    </row>
    <row r="115" spans="1:1" x14ac:dyDescent="0.3">
      <c r="A115" t="s">
        <v>402</v>
      </c>
    </row>
    <row r="116" spans="1:1" x14ac:dyDescent="0.3">
      <c r="A116" t="s">
        <v>403</v>
      </c>
    </row>
    <row r="117" spans="1:1" x14ac:dyDescent="0.3">
      <c r="A117" t="s">
        <v>404</v>
      </c>
    </row>
    <row r="118" spans="1:1" x14ac:dyDescent="0.3">
      <c r="A118" t="s">
        <v>405</v>
      </c>
    </row>
    <row r="119" spans="1:1" x14ac:dyDescent="0.3">
      <c r="A119" t="s">
        <v>406</v>
      </c>
    </row>
    <row r="120" spans="1:1" x14ac:dyDescent="0.3">
      <c r="A120" t="s">
        <v>407</v>
      </c>
    </row>
    <row r="121" spans="1:1" x14ac:dyDescent="0.3">
      <c r="A121" t="s">
        <v>408</v>
      </c>
    </row>
    <row r="122" spans="1:1" x14ac:dyDescent="0.3">
      <c r="A122" t="s">
        <v>409</v>
      </c>
    </row>
    <row r="123" spans="1:1" x14ac:dyDescent="0.3">
      <c r="A123" t="s">
        <v>410</v>
      </c>
    </row>
    <row r="124" spans="1:1" x14ac:dyDescent="0.3">
      <c r="A124" t="s">
        <v>411</v>
      </c>
    </row>
    <row r="125" spans="1:1" x14ac:dyDescent="0.3">
      <c r="A125" t="s">
        <v>412</v>
      </c>
    </row>
    <row r="126" spans="1:1" x14ac:dyDescent="0.3">
      <c r="A126" t="s">
        <v>413</v>
      </c>
    </row>
    <row r="127" spans="1:1" x14ac:dyDescent="0.3">
      <c r="A127" t="s">
        <v>414</v>
      </c>
    </row>
    <row r="128" spans="1:1" x14ac:dyDescent="0.3">
      <c r="A128" t="s">
        <v>415</v>
      </c>
    </row>
    <row r="129" spans="1:1" x14ac:dyDescent="0.3">
      <c r="A129" t="s">
        <v>416</v>
      </c>
    </row>
    <row r="130" spans="1:1" x14ac:dyDescent="0.3">
      <c r="A130" t="s">
        <v>417</v>
      </c>
    </row>
    <row r="131" spans="1:1" x14ac:dyDescent="0.3">
      <c r="A131" t="s">
        <v>418</v>
      </c>
    </row>
    <row r="132" spans="1:1" x14ac:dyDescent="0.3">
      <c r="A132" t="s">
        <v>419</v>
      </c>
    </row>
    <row r="133" spans="1:1" x14ac:dyDescent="0.3">
      <c r="A133" t="s">
        <v>420</v>
      </c>
    </row>
    <row r="134" spans="1:1" x14ac:dyDescent="0.3">
      <c r="A134" t="s">
        <v>421</v>
      </c>
    </row>
    <row r="135" spans="1:1" x14ac:dyDescent="0.3">
      <c r="A135" t="s">
        <v>422</v>
      </c>
    </row>
    <row r="136" spans="1:1" x14ac:dyDescent="0.3">
      <c r="A136" t="s">
        <v>423</v>
      </c>
    </row>
    <row r="137" spans="1:1" x14ac:dyDescent="0.3">
      <c r="A137" t="s">
        <v>424</v>
      </c>
    </row>
    <row r="138" spans="1:1" x14ac:dyDescent="0.3">
      <c r="A138" t="s">
        <v>425</v>
      </c>
    </row>
    <row r="139" spans="1:1" x14ac:dyDescent="0.3">
      <c r="A139" t="s">
        <v>426</v>
      </c>
    </row>
    <row r="140" spans="1:1" x14ac:dyDescent="0.3">
      <c r="A140" t="s">
        <v>427</v>
      </c>
    </row>
    <row r="141" spans="1:1" x14ac:dyDescent="0.3">
      <c r="A141" t="s">
        <v>428</v>
      </c>
    </row>
    <row r="142" spans="1:1" x14ac:dyDescent="0.3">
      <c r="A142" t="s">
        <v>429</v>
      </c>
    </row>
    <row r="143" spans="1:1" x14ac:dyDescent="0.3">
      <c r="A143" t="s">
        <v>430</v>
      </c>
    </row>
    <row r="144" spans="1:1" x14ac:dyDescent="0.3">
      <c r="A144" t="s">
        <v>431</v>
      </c>
    </row>
    <row r="145" spans="1:1" x14ac:dyDescent="0.3">
      <c r="A145" t="s">
        <v>432</v>
      </c>
    </row>
    <row r="146" spans="1:1" x14ac:dyDescent="0.3">
      <c r="A146" t="s">
        <v>433</v>
      </c>
    </row>
    <row r="147" spans="1:1" x14ac:dyDescent="0.3">
      <c r="A147" t="s">
        <v>434</v>
      </c>
    </row>
    <row r="148" spans="1:1" x14ac:dyDescent="0.3">
      <c r="A148" t="s">
        <v>435</v>
      </c>
    </row>
    <row r="149" spans="1:1" x14ac:dyDescent="0.3">
      <c r="A149" t="s">
        <v>436</v>
      </c>
    </row>
    <row r="150" spans="1:1" x14ac:dyDescent="0.3">
      <c r="A150" t="s">
        <v>437</v>
      </c>
    </row>
    <row r="151" spans="1:1" x14ac:dyDescent="0.3">
      <c r="A151" t="s">
        <v>438</v>
      </c>
    </row>
    <row r="152" spans="1:1" x14ac:dyDescent="0.3">
      <c r="A152" t="s">
        <v>439</v>
      </c>
    </row>
    <row r="153" spans="1:1" x14ac:dyDescent="0.3">
      <c r="A153" t="s">
        <v>440</v>
      </c>
    </row>
    <row r="154" spans="1:1" x14ac:dyDescent="0.3">
      <c r="A154" t="s">
        <v>441</v>
      </c>
    </row>
    <row r="155" spans="1:1" x14ac:dyDescent="0.3">
      <c r="A155" t="s">
        <v>442</v>
      </c>
    </row>
    <row r="156" spans="1:1" x14ac:dyDescent="0.3">
      <c r="A156" t="s">
        <v>443</v>
      </c>
    </row>
    <row r="157" spans="1:1" x14ac:dyDescent="0.3">
      <c r="A157" t="s">
        <v>444</v>
      </c>
    </row>
    <row r="158" spans="1:1" x14ac:dyDescent="0.3">
      <c r="A158" t="s">
        <v>445</v>
      </c>
    </row>
    <row r="159" spans="1:1" x14ac:dyDescent="0.3">
      <c r="A159" t="s">
        <v>446</v>
      </c>
    </row>
    <row r="160" spans="1:1" x14ac:dyDescent="0.3">
      <c r="A160" t="s">
        <v>447</v>
      </c>
    </row>
    <row r="161" spans="1:2" x14ac:dyDescent="0.3">
      <c r="A161" t="s">
        <v>448</v>
      </c>
    </row>
    <row r="162" spans="1:2" x14ac:dyDescent="0.3">
      <c r="A162" t="s">
        <v>449</v>
      </c>
      <c r="B162" s="2"/>
    </row>
    <row r="163" spans="1:2" x14ac:dyDescent="0.3">
      <c r="A163" t="s">
        <v>454</v>
      </c>
      <c r="B163" s="2"/>
    </row>
    <row r="164" spans="1:2" x14ac:dyDescent="0.3">
      <c r="A164" t="s">
        <v>450</v>
      </c>
      <c r="B164" s="2"/>
    </row>
    <row r="165" spans="1:2" x14ac:dyDescent="0.3">
      <c r="A165" t="s">
        <v>457</v>
      </c>
      <c r="B165" s="2" t="s">
        <v>458</v>
      </c>
    </row>
    <row r="166" spans="1:2" x14ac:dyDescent="0.3">
      <c r="A166" t="s">
        <v>451</v>
      </c>
      <c r="B166" s="2"/>
    </row>
    <row r="167" spans="1:2" x14ac:dyDescent="0.3">
      <c r="A167" t="s">
        <v>452</v>
      </c>
      <c r="B167" s="2"/>
    </row>
    <row r="168" spans="1:2" x14ac:dyDescent="0.3">
      <c r="A168" t="s">
        <v>453</v>
      </c>
      <c r="B168" s="2"/>
    </row>
    <row r="169" spans="1:2" x14ac:dyDescent="0.3">
      <c r="A169" t="s">
        <v>455</v>
      </c>
      <c r="B169" s="2" t="s">
        <v>456</v>
      </c>
    </row>
    <row r="170" spans="1:2" x14ac:dyDescent="0.3">
      <c r="B170" s="2"/>
    </row>
    <row r="171" spans="1:2" x14ac:dyDescent="0.3">
      <c r="B171" s="2"/>
    </row>
    <row r="172" spans="1:2" x14ac:dyDescent="0.3">
      <c r="B172" s="2"/>
    </row>
    <row r="173" spans="1:2" x14ac:dyDescent="0.3">
      <c r="B173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AE78-E086-4E2C-A5E3-89D11CA4E25B}">
  <dimension ref="A1:F5"/>
  <sheetViews>
    <sheetView workbookViewId="0">
      <selection activeCell="C6" sqref="C6"/>
    </sheetView>
  </sheetViews>
  <sheetFormatPr defaultRowHeight="14" x14ac:dyDescent="0.3"/>
  <cols>
    <col min="3" max="3" width="29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6" x14ac:dyDescent="0.3">
      <c r="C2" t="s">
        <v>619</v>
      </c>
      <c r="F2" t="s">
        <v>489</v>
      </c>
    </row>
    <row r="3" spans="1:6" x14ac:dyDescent="0.3">
      <c r="C3" t="s">
        <v>618</v>
      </c>
    </row>
    <row r="4" spans="1:6" x14ac:dyDescent="0.3">
      <c r="C4" t="s">
        <v>620</v>
      </c>
    </row>
    <row r="5" spans="1:6" x14ac:dyDescent="0.3">
      <c r="C5" t="s">
        <v>679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F6AE-D90A-4569-BD87-97CCAAA39DA8}">
  <dimension ref="A1:E1"/>
  <sheetViews>
    <sheetView workbookViewId="0">
      <selection activeCell="D14" sqref="D14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FX</vt:lpstr>
      <vt:lpstr>Commodity</vt:lpstr>
      <vt:lpstr>Economic</vt:lpstr>
      <vt:lpstr>Money Market</vt:lpstr>
      <vt:lpstr>Rates</vt:lpstr>
      <vt:lpstr>Equity</vt:lpstr>
      <vt:lpstr>List</vt:lpstr>
      <vt:lpstr>Vol</vt:lpstr>
      <vt:lpstr>Others&amp;ToAdd</vt:lpstr>
      <vt:lpstr>ToCheck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Federicka</cp:lastModifiedBy>
  <dcterms:created xsi:type="dcterms:W3CDTF">2015-06-05T18:17:20Z</dcterms:created>
  <dcterms:modified xsi:type="dcterms:W3CDTF">2025-10-06T02:27:44Z</dcterms:modified>
</cp:coreProperties>
</file>