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SUS\Desktop\R_Union\"/>
    </mc:Choice>
  </mc:AlternateContent>
  <xr:revisionPtr revIDLastSave="0" documentId="8_{372CCDF7-92C0-4FF6-AB76-94B8857AADA9}" xr6:coauthVersionLast="47" xr6:coauthVersionMax="47" xr10:uidLastSave="{00000000-0000-0000-0000-000000000000}"/>
  <bookViews>
    <workbookView xWindow="-110" yWindow="-110" windowWidth="19420" windowHeight="10420" tabRatio="741" activeTab="2" xr2:uid="{00000000-000D-0000-FFFF-FFFF00000000}"/>
  </bookViews>
  <sheets>
    <sheet name="Main Monitor" sheetId="1" r:id="rId1"/>
    <sheet name="Historical - Raw data" sheetId="3" r:id="rId2"/>
    <sheet name="Interest Rate Curves" sheetId="2" r:id="rId3"/>
    <sheet name="Currency-Curve List" sheetId="4" r:id="rId4"/>
    <sheet name="Help" sheetId="5" r:id="rId5"/>
    <sheet name="Translation" sheetId="6" state="veryHidden" r:id="rId6"/>
  </sheets>
  <functionGroups builtInGroupCount="19"/>
  <definedNames>
    <definedName name="HistChartData">'Main Monitor'!$BK:$BW</definedName>
    <definedName name="HLPBRD_IB">Help!$D$88:$R$91</definedName>
    <definedName name="HLPBRD_IR">Help!$S$10:$T$87</definedName>
    <definedName name="HLPBRD_OBR">Help!$U$92:$X$100</definedName>
    <definedName name="Input_CCYTickers">'Main Monitor'!$D$16:$D$27</definedName>
    <definedName name="LANG_ID">Translation!$AA$1</definedName>
    <definedName name="LANGUAGE_SELECTION">'Main Monitor'!$H$6</definedName>
    <definedName name="Tenor1">'Main Monitor'!$H$10</definedName>
    <definedName name="Tenor2">'Main Monitor'!$S$10</definedName>
    <definedName name="Tenor3">'Main Monitor'!$AD$10</definedName>
    <definedName name="Tenor4">'Main Monitor'!$AO$10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358" i="2" l="1"/>
  <c r="AZ358" i="2"/>
  <c r="AY358" i="2"/>
  <c r="AX358" i="2"/>
  <c r="AW358" i="2"/>
  <c r="AV358" i="2"/>
  <c r="AU358" i="2"/>
  <c r="AT358" i="2"/>
  <c r="AS358" i="2"/>
  <c r="AR358" i="2"/>
  <c r="AQ358" i="2"/>
  <c r="AP358" i="2"/>
  <c r="AO358" i="2"/>
  <c r="AN358" i="2"/>
  <c r="AM358" i="2"/>
  <c r="AL358" i="2"/>
  <c r="AK358" i="2"/>
  <c r="AJ358" i="2"/>
  <c r="AI358" i="2"/>
  <c r="AH358" i="2"/>
  <c r="AG358" i="2"/>
  <c r="AF358" i="2"/>
  <c r="AE358" i="2"/>
  <c r="AD358" i="2"/>
  <c r="AC358" i="2"/>
  <c r="AB358" i="2"/>
  <c r="AA358" i="2"/>
  <c r="Z358" i="2"/>
  <c r="Y358" i="2"/>
  <c r="X358" i="2"/>
  <c r="W358" i="2"/>
  <c r="V358" i="2"/>
  <c r="U358" i="2"/>
  <c r="T358" i="2"/>
  <c r="S358" i="2"/>
  <c r="R358" i="2"/>
  <c r="Q358" i="2"/>
  <c r="P358" i="2"/>
  <c r="X12" i="3" a="1"/>
  <c r="AC12" i="3" a="1"/>
  <c r="J12" i="3" a="1"/>
  <c r="H12" i="3" a="1"/>
  <c r="K12" i="3" a="1"/>
  <c r="N12" i="3" a="1"/>
  <c r="AO12" i="3" a="1"/>
  <c r="U12" i="3" a="1"/>
  <c r="AM12" i="3" a="1"/>
  <c r="M12" i="3" a="1"/>
  <c r="AB12" i="3" a="1"/>
  <c r="AI12" i="3" a="1"/>
  <c r="G12" i="3" a="1"/>
  <c r="AJ12" i="3" a="1"/>
  <c r="L12" i="3" a="1"/>
  <c r="AA12" i="3" a="1"/>
  <c r="E12" i="3" a="1"/>
  <c r="F12" i="3" a="1"/>
  <c r="AR12" i="3" a="1"/>
  <c r="S12" i="3" a="1"/>
  <c r="AP12" i="3" a="1"/>
  <c r="T12" i="3" a="1"/>
  <c r="Y12" i="3" a="1"/>
  <c r="AK12" i="3" a="1"/>
  <c r="AN12" i="3" a="1"/>
  <c r="Z12" i="3" a="1"/>
  <c r="AQ12" i="3" a="1"/>
  <c r="AL12" i="3" a="1"/>
  <c r="I12" i="3" a="1"/>
  <c r="W12" i="3" a="1"/>
  <c r="AH12" i="3" a="1"/>
  <c r="V12" i="3" a="1"/>
  <c r="D12" i="3" a="1"/>
  <c r="G330" i="2" a="1"/>
  <c r="T250" i="2" a="1"/>
  <c r="AE128" i="2" a="1"/>
  <c r="R110" i="2" a="1"/>
  <c r="J130" i="2" a="1"/>
  <c r="N289" i="2" a="1"/>
  <c r="F178" i="2" a="1"/>
  <c r="M340" i="2" a="1"/>
  <c r="V60" i="2" a="1"/>
  <c r="N40" i="2" a="1"/>
  <c r="AM40" i="2" a="1"/>
  <c r="X29" i="2" a="1"/>
  <c r="H60" i="2" a="1"/>
  <c r="O118" i="2" a="1"/>
  <c r="W90" i="2" a="1"/>
  <c r="H230" i="2" a="1"/>
  <c r="N220" i="2" a="1"/>
  <c r="M352" i="2" a="1"/>
  <c r="L18" i="2" a="1"/>
  <c r="U58" i="2" a="1"/>
  <c r="AS40" i="2" a="1"/>
  <c r="F289" i="2" a="1"/>
  <c r="G80" i="2" a="1"/>
  <c r="V198" i="2" a="1"/>
  <c r="V50" i="2" a="1"/>
  <c r="Q248" i="2" a="1"/>
  <c r="L238" i="2" a="1"/>
  <c r="U309" i="2" a="1"/>
  <c r="AA130" i="2" a="1"/>
  <c r="Q320" i="2" a="1"/>
  <c r="F128" i="2" a="1"/>
  <c r="O38" i="2" a="1"/>
  <c r="T299" i="2" a="1"/>
  <c r="U100" i="2" a="1"/>
  <c r="O29" i="2" a="1"/>
  <c r="I110" i="2" a="1"/>
  <c r="Y340" i="2" a="1"/>
  <c r="M258" i="2" a="1"/>
  <c r="W58" i="2" a="1"/>
  <c r="L200" i="2" a="1"/>
  <c r="J320" i="2" a="1"/>
  <c r="M248" i="2" a="1"/>
  <c r="M250" i="2" a="1"/>
  <c r="W118" i="2" a="1"/>
  <c r="N208" i="2" a="1"/>
  <c r="R27" i="2" a="1"/>
  <c r="H320" i="2" a="1"/>
  <c r="T198" i="2" a="1"/>
  <c r="T200" i="2" a="1"/>
  <c r="V340" i="2" a="1"/>
  <c r="K309" i="2" a="1"/>
  <c r="I291" i="2" a="1"/>
  <c r="K178" i="2" a="1"/>
  <c r="K27" i="2" a="1"/>
  <c r="Q118" i="2" a="1"/>
  <c r="Q148" i="2" a="1"/>
  <c r="H210" i="2" a="1"/>
  <c r="O198" i="2" a="1"/>
  <c r="W352" i="2" a="1"/>
  <c r="G58" i="2" a="1"/>
  <c r="P120" i="2" a="1"/>
  <c r="G250" i="2" a="1"/>
  <c r="J70" i="2" a="1"/>
  <c r="J250" i="2" a="1"/>
  <c r="G38" i="2" a="1"/>
  <c r="G158" i="2" a="1"/>
  <c r="AH128" i="2" a="1"/>
  <c r="G90" i="2" a="1"/>
  <c r="N130" i="2" a="1"/>
  <c r="M78" i="2" a="1"/>
  <c r="I58" i="2" a="1"/>
  <c r="P118" i="2" a="1"/>
  <c r="Q198" i="2" a="1"/>
  <c r="G332" i="2" a="1"/>
  <c r="B12" i="3" a="1"/>
  <c r="AC58" i="2" a="1"/>
  <c r="I270" i="2" a="1"/>
  <c r="K330" i="2" a="1"/>
  <c r="X299" i="2" a="1"/>
  <c r="F18" i="2" a="1"/>
  <c r="U108" i="2" a="1"/>
  <c r="U110" i="2" a="1"/>
  <c r="O90" i="2" a="1"/>
  <c r="K359" i="2" a="1"/>
  <c r="K88" i="2" a="1"/>
  <c r="O359" i="2" a="1"/>
  <c r="O309" i="2" a="1"/>
  <c r="M350" i="2" a="1"/>
  <c r="N218" i="2" a="1"/>
  <c r="U240" i="2" a="1"/>
  <c r="O342" i="2" a="1"/>
  <c r="AB60" i="2" a="1"/>
  <c r="R342" i="2" a="1"/>
  <c r="N238" i="2" a="1"/>
  <c r="J58" i="2" a="1"/>
  <c r="J60" i="2" a="1"/>
  <c r="N98" i="2" a="1"/>
  <c r="J309" i="2" a="1"/>
  <c r="N90" i="2" a="1"/>
  <c r="M100" i="2" a="1"/>
  <c r="S150" i="2" a="1"/>
  <c r="P140" i="2" a="1"/>
  <c r="P138" i="2" a="1"/>
  <c r="F210" i="2" a="1"/>
  <c r="T301" i="2" a="1"/>
  <c r="J238" i="2" a="1"/>
  <c r="I218" i="2" a="1"/>
  <c r="M140" i="2" a="1"/>
  <c r="P250" i="2" a="1"/>
  <c r="Q268" i="2" a="1"/>
  <c r="Q270" i="2" a="1"/>
  <c r="AQ40" i="2" a="1"/>
  <c r="F342" i="2" a="1"/>
  <c r="AB29" i="2" a="1"/>
  <c r="S268" i="2" a="1"/>
  <c r="X240" i="2" a="1"/>
  <c r="W248" i="2" a="1"/>
  <c r="N311" i="2" a="1"/>
  <c r="U148" i="2" a="1"/>
  <c r="J332" i="2" a="1"/>
  <c r="V342" i="2" a="1"/>
  <c r="U270" i="2" a="1"/>
  <c r="M309" i="2" a="1"/>
  <c r="H40" i="2" a="1"/>
  <c r="Q120" i="2" a="1"/>
  <c r="G50" i="2" a="1"/>
  <c r="K289" i="2" a="1"/>
  <c r="W50" i="2" a="1"/>
  <c r="N198" i="2" a="1"/>
  <c r="Y38" i="2" a="1"/>
  <c r="J68" i="2" a="1"/>
  <c r="P168" i="2" a="1"/>
  <c r="J218" i="2" a="1"/>
  <c r="AC350" i="2" a="1"/>
  <c r="F200" i="2" a="1"/>
  <c r="H270" i="2" a="1"/>
  <c r="AI342" i="2" a="1"/>
  <c r="W48" i="2" a="1"/>
  <c r="N260" i="2" a="1"/>
  <c r="AI40" i="2" a="1"/>
  <c r="S340" i="2" a="1"/>
  <c r="P130" i="2" a="1"/>
  <c r="Q200" i="2" a="1"/>
  <c r="AC60" i="2" a="1"/>
  <c r="W98" i="2" a="1"/>
  <c r="S198" i="2" a="1"/>
  <c r="AN40" i="2" a="1"/>
  <c r="N270" i="2" a="1"/>
  <c r="V58" i="2" a="1"/>
  <c r="M342" i="2" a="1"/>
  <c r="Q238" i="2" a="1"/>
  <c r="N38" i="2" a="1"/>
  <c r="M50" i="2" a="1"/>
  <c r="F160" i="2" a="1"/>
  <c r="W128" i="2" a="1"/>
  <c r="J29" i="2" a="1"/>
  <c r="L48" i="2" a="1"/>
  <c r="G27" i="2" a="1"/>
  <c r="AD130" i="2" a="1"/>
  <c r="L16" i="2" a="1"/>
  <c r="J158" i="2" a="1"/>
  <c r="L270" i="2" a="1"/>
  <c r="AC200" i="2" a="1"/>
  <c r="I188" i="2" a="1"/>
  <c r="S48" i="2" a="1"/>
  <c r="G309" i="2" a="1"/>
  <c r="G100" i="2" a="1"/>
  <c r="G98" i="2" a="1"/>
  <c r="N29" i="2" a="1"/>
  <c r="J38" i="2" a="1"/>
  <c r="I330" i="2" a="1"/>
  <c r="L148" i="2" a="1"/>
  <c r="L150" i="2" a="1"/>
  <c r="R322" i="2" a="1"/>
  <c r="I220" i="2" a="1"/>
  <c r="AA118" i="2" a="1"/>
  <c r="K230" i="2" a="1"/>
  <c r="P340" i="2" a="1"/>
  <c r="T352" i="2" a="1"/>
  <c r="J258" i="2" a="1"/>
  <c r="T70" i="2" a="1"/>
  <c r="M68" i="2" a="1"/>
  <c r="X200" i="2" a="1"/>
  <c r="X238" i="2" a="1"/>
  <c r="N309" i="2" a="1"/>
  <c r="AG60" i="2" a="1"/>
  <c r="AC128" i="2" a="1"/>
  <c r="L208" i="2" a="1"/>
  <c r="M218" i="2" a="1"/>
  <c r="K311" i="2" a="1"/>
  <c r="R168" i="2" a="1"/>
  <c r="I140" i="2" a="1"/>
  <c r="P148" i="2" a="1"/>
  <c r="N299" i="2" a="1"/>
  <c r="O270" i="2" a="1"/>
  <c r="Q210" i="2" a="1"/>
  <c r="G248" i="2" a="1"/>
  <c r="S342" i="2" a="1"/>
  <c r="K168" i="2" a="1"/>
  <c r="K130" i="2" a="1"/>
  <c r="AE120" i="2" a="1"/>
  <c r="R88" i="2" a="1"/>
  <c r="X250" i="2" a="1"/>
  <c r="K320" i="2" a="1"/>
  <c r="L27" i="2" a="1"/>
  <c r="H180" i="2" a="1"/>
  <c r="F180" i="2" a="1"/>
  <c r="N291" i="2" a="1"/>
  <c r="H120" i="2" a="1"/>
  <c r="L58" i="2" a="1"/>
  <c r="U40" i="2" a="1"/>
  <c r="K58" i="2" a="1"/>
  <c r="F158" i="2" a="1"/>
  <c r="S120" i="2" a="1"/>
  <c r="N332" i="2" a="1"/>
  <c r="AC118" i="2" a="1"/>
  <c r="AA340" i="2" a="1"/>
  <c r="T100" i="2" a="1"/>
  <c r="O178" i="2" a="1"/>
  <c r="K218" i="2" a="1"/>
  <c r="W240" i="2" a="1"/>
  <c r="R340" i="2" a="1"/>
  <c r="V200" i="2" a="1"/>
  <c r="G320" i="2" a="1"/>
  <c r="G78" i="2" a="1"/>
  <c r="R120" i="2" a="1"/>
  <c r="V48" i="2" a="1"/>
  <c r="M98" i="2" a="1"/>
  <c r="AH342" i="2" a="1"/>
  <c r="AA128" i="2" a="1"/>
  <c r="I332" i="2" a="1"/>
  <c r="F130" i="2" a="1"/>
  <c r="L88" i="2" a="1"/>
  <c r="I342" i="2" a="1"/>
  <c r="I108" i="2" a="1"/>
  <c r="J240" i="2" a="1"/>
  <c r="P248" i="2" a="1"/>
  <c r="Y342" i="2" a="1"/>
  <c r="P342" i="2" a="1"/>
  <c r="K228" i="2" a="1"/>
  <c r="J260" i="2" a="1"/>
  <c r="AB128" i="2" a="1"/>
  <c r="M70" i="2" a="1"/>
  <c r="T68" i="2" a="1"/>
  <c r="Y118" i="2" a="1"/>
  <c r="K68" i="2" a="1"/>
  <c r="U150" i="2" a="1"/>
  <c r="W301" i="2" a="1"/>
  <c r="Q100" i="2" a="1"/>
  <c r="I16" i="2" a="1"/>
  <c r="I289" i="2" a="1"/>
  <c r="Y128" i="2" a="1"/>
  <c r="H350" i="2" a="1"/>
  <c r="I138" i="2" a="1"/>
  <c r="O18" i="2" a="1"/>
  <c r="F138" i="2" a="1"/>
  <c r="N118" i="2" a="1"/>
  <c r="AI340" i="2" a="1"/>
  <c r="H208" i="2" a="1"/>
  <c r="O158" i="2" a="1"/>
  <c r="S68" i="2" a="1"/>
  <c r="P170" i="2" a="1"/>
  <c r="K188" i="2" a="1"/>
  <c r="I299" i="2" a="1"/>
  <c r="L248" i="2" a="1"/>
  <c r="AA29" i="2" a="1"/>
  <c r="G88" i="2" a="1"/>
  <c r="N180" i="2" a="1"/>
  <c r="Z58" i="2" a="1"/>
  <c r="G148" i="2" a="1"/>
  <c r="AG200" i="2" a="1"/>
  <c r="N158" i="2" a="1"/>
  <c r="U268" i="2" a="1"/>
  <c r="K291" i="2" a="1"/>
  <c r="N200" i="2" a="1"/>
  <c r="J340" i="2" a="1"/>
  <c r="S70" i="2" a="1"/>
  <c r="K340" i="2" a="1"/>
  <c r="K128" i="2" a="1"/>
  <c r="F361" i="2" a="1"/>
  <c r="L170" i="2" a="1"/>
  <c r="L68" i="2" a="1"/>
  <c r="P128" i="2" a="1"/>
  <c r="AE130" i="2" a="1"/>
  <c r="J291" i="2" a="1"/>
  <c r="J128" i="2" a="1"/>
  <c r="J198" i="2" a="1"/>
  <c r="X301" i="2" a="1"/>
  <c r="T48" i="2" a="1"/>
  <c r="L60" i="2" a="1"/>
  <c r="P90" i="2" a="1"/>
  <c r="Z340" i="2" a="1"/>
  <c r="H281" i="2" a="1"/>
  <c r="H279" i="2" a="1"/>
  <c r="AC120" i="2" a="1"/>
  <c r="J190" i="2" a="1"/>
  <c r="M27" i="2" a="1"/>
  <c r="L50" i="2" a="1"/>
  <c r="V118" i="2" a="1"/>
  <c r="F50" i="2" a="1"/>
  <c r="G289" i="2" a="1"/>
  <c r="G291" i="2" a="1"/>
  <c r="Q60" i="2" a="1"/>
  <c r="I190" i="2" a="1"/>
  <c r="G311" i="2" a="1"/>
  <c r="R118" i="2" a="1"/>
  <c r="Z27" i="2" a="1"/>
  <c r="Y60" i="2" a="1"/>
  <c r="U130" i="2" a="1"/>
  <c r="U128" i="2" a="1"/>
  <c r="K260" i="2" a="1"/>
  <c r="K258" i="2" a="1"/>
  <c r="I340" i="2" a="1"/>
  <c r="G200" i="2" a="1"/>
  <c r="I80" i="2" a="1"/>
  <c r="G340" i="2" a="1"/>
  <c r="W60" i="2" a="1"/>
  <c r="I90" i="2" a="1"/>
  <c r="L198" i="2" a="1"/>
  <c r="O100" i="2" a="1"/>
  <c r="AB130" i="2" a="1"/>
  <c r="T350" i="2" a="1"/>
  <c r="X48" i="2" a="1"/>
  <c r="X50" i="2" a="1"/>
  <c r="X198" i="2" a="1"/>
  <c r="L130" i="2" a="1"/>
  <c r="L128" i="2" a="1"/>
  <c r="AC130" i="2" a="1"/>
  <c r="Q48" i="2" a="1"/>
  <c r="O68" i="2" a="1"/>
  <c r="X70" i="2" a="1"/>
  <c r="K180" i="2" a="1"/>
  <c r="Q150" i="2" a="1"/>
  <c r="R208" i="2" a="1"/>
  <c r="I178" i="2" a="1"/>
  <c r="W350" i="2" a="1"/>
  <c r="Q281" i="2" a="1"/>
  <c r="J342" i="2" a="1"/>
  <c r="J220" i="2" a="1"/>
  <c r="M130" i="2" a="1"/>
  <c r="K148" i="2" a="1"/>
  <c r="AG58" i="2" a="1"/>
  <c r="K80" i="2" a="1"/>
  <c r="R68" i="2" a="1"/>
  <c r="H100" i="2" a="1"/>
  <c r="O200" i="2" a="1"/>
  <c r="M200" i="2" a="1"/>
  <c r="AI38" i="2" a="1"/>
  <c r="G230" i="2" a="1"/>
  <c r="G160" i="2" a="1"/>
  <c r="N128" i="2" a="1"/>
  <c r="K160" i="2" a="1"/>
  <c r="AJ128" i="2" a="1"/>
  <c r="L289" i="2" a="1"/>
  <c r="F279" i="2" a="1"/>
  <c r="K322" i="2" a="1"/>
  <c r="T148" i="2" a="1"/>
  <c r="H178" i="2" a="1"/>
  <c r="L29" i="2" a="1"/>
  <c r="N268" i="2" a="1"/>
  <c r="R301" i="2" a="1"/>
  <c r="J48" i="2" a="1"/>
  <c r="O218" i="2" a="1"/>
  <c r="AM38" i="2" a="1"/>
  <c r="Q40" i="2" a="1"/>
  <c r="M281" i="2" a="1"/>
  <c r="M48" i="2" a="1"/>
  <c r="O311" i="2" a="1"/>
  <c r="W130" i="2" a="1"/>
  <c r="T98" i="2" a="1"/>
  <c r="M29" i="2" a="1"/>
  <c r="O340" i="2" a="1"/>
  <c r="AC198" i="2" a="1"/>
  <c r="AS38" i="2" a="1"/>
  <c r="W29" i="2" a="1"/>
  <c r="S218" i="2" a="1"/>
  <c r="O258" i="2" a="1"/>
  <c r="F240" i="2" a="1"/>
  <c r="T268" i="2" a="1"/>
  <c r="J359" i="2" a="1"/>
  <c r="J361" i="2" a="1"/>
  <c r="W268" i="2" a="1"/>
  <c r="W270" i="2" a="1"/>
  <c r="O40" i="2" a="1"/>
  <c r="W150" i="2" a="1"/>
  <c r="V270" i="2" a="1"/>
  <c r="F208" i="2" a="1"/>
  <c r="AD60" i="2" a="1"/>
  <c r="R320" i="2" a="1"/>
  <c r="M260" i="2" a="1"/>
  <c r="AA120" i="2" a="1"/>
  <c r="AF340" i="2" a="1"/>
  <c r="H128" i="2" a="1"/>
  <c r="V238" i="2" a="1"/>
  <c r="V240" i="2" a="1"/>
  <c r="S90" i="2" a="1"/>
  <c r="W120" i="2" a="1"/>
  <c r="I60" i="2" a="1"/>
  <c r="H311" i="2" a="1"/>
  <c r="AE60" i="2" a="1"/>
  <c r="P78" i="2" a="1"/>
  <c r="J330" i="2" a="1"/>
  <c r="K78" i="2" a="1"/>
  <c r="O16" i="2" a="1"/>
  <c r="M311" i="2" a="1"/>
  <c r="F140" i="2" a="1"/>
  <c r="AA38" i="2" a="1"/>
  <c r="Q140" i="2" a="1"/>
  <c r="K352" i="2" a="1"/>
  <c r="Q279" i="2" a="1"/>
  <c r="K342" i="2" a="1"/>
  <c r="M128" i="2" a="1"/>
  <c r="M80" i="2" a="1"/>
  <c r="S29" i="2" a="1"/>
  <c r="M228" i="2" a="1"/>
  <c r="AE58" i="2" a="1"/>
  <c r="Y130" i="2" a="1"/>
  <c r="AF198" i="2" a="1"/>
  <c r="R210" i="2" a="1"/>
  <c r="H38" i="2" a="1"/>
  <c r="AL198" i="2" a="1"/>
  <c r="T248" i="2" a="1"/>
  <c r="T150" i="2" a="1"/>
  <c r="F100" i="2" a="1"/>
  <c r="M58" i="2" a="1"/>
  <c r="I268" i="2" a="1"/>
  <c r="R198" i="2" a="1"/>
  <c r="J200" i="2" a="1"/>
  <c r="O350" i="2" a="1"/>
  <c r="AE352" i="2" a="1"/>
  <c r="K361" i="2" a="1"/>
  <c r="Q240" i="2" a="1"/>
  <c r="S118" i="2" a="1"/>
  <c r="H58" i="2" a="1"/>
  <c r="J27" i="2" a="1"/>
  <c r="Q110" i="2" a="1"/>
  <c r="Q27" i="2" a="1"/>
  <c r="AA342" i="2" a="1"/>
  <c r="U60" i="2" a="1"/>
  <c r="AD128" i="2" a="1"/>
  <c r="F291" i="2" a="1"/>
  <c r="H250" i="2" a="1"/>
  <c r="S220" i="2" a="1"/>
  <c r="W27" i="2" a="1"/>
  <c r="Q250" i="2" a="1"/>
  <c r="J311" i="2" a="1"/>
  <c r="AH340" i="2" a="1"/>
  <c r="V309" i="2" a="1"/>
  <c r="N27" i="2" a="1"/>
  <c r="N228" i="2" a="1"/>
  <c r="T108" i="2" a="1"/>
  <c r="W148" i="2" a="1"/>
  <c r="F118" i="2" a="1"/>
  <c r="P200" i="2" a="1"/>
  <c r="P198" i="2" a="1"/>
  <c r="N108" i="2" a="1"/>
  <c r="AD58" i="2" a="1"/>
  <c r="M230" i="2" a="1"/>
  <c r="I210" i="2" a="1"/>
  <c r="AF342" i="2" a="1"/>
  <c r="L138" i="2" a="1"/>
  <c r="L140" i="2" a="1"/>
  <c r="S240" i="2" a="1"/>
  <c r="S238" i="2" a="1"/>
  <c r="K70" i="2" a="1"/>
  <c r="R29" i="2" a="1"/>
  <c r="M40" i="2" a="1"/>
  <c r="K208" i="2" a="1"/>
  <c r="K210" i="2" a="1"/>
  <c r="AA50" i="2" a="1"/>
  <c r="AF200" i="2" a="1"/>
  <c r="N120" i="2" a="1"/>
  <c r="V90" i="2" a="1"/>
  <c r="F281" i="2" a="1"/>
  <c r="AE118" i="2" a="1"/>
  <c r="J289" i="2" a="1"/>
  <c r="K332" i="2" a="1"/>
  <c r="R108" i="2" a="1"/>
  <c r="W100" i="2" a="1"/>
  <c r="F16" i="2" a="1"/>
  <c r="R200" i="2" a="1"/>
  <c r="AE350" i="2" a="1"/>
  <c r="T50" i="2" a="1"/>
  <c r="K60" i="2" a="1"/>
  <c r="O88" i="2" a="1"/>
  <c r="X27" i="2" a="1"/>
  <c r="J188" i="2" a="1"/>
  <c r="N330" i="2" a="1"/>
  <c r="G29" i="2" a="1"/>
  <c r="X100" i="2" a="1"/>
  <c r="K220" i="2" a="1"/>
  <c r="U238" i="2" a="1"/>
  <c r="H248" i="2" a="1"/>
  <c r="W238" i="2" a="1"/>
  <c r="G188" i="2" a="1"/>
  <c r="Q58" i="2" a="1"/>
  <c r="X118" i="2" a="1"/>
  <c r="X120" i="2" a="1"/>
  <c r="Y58" i="2" a="1"/>
  <c r="L240" i="2" a="1"/>
  <c r="M108" i="2" a="1"/>
  <c r="Q322" i="2" a="1"/>
  <c r="S148" i="2" a="1"/>
  <c r="J40" i="2" a="1"/>
  <c r="G198" i="2" a="1"/>
  <c r="O128" i="2" a="1"/>
  <c r="F230" i="2" a="1"/>
  <c r="I78" i="2" a="1"/>
  <c r="I88" i="2" a="1"/>
  <c r="I352" i="2" a="1"/>
  <c r="G270" i="2" a="1"/>
  <c r="I208" i="2" a="1"/>
  <c r="P180" i="2" a="1"/>
  <c r="AQ38" i="2" a="1"/>
  <c r="V301" i="2" a="1"/>
  <c r="AB27" i="2" a="1"/>
  <c r="J352" i="2" a="1"/>
  <c r="N160" i="2" a="1"/>
  <c r="H260" i="2" a="1"/>
  <c r="W250" i="2" a="1"/>
  <c r="Q50" i="2" a="1"/>
  <c r="F198" i="2" a="1"/>
  <c r="AA48" i="2" a="1"/>
  <c r="K16" i="2" a="1"/>
  <c r="O230" i="2" a="1"/>
  <c r="R170" i="2" a="1"/>
  <c r="H268" i="2" a="1"/>
  <c r="AA40" i="2" a="1"/>
  <c r="N301" i="2" a="1"/>
  <c r="F268" i="2" a="1"/>
  <c r="G60" i="2" a="1"/>
  <c r="O268" i="2" a="1"/>
  <c r="AC48" i="2" a="1"/>
  <c r="I301" i="2" a="1"/>
  <c r="AC50" i="2" a="1"/>
  <c r="I322" i="2" a="1"/>
  <c r="AH130" i="2" a="1"/>
  <c r="G40" i="2" a="1"/>
  <c r="R90" i="2" a="1"/>
  <c r="L291" i="2" a="1"/>
  <c r="F98" i="2" a="1"/>
  <c r="S200" i="2" a="1"/>
  <c r="H138" i="2" a="1"/>
  <c r="R299" i="2" a="1"/>
  <c r="AN38" i="2" a="1"/>
  <c r="U38" i="2" a="1"/>
  <c r="H228" i="2" a="1"/>
  <c r="L268" i="2" a="1"/>
  <c r="F238" i="2" a="1"/>
  <c r="F120" i="2" a="1"/>
  <c r="L90" i="2" a="1"/>
  <c r="H130" i="2" a="1"/>
  <c r="S270" i="2" a="1"/>
  <c r="P80" i="2" a="1"/>
  <c r="M220" i="2" a="1"/>
  <c r="K190" i="2" a="1"/>
  <c r="N16" i="2" a="1"/>
  <c r="Q98" i="2" a="1"/>
  <c r="AJ130" i="2" a="1"/>
  <c r="F250" i="2" a="1"/>
  <c r="AG198" i="2" a="1"/>
  <c r="O160" i="2" a="1"/>
  <c r="Y40" i="2" a="1"/>
  <c r="I50" i="2" a="1"/>
  <c r="J279" i="2" a="1"/>
  <c r="F150" i="2" a="1"/>
  <c r="M38" i="2" a="1"/>
  <c r="F108" i="2" a="1"/>
  <c r="G228" i="2" a="1"/>
  <c r="S27" i="2" a="1"/>
  <c r="Q138" i="2" a="1"/>
  <c r="H332" i="2" a="1"/>
  <c r="N320" i="2" a="1"/>
  <c r="O352" i="2" a="1"/>
  <c r="L218" i="2" a="1"/>
  <c r="AB58" i="2" a="1"/>
  <c r="J160" i="2" a="1"/>
  <c r="T110" i="2" a="1"/>
  <c r="R50" i="2" a="1"/>
  <c r="G268" i="2" a="1"/>
  <c r="I228" i="2" a="1"/>
  <c r="O260" i="2" a="1"/>
  <c r="V299" i="2" a="1"/>
  <c r="H98" i="2" a="1"/>
  <c r="Z60" i="2" a="1"/>
  <c r="L309" i="2" a="1"/>
  <c r="AL200" i="2" a="1"/>
  <c r="M60" i="2" a="1"/>
  <c r="L178" i="2" a="1"/>
  <c r="R70" i="2" a="1"/>
  <c r="H118" i="2" a="1"/>
  <c r="Q108" i="2" a="1"/>
  <c r="F48" i="2" a="1"/>
  <c r="O27" i="2" a="1"/>
  <c r="W299" i="2" a="1"/>
  <c r="T208" i="2" a="1"/>
  <c r="J98" i="2" a="1"/>
  <c r="O120" i="2" a="1"/>
  <c r="O361" i="2" a="1"/>
  <c r="N100" i="2" a="1"/>
  <c r="I100" i="2" a="1"/>
  <c r="G342" i="2" a="1"/>
  <c r="K98" i="2" a="1"/>
  <c r="S88" i="2" a="1"/>
  <c r="K29" i="2" a="1"/>
  <c r="AK198" i="2" a="1"/>
  <c r="AB352" i="2" a="1"/>
  <c r="U88" i="2" a="1"/>
  <c r="K150" i="2" a="1"/>
  <c r="Z29" i="2" a="1"/>
  <c r="H330" i="2" a="1"/>
  <c r="R128" i="2" a="1"/>
  <c r="G110" i="2" a="1"/>
  <c r="F270" i="2" a="1"/>
  <c r="R130" i="2" a="1"/>
  <c r="U90" i="2" a="1"/>
  <c r="H359" i="2" a="1"/>
  <c r="L70" i="2" a="1"/>
  <c r="S320" i="2" a="1"/>
  <c r="J50" i="2" a="1"/>
  <c r="K90" i="2" a="1"/>
  <c r="O180" i="2" a="1"/>
  <c r="S50" i="2" a="1"/>
  <c r="N322" i="2" a="1"/>
  <c r="R48" i="2" a="1"/>
  <c r="M138" i="2" a="1"/>
  <c r="F340" i="2" a="1"/>
  <c r="H258" i="2" a="1"/>
  <c r="AD38" i="2" a="1"/>
  <c r="AA27" i="2" a="1"/>
  <c r="L168" i="2" a="1"/>
  <c r="Y120" i="2" a="1"/>
  <c r="G108" i="2" a="1"/>
  <c r="L311" i="2" a="1"/>
  <c r="N18" i="2" a="1"/>
  <c r="L180" i="2" a="1"/>
  <c r="I180" i="2" a="1"/>
  <c r="M198" i="2" a="1"/>
  <c r="I48" i="2" a="1"/>
  <c r="P208" i="2" a="1"/>
  <c r="I350" i="2" a="1"/>
  <c r="P150" i="2" a="1"/>
  <c r="Q38" i="2" a="1"/>
  <c r="X98" i="2" a="1"/>
  <c r="V120" i="2" a="1"/>
  <c r="V311" i="2" a="1"/>
  <c r="N230" i="2" a="1"/>
  <c r="N110" i="2" a="1"/>
  <c r="L342" i="2" a="1"/>
  <c r="H309" i="2" a="1"/>
  <c r="X68" i="2" a="1"/>
  <c r="AC352" i="2" a="1"/>
  <c r="P210" i="2" a="1"/>
  <c r="G150" i="2" a="1"/>
  <c r="N210" i="2" a="1"/>
  <c r="Q208" i="2" a="1"/>
  <c r="N178" i="2" a="1"/>
  <c r="F148" i="2" a="1"/>
  <c r="J100" i="2" a="1"/>
  <c r="X248" i="2" a="1"/>
  <c r="K170" i="2" a="1"/>
  <c r="V268" i="2" a="1"/>
  <c r="O70" i="2" a="1"/>
  <c r="M279" i="2" a="1"/>
  <c r="H361" i="2" a="1"/>
  <c r="G322" i="2" a="1"/>
  <c r="U311" i="2" a="1"/>
  <c r="O130" i="2" a="1"/>
  <c r="F228" i="2" a="1"/>
  <c r="K100" i="2" a="1"/>
  <c r="H322" i="2" a="1"/>
  <c r="K18" i="2" a="1"/>
  <c r="O228" i="2" a="1"/>
  <c r="L281" i="2" a="1"/>
  <c r="S322" i="2" a="1"/>
  <c r="AK200" i="2" a="1"/>
  <c r="K158" i="2" a="1"/>
  <c r="W88" i="2" a="1"/>
  <c r="F359" i="2" a="1"/>
  <c r="Z342" i="2" a="1"/>
  <c r="L220" i="2" a="1"/>
  <c r="G190" i="2" a="1"/>
  <c r="M110" i="2" a="1"/>
  <c r="U98" i="2" a="1"/>
  <c r="J322" i="2" a="1"/>
  <c r="P178" i="2" a="1"/>
  <c r="I18" i="2" a="1"/>
  <c r="H352" i="2" a="1"/>
  <c r="G48" i="2" a="1"/>
  <c r="N258" i="2" a="1"/>
  <c r="I230" i="2" a="1"/>
  <c r="J281" i="2" a="1"/>
  <c r="T210" i="2" a="1"/>
  <c r="L279" i="2" a="1"/>
  <c r="K350" i="2" a="1"/>
  <c r="O220" i="2" a="1"/>
  <c r="AD40" i="2" a="1"/>
  <c r="I320" i="2" a="1"/>
  <c r="AB350" i="2" a="1"/>
  <c r="P88" i="2" a="1"/>
  <c r="Q29" i="2" a="1"/>
  <c r="N240" i="2" a="1"/>
  <c r="N88" i="2" a="1"/>
  <c r="I98" i="2" a="1"/>
  <c r="L340" i="2" a="1"/>
  <c r="O98" i="2" a="1"/>
  <c r="J350" i="2" a="1"/>
  <c r="L210" i="2" a="1"/>
  <c r="F110" i="2" a="1"/>
  <c r="V88" i="2" a="1"/>
  <c r="H140" i="2" a="1"/>
  <c r="J248" i="2" a="1"/>
  <c r="L250" i="2" a="1"/>
  <c r="F248" i="2" a="1"/>
  <c r="T270" i="2" a="1"/>
  <c r="F168" i="2" a="1"/>
  <c r="J78" i="2" a="1"/>
  <c r="P352" i="2" a="1"/>
  <c r="O78" i="2" a="1"/>
  <c r="J228" i="2" a="1"/>
  <c r="F322" i="2" a="1"/>
  <c r="W198" i="2" a="1"/>
  <c r="K138" i="2" a="1"/>
  <c r="I160" i="2" a="1"/>
  <c r="H70" i="2" a="1"/>
  <c r="G218" i="2" a="1"/>
  <c r="R352" i="2" a="1"/>
  <c r="W340" i="2" a="1"/>
  <c r="W342" i="2" a="1"/>
  <c r="I309" i="2" a="1"/>
  <c r="L352" i="2" a="1"/>
  <c r="L80" i="2" a="1"/>
  <c r="O58" i="2" a="1"/>
  <c r="AD352" i="2" a="1"/>
  <c r="T311" i="2" a="1"/>
  <c r="J138" i="2" a="1"/>
  <c r="G210" i="2" a="1"/>
  <c r="AC342" i="2" a="1"/>
  <c r="H80" i="2" a="1"/>
  <c r="M168" i="2" a="1"/>
  <c r="M170" i="2" a="1"/>
  <c r="F40" i="2" a="1"/>
  <c r="T128" i="2" a="1"/>
  <c r="R309" i="2" a="1"/>
  <c r="G299" i="2" a="1"/>
  <c r="O281" i="2" a="1"/>
  <c r="L160" i="2" a="1"/>
  <c r="L258" i="2" a="1"/>
  <c r="AH200" i="2" a="1"/>
  <c r="P108" i="2" a="1"/>
  <c r="Y50" i="2" a="1"/>
  <c r="AA352" i="2" a="1"/>
  <c r="Y250" i="2" a="1"/>
  <c r="G138" i="2" a="1"/>
  <c r="O138" i="2" a="1"/>
  <c r="S168" i="2" a="1"/>
  <c r="J178" i="2" a="1"/>
  <c r="L322" i="2" a="1"/>
  <c r="K38" i="2" a="1"/>
  <c r="G359" i="2" a="1"/>
  <c r="H168" i="2" a="1"/>
  <c r="I170" i="2" a="1"/>
  <c r="N80" i="2" a="1"/>
  <c r="R311" i="2" a="1"/>
  <c r="F80" i="2" a="1"/>
  <c r="N168" i="2" a="1"/>
  <c r="AA198" i="2" a="1"/>
  <c r="H188" i="2" a="1"/>
  <c r="P230" i="2" a="1"/>
  <c r="V130" i="2" a="1"/>
  <c r="Z200" i="2" a="1"/>
  <c r="G140" i="2" a="1"/>
  <c r="F88" i="2" a="1"/>
  <c r="AH58" i="2" a="1"/>
  <c r="P281" i="2" a="1"/>
  <c r="X350" i="2" a="1"/>
  <c r="V322" i="2" a="1"/>
  <c r="S108" i="2" a="1"/>
  <c r="H170" i="2" a="1"/>
  <c r="K40" i="2" a="1"/>
  <c r="Q350" i="2" a="1"/>
  <c r="I258" i="2" a="1"/>
  <c r="N359" i="2" a="1"/>
  <c r="H198" i="2" a="1"/>
  <c r="AD200" i="2" a="1"/>
  <c r="I250" i="2" a="1"/>
  <c r="H148" i="2" a="1"/>
  <c r="G301" i="2" a="1"/>
  <c r="U322" i="2" a="1"/>
  <c r="O80" i="2" a="1"/>
  <c r="AG128" i="2" a="1"/>
  <c r="Z350" i="2" a="1"/>
  <c r="M160" i="2" a="1"/>
  <c r="G18" i="2" a="1"/>
  <c r="AK38" i="2" a="1"/>
  <c r="M88" i="2" a="1"/>
  <c r="T322" i="2" a="1"/>
  <c r="N361" i="2" a="1"/>
  <c r="I70" i="2" a="1"/>
  <c r="I130" i="2" a="1"/>
  <c r="N138" i="2" a="1"/>
  <c r="V38" i="2" a="1"/>
  <c r="K108" i="2" a="1"/>
  <c r="F68" i="2" a="1"/>
  <c r="AD342" i="2" a="1"/>
  <c r="N170" i="2" a="1"/>
  <c r="K248" i="2" a="1"/>
  <c r="W200" i="2" a="1"/>
  <c r="H29" i="2" a="1"/>
  <c r="M330" i="2" a="1"/>
  <c r="G220" i="2" a="1"/>
  <c r="Q168" i="2" a="1"/>
  <c r="S58" i="2" a="1"/>
  <c r="I150" i="2" a="1"/>
  <c r="M150" i="2" a="1"/>
  <c r="I38" i="2" a="1"/>
  <c r="X60" i="2" a="1"/>
  <c r="J108" i="2" a="1"/>
  <c r="F220" i="2" a="1"/>
  <c r="AH60" i="2" a="1"/>
  <c r="Z48" i="2" a="1"/>
  <c r="O250" i="2" a="1"/>
  <c r="J148" i="2" a="1"/>
  <c r="H48" i="2" a="1"/>
  <c r="AE40" i="2" a="1"/>
  <c r="AC340" i="2" a="1"/>
  <c r="G238" i="2" a="1"/>
  <c r="P220" i="2" a="1"/>
  <c r="R98" i="2" a="1"/>
  <c r="H16" i="2" a="1"/>
  <c r="Z128" i="2" a="1"/>
  <c r="R60" i="2" a="1"/>
  <c r="AF58" i="2" a="1"/>
  <c r="M16" i="2" a="1"/>
  <c r="V352" i="2" a="1"/>
  <c r="N352" i="2" a="1"/>
  <c r="J270" i="2" a="1"/>
  <c r="K281" i="2" a="1"/>
  <c r="I128" i="2" a="1"/>
  <c r="L361" i="2" a="1"/>
  <c r="AJ198" i="2" a="1"/>
  <c r="U118" i="2" a="1"/>
  <c r="AE198" i="2" a="1"/>
  <c r="L320" i="2" a="1"/>
  <c r="L301" i="2" a="1"/>
  <c r="S210" i="2" a="1"/>
  <c r="H291" i="2" a="1"/>
  <c r="N248" i="2" a="1"/>
  <c r="U208" i="2" a="1"/>
  <c r="G361" i="2" a="1"/>
  <c r="AK40" i="2" a="1"/>
  <c r="M320" i="2" a="1"/>
  <c r="I260" i="2" a="1"/>
  <c r="Q299" i="2" a="1"/>
  <c r="AB342" i="2" a="1"/>
  <c r="H108" i="2" a="1"/>
  <c r="S98" i="2" a="1"/>
  <c r="J208" i="2" a="1"/>
  <c r="J90" i="2" a="1"/>
  <c r="G16" i="2" a="1"/>
  <c r="U250" i="2" a="1"/>
  <c r="Q311" i="2" a="1"/>
  <c r="AH40" i="2" a="1"/>
  <c r="N50" i="2" a="1"/>
  <c r="J18" i="2" a="1"/>
  <c r="V320" i="2" a="1"/>
  <c r="H27" i="2" a="1"/>
  <c r="T309" i="2" a="1"/>
  <c r="O289" i="2" a="1"/>
  <c r="H299" i="2" a="1"/>
  <c r="P110" i="2" a="1"/>
  <c r="U248" i="2" a="1"/>
  <c r="AE200" i="2" a="1"/>
  <c r="P320" i="2" a="1"/>
  <c r="J88" i="2" a="1"/>
  <c r="P40" i="2" a="1"/>
  <c r="AB50" i="2" a="1"/>
  <c r="S248" i="2" a="1"/>
  <c r="AF38" i="2" a="1"/>
  <c r="F332" i="2" a="1"/>
  <c r="R150" i="2" a="1"/>
  <c r="U352" i="2" a="1"/>
  <c r="Z40" i="2" a="1"/>
  <c r="AE342" i="2" a="1"/>
  <c r="S130" i="2" a="1"/>
  <c r="J230" i="2" a="1"/>
  <c r="AC29" i="2" a="1"/>
  <c r="T340" i="2" a="1"/>
  <c r="J301" i="2" a="1"/>
  <c r="O208" i="2" a="1"/>
  <c r="Q170" i="2" a="1"/>
  <c r="W40" i="2" a="1"/>
  <c r="V128" i="2" a="1"/>
  <c r="T58" i="2" a="1"/>
  <c r="P100" i="2" a="1"/>
  <c r="AB38" i="2" a="1"/>
  <c r="AF130" i="2" a="1"/>
  <c r="X40" i="2" a="1"/>
  <c r="AI130" i="2" a="1"/>
  <c r="T40" i="2" a="1"/>
  <c r="J150" i="2" a="1"/>
  <c r="O248" i="2" a="1"/>
  <c r="G208" i="2" a="1"/>
  <c r="T118" i="2" a="1"/>
  <c r="N342" i="2" a="1"/>
  <c r="F190" i="2" a="1"/>
  <c r="H238" i="2" a="1"/>
  <c r="L228" i="2" a="1"/>
  <c r="M158" i="2" a="1"/>
  <c r="R100" i="2" a="1"/>
  <c r="I68" i="2" a="1"/>
  <c r="H301" i="2" a="1"/>
  <c r="U68" i="2" a="1"/>
  <c r="K200" i="2" a="1"/>
  <c r="S350" i="2" a="1"/>
  <c r="AJ40" i="2" a="1"/>
  <c r="K48" i="2" a="1"/>
  <c r="H190" i="2" a="1"/>
  <c r="P240" i="2" a="1"/>
  <c r="AB340" i="2" a="1"/>
  <c r="L332" i="2" a="1"/>
  <c r="X352" i="2" a="1"/>
  <c r="S110" i="2" a="1"/>
  <c r="K268" i="2" a="1"/>
  <c r="K250" i="2" a="1"/>
  <c r="R38" i="2" a="1"/>
  <c r="AA350" i="2" a="1"/>
  <c r="W38" i="2" a="1"/>
  <c r="K198" i="2" a="1"/>
  <c r="K140" i="2" a="1"/>
  <c r="K50" i="2" a="1"/>
  <c r="AF40" i="2" a="1"/>
  <c r="AO38" i="2" a="1"/>
  <c r="U320" i="2" a="1"/>
  <c r="R220" i="2" a="1"/>
  <c r="T27" i="2" a="1"/>
  <c r="Q342" i="2" a="1"/>
  <c r="F58" i="2" a="1"/>
  <c r="K299" i="2" a="1"/>
  <c r="L260" i="2" a="1"/>
  <c r="P29" i="2" a="1"/>
  <c r="K118" i="2" a="1"/>
  <c r="F330" i="2" a="1"/>
  <c r="L100" i="2" a="1"/>
  <c r="AE340" i="2" a="1"/>
  <c r="Z38" i="2" a="1"/>
  <c r="M120" i="2" a="1"/>
  <c r="U350" i="2" a="1"/>
  <c r="H218" i="2" a="1"/>
  <c r="R218" i="2" a="1"/>
  <c r="J299" i="2" a="1"/>
  <c r="P68" i="2" a="1"/>
  <c r="M90" i="2" a="1"/>
  <c r="T60" i="2" a="1"/>
  <c r="I248" i="2" a="1"/>
  <c r="O301" i="2" a="1"/>
  <c r="V150" i="2" a="1"/>
  <c r="P98" i="2" a="1"/>
  <c r="G260" i="2" a="1"/>
  <c r="AP38" i="2" a="1"/>
  <c r="Z50" i="2" a="1"/>
  <c r="AI128" i="2" a="1"/>
  <c r="Q230" i="2" a="1"/>
  <c r="T240" i="2" a="1"/>
  <c r="U29" i="2" a="1"/>
  <c r="J140" i="2" a="1"/>
  <c r="R40" i="2" a="1"/>
  <c r="H158" i="2" a="1"/>
  <c r="S311" i="2" a="1"/>
  <c r="S309" i="2" a="1"/>
  <c r="P58" i="2" a="1"/>
  <c r="N48" i="2" a="1"/>
  <c r="R58" i="2" a="1"/>
  <c r="N68" i="2" a="1"/>
  <c r="L158" i="2" a="1"/>
  <c r="M208" i="2" a="1"/>
  <c r="P38" i="2" a="1"/>
  <c r="P279" i="2" a="1"/>
  <c r="AG340" i="2" a="1"/>
  <c r="Y48" i="2" a="1"/>
  <c r="O148" i="2" a="1"/>
  <c r="J16" i="2" a="1"/>
  <c r="G120" i="2" a="1"/>
  <c r="AJ200" i="2" a="1"/>
  <c r="F78" i="2" a="1"/>
  <c r="J180" i="2" a="1"/>
  <c r="Y350" i="2" a="1"/>
  <c r="P228" i="2" a="1"/>
  <c r="Q88" i="2" a="1"/>
  <c r="H342" i="2" a="1"/>
  <c r="U120" i="2" a="1"/>
  <c r="R138" i="2" a="1"/>
  <c r="P218" i="2" a="1"/>
  <c r="Q220" i="2" a="1"/>
  <c r="O48" i="2" a="1"/>
  <c r="F170" i="2" a="1"/>
  <c r="F218" i="2" a="1"/>
  <c r="U50" i="2" a="1"/>
  <c r="L120" i="2" a="1"/>
  <c r="S128" i="2" a="1"/>
  <c r="AF128" i="2" a="1"/>
  <c r="P270" i="2" a="1"/>
  <c r="AO40" i="2" a="1"/>
  <c r="M322" i="2" a="1"/>
  <c r="O299" i="2" a="1"/>
  <c r="T130" i="2" a="1"/>
  <c r="K270" i="2" a="1"/>
  <c r="O279" i="2" a="1"/>
  <c r="L359" i="2" a="1"/>
  <c r="AR40" i="2" a="1"/>
  <c r="Q90" i="2" a="1"/>
  <c r="AC27" i="2" a="1"/>
  <c r="G350" i="2" a="1"/>
  <c r="F188" i="2" a="1"/>
  <c r="M210" i="2" a="1"/>
  <c r="N60" i="2" a="1"/>
  <c r="L350" i="2" a="1"/>
  <c r="P238" i="2" a="1"/>
  <c r="I281" i="2" a="1"/>
  <c r="I148" i="2" a="1"/>
  <c r="AI198" i="2" a="1"/>
  <c r="N70" i="2" a="1"/>
  <c r="M301" i="2" a="1"/>
  <c r="N140" i="2" a="1"/>
  <c r="L78" i="2" a="1"/>
  <c r="G70" i="2" a="1"/>
  <c r="P350" i="2" a="1"/>
  <c r="J80" i="2" a="1"/>
  <c r="AD198" i="2" a="1"/>
  <c r="I168" i="2" a="1"/>
  <c r="L98" i="2" a="1"/>
  <c r="N58" i="2" a="1"/>
  <c r="H220" i="2" a="1"/>
  <c r="V29" i="2" a="1"/>
  <c r="H110" i="2" a="1"/>
  <c r="I158" i="2" a="1"/>
  <c r="Q340" i="2" a="1"/>
  <c r="AK342" i="2" a="1"/>
  <c r="AK340" i="2" a="1"/>
  <c r="I240" i="2" a="1"/>
  <c r="I238" i="2" a="1"/>
  <c r="G352" i="2" a="1"/>
  <c r="I40" i="2" a="1"/>
  <c r="X38" i="2" a="1"/>
  <c r="G258" i="2" a="1"/>
  <c r="V98" i="2" a="1"/>
  <c r="H90" i="2" a="1"/>
  <c r="T238" i="2" a="1"/>
  <c r="U340" i="2" a="1"/>
  <c r="AE38" i="2" a="1"/>
  <c r="J120" i="2" a="1"/>
  <c r="G128" i="2" a="1"/>
  <c r="Z118" i="2" a="1"/>
  <c r="X340" i="2" a="1"/>
  <c r="H18" i="2" a="1"/>
  <c r="AJ342" i="2" a="1"/>
  <c r="R270" i="2" a="1"/>
  <c r="G68" i="2" a="1"/>
  <c r="S250" i="2" a="1"/>
  <c r="AH198" i="2" a="1"/>
  <c r="S352" i="2" a="1"/>
  <c r="AA58" i="2" a="1"/>
  <c r="AA60" i="2" a="1"/>
  <c r="V250" i="2" a="1"/>
  <c r="N250" i="2" a="1"/>
  <c r="P27" i="2" a="1"/>
  <c r="L108" i="2" a="1"/>
  <c r="J210" i="2" a="1"/>
  <c r="Z352" i="2" a="1"/>
  <c r="AF60" i="2" a="1"/>
  <c r="S299" i="2" a="1"/>
  <c r="S60" i="2" a="1"/>
  <c r="T320" i="2" a="1"/>
  <c r="Z120" i="2" a="1"/>
  <c r="G240" i="2" a="1"/>
  <c r="U70" i="2" a="1"/>
  <c r="M332" i="2" a="1"/>
  <c r="U27" i="2" a="1"/>
  <c r="AB118" i="2" a="1"/>
  <c r="AA200" i="2" a="1"/>
  <c r="L118" i="2" a="1"/>
  <c r="L330" i="2" a="1"/>
  <c r="W70" i="2" a="1"/>
  <c r="O320" i="2" a="1"/>
  <c r="AJ38" i="2" a="1"/>
  <c r="O50" i="2" a="1"/>
  <c r="V27" i="2" a="1"/>
  <c r="V100" i="2" a="1"/>
  <c r="Z130" i="2" a="1"/>
  <c r="Y352" i="2" a="1"/>
  <c r="P311" i="2" a="1"/>
  <c r="W322" i="2" a="1"/>
  <c r="H78" i="2" a="1"/>
  <c r="H200" i="2" a="1"/>
  <c r="K301" i="2" a="1"/>
  <c r="O291" i="2" a="1"/>
  <c r="O238" i="2" a="1"/>
  <c r="K120" i="2" a="1"/>
  <c r="Q309" i="2" a="1"/>
  <c r="M118" i="2" a="1"/>
  <c r="I279" i="2" a="1"/>
  <c r="F90" i="2" a="1"/>
  <c r="M289" i="2" a="1"/>
  <c r="P309" i="2" a="1"/>
  <c r="M291" i="2" a="1"/>
  <c r="O210" i="2" a="1"/>
  <c r="W68" i="2" a="1"/>
  <c r="S100" i="2" a="1"/>
  <c r="H68" i="2" a="1"/>
  <c r="M148" i="2" a="1"/>
  <c r="R350" i="2" a="1"/>
  <c r="V148" i="2" a="1"/>
  <c r="I311" i="2" a="1"/>
  <c r="AP40" i="2" a="1"/>
  <c r="R140" i="2" a="1"/>
  <c r="W320" i="2" a="1"/>
  <c r="O60" i="2" a="1"/>
  <c r="AI200" i="2" a="1"/>
  <c r="U342" i="2" a="1"/>
  <c r="AH38" i="2" a="1"/>
  <c r="T120" i="2" a="1"/>
  <c r="H150" i="2" a="1"/>
  <c r="H160" i="2" a="1"/>
  <c r="N340" i="2" a="1"/>
  <c r="L230" i="2" a="1"/>
  <c r="H240" i="2" a="1"/>
  <c r="AJ340" i="2" a="1"/>
  <c r="F38" i="2" a="1"/>
  <c r="I29" i="2" a="1"/>
  <c r="R268" i="2" a="1"/>
  <c r="AM198" i="2" a="1"/>
  <c r="P268" i="2" a="1"/>
  <c r="N350" i="2" a="1"/>
  <c r="F60" i="2" a="1"/>
  <c r="K279" i="2" a="1"/>
  <c r="J268" i="2" a="1"/>
  <c r="V248" i="2" a="1"/>
  <c r="O150" i="2" a="1"/>
  <c r="O140" i="2" a="1"/>
  <c r="M299" i="2" a="1"/>
  <c r="F299" i="2" a="1"/>
  <c r="N150" i="2" a="1"/>
  <c r="L299" i="2" a="1"/>
  <c r="H289" i="2" a="1"/>
  <c r="F320" i="2" a="1"/>
  <c r="Q228" i="2" a="1"/>
  <c r="G118" i="2" a="1"/>
  <c r="AD340" i="2" a="1"/>
  <c r="X58" i="2" a="1"/>
  <c r="G130" i="2" a="1"/>
  <c r="AG342" i="2" a="1"/>
  <c r="K110" i="2" a="1"/>
  <c r="AB40" i="2" a="1"/>
  <c r="X342" i="2" a="1"/>
  <c r="O108" i="2" a="1"/>
  <c r="P322" i="2" a="1"/>
  <c r="T38" i="2" a="1"/>
  <c r="AM200" i="2" a="1"/>
  <c r="V40" i="2" a="1"/>
  <c r="J110" i="2" a="1"/>
  <c r="AB120" i="2" a="1"/>
  <c r="H88" i="2" a="1"/>
  <c r="Q301" i="2" a="1"/>
  <c r="O110" i="2" a="1"/>
  <c r="L110" i="2" a="1"/>
  <c r="O322" i="2" a="1"/>
  <c r="I27" i="2" a="1"/>
  <c r="U210" i="2" a="1"/>
  <c r="F70" i="2" a="1"/>
  <c r="AG130" i="2" a="1"/>
  <c r="M18" i="2" a="1"/>
  <c r="O240" i="2" a="1"/>
  <c r="P70" i="2" a="1"/>
  <c r="S301" i="2" a="1"/>
  <c r="N78" i="2" a="1"/>
  <c r="N148" i="2" a="1"/>
  <c r="AD350" i="2" a="1"/>
  <c r="Z198" i="2" a="1"/>
  <c r="S170" i="2" a="1"/>
  <c r="Q352" i="2" a="1"/>
  <c r="H50" i="2" a="1"/>
  <c r="Q218" i="2" a="1"/>
  <c r="T342" i="2" a="1"/>
  <c r="U48" i="2" a="1"/>
  <c r="P60" i="2" a="1"/>
  <c r="R148" i="2" a="1"/>
  <c r="AB48" i="2" a="1"/>
  <c r="J118" i="2" a="1"/>
  <c r="V350" i="2" a="1"/>
  <c r="Y248" i="2" a="1"/>
  <c r="F301" i="2" a="1"/>
  <c r="S208" i="2" a="1"/>
  <c r="AR38" i="2" a="1"/>
  <c r="T29" i="2" a="1"/>
  <c r="H340" i="2" a="1"/>
  <c r="F29" i="2" a="1"/>
  <c r="M180" i="2" a="1"/>
  <c r="V70" i="2" a="1"/>
  <c r="I118" i="2" a="1"/>
  <c r="P299" i="2" a="1"/>
  <c r="Q68" i="2" a="1"/>
  <c r="F311" i="2" a="1"/>
  <c r="P48" i="2" a="1"/>
  <c r="G281" i="2" a="1"/>
  <c r="E235" i="2" a="1"/>
  <c r="G43" i="4" a="1"/>
  <c r="G31" i="4" a="1"/>
  <c r="G13" i="4" a="1"/>
  <c r="E135" i="2" a="1"/>
  <c r="G22" i="4" a="1"/>
  <c r="E347" i="2" a="1"/>
  <c r="G34" i="4" a="1"/>
  <c r="G32" i="4" a="1"/>
  <c r="Q178" i="2" a="1"/>
  <c r="E95" i="2" a="1"/>
  <c r="E125" i="2" a="1"/>
  <c r="E85" i="2" a="1"/>
  <c r="M178" i="2" a="1"/>
  <c r="U299" i="2" a="1"/>
  <c r="T90" i="2" a="1"/>
  <c r="I359" i="2" a="1"/>
  <c r="R250" i="2" a="1"/>
  <c r="I120" i="2" a="1"/>
  <c r="AD118" i="2" a="1"/>
  <c r="M270" i="2" a="1"/>
  <c r="M361" i="2" a="1"/>
  <c r="G29" i="4" a="1"/>
  <c r="E175" i="2" a="1"/>
  <c r="E306" i="2" a="1"/>
  <c r="G45" i="4" a="1"/>
  <c r="E255" i="2" a="1"/>
  <c r="E215" i="2" a="1"/>
  <c r="G30" i="4" a="1"/>
  <c r="E265" i="2" a="1"/>
  <c r="G15" i="4" a="1"/>
  <c r="AG38" i="2" a="1"/>
  <c r="G180" i="2" a="1"/>
  <c r="G178" i="2" a="1"/>
  <c r="U301" i="2" a="1"/>
  <c r="S38" i="2" a="1"/>
  <c r="S40" i="2" a="1"/>
  <c r="M238" i="2" a="1"/>
  <c r="U198" i="2" a="1"/>
  <c r="K240" i="2" a="1"/>
  <c r="Q180" i="2" a="1"/>
  <c r="F352" i="2" a="1"/>
  <c r="G20" i="4" a="1"/>
  <c r="E35" i="2" a="1"/>
  <c r="G12" i="4" a="1"/>
  <c r="G36" i="4" a="1"/>
  <c r="E245" i="2" a="1"/>
  <c r="E317" i="2" a="1"/>
  <c r="E155" i="2" a="1"/>
  <c r="G23" i="4" a="1"/>
  <c r="G17" i="4" a="1"/>
  <c r="E276" i="2" a="1"/>
  <c r="E115" i="2" a="1"/>
  <c r="E24" i="2" a="1"/>
  <c r="L40" i="2" a="1"/>
  <c r="O168" i="2" a="1"/>
  <c r="Q130" i="2" a="1"/>
  <c r="V68" i="2" a="1"/>
  <c r="R240" i="2" a="1"/>
  <c r="R238" i="2" a="1"/>
  <c r="Y198" i="2" a="1"/>
  <c r="F258" i="2" a="1"/>
  <c r="E55" i="2" a="1"/>
  <c r="G19" i="4" a="1"/>
  <c r="E45" i="2" a="1"/>
  <c r="G40" i="4" a="1"/>
  <c r="AL40" i="2" a="1"/>
  <c r="AG40" i="2" a="1"/>
  <c r="G42" i="4" a="1"/>
  <c r="E225" i="2" a="1"/>
  <c r="E286" i="2" a="1"/>
  <c r="F309" i="2" a="1"/>
  <c r="G41" i="4" a="1"/>
  <c r="G18" i="4" a="1"/>
  <c r="AB200" i="2" a="1"/>
  <c r="AC38" i="2" a="1"/>
  <c r="Q128" i="2" a="1"/>
  <c r="U200" i="2" a="1"/>
  <c r="G170" i="2" a="1"/>
  <c r="N281" i="2" a="1"/>
  <c r="P50" i="2" a="1"/>
  <c r="E205" i="2" a="1"/>
  <c r="E185" i="2" a="1"/>
  <c r="G35" i="4" a="1"/>
  <c r="G10" i="4" a="1"/>
  <c r="E296" i="2" a="1"/>
  <c r="G25" i="4" a="1"/>
  <c r="G44" i="4" a="1"/>
  <c r="G16" i="4" a="1"/>
  <c r="E145" i="2" a="1"/>
  <c r="G21" i="4" a="1"/>
  <c r="R248" i="2" a="1"/>
  <c r="E195" i="2" a="1"/>
  <c r="G27" i="4" a="1"/>
  <c r="E13" i="2" a="1"/>
  <c r="E65" i="2" a="1"/>
  <c r="G279" i="2" a="1"/>
  <c r="E356" i="2" a="1"/>
  <c r="M268" i="2" a="1"/>
  <c r="G37" i="4" a="1"/>
  <c r="Y29" i="2" a="1"/>
  <c r="F27" i="2" a="1"/>
  <c r="I361" i="2" a="1"/>
  <c r="G168" i="2" a="1"/>
  <c r="AD120" i="2" a="1"/>
  <c r="M359" i="2" a="1"/>
  <c r="Y200" i="2" a="1"/>
  <c r="G26" i="4" a="1"/>
  <c r="G33" i="4" a="1"/>
  <c r="E337" i="2" a="1"/>
  <c r="F260" i="2" a="1"/>
  <c r="G11" i="4" a="1"/>
  <c r="G24" i="4" a="1"/>
  <c r="L38" i="2" a="1"/>
  <c r="G14" i="4" a="1"/>
  <c r="Q70" i="2" a="1"/>
  <c r="T88" i="2" a="1"/>
  <c r="Y27" i="2" a="1"/>
  <c r="X130" i="2" a="1"/>
  <c r="AL38" i="2" a="1"/>
  <c r="K238" i="2" a="1"/>
  <c r="I200" i="2" a="1"/>
  <c r="J170" i="2" a="1"/>
  <c r="N279" i="2" a="1"/>
  <c r="E75" i="2" a="1"/>
  <c r="AF352" i="2" a="1"/>
  <c r="AC40" i="2" a="1"/>
  <c r="AB198" i="2" a="1"/>
  <c r="AF350" i="2" a="1"/>
  <c r="X128" i="2" a="1"/>
  <c r="I198" i="2" a="1"/>
  <c r="M240" i="2" a="1"/>
  <c r="F350" i="2" a="1"/>
  <c r="J168" i="2" a="1"/>
  <c r="G28" i="4" a="1"/>
  <c r="G39" i="4" a="1"/>
  <c r="E105" i="2" a="1"/>
  <c r="E327" i="2" a="1"/>
  <c r="G38" i="4" a="1"/>
  <c r="O170" i="2" a="1"/>
  <c r="P301" i="2" a="1"/>
  <c r="E165" i="2" a="1"/>
  <c r="G8" i="1" a="1"/>
  <c r="Z98" i="2" a="1"/>
  <c r="Z279" i="2" a="1"/>
  <c r="Z168" i="2" a="1"/>
  <c r="Y359" i="2" a="1"/>
  <c r="Y228" i="2" a="1"/>
  <c r="Y108" i="2" a="1"/>
  <c r="X258" i="2" a="1"/>
  <c r="X138" i="2" a="1"/>
  <c r="W218" i="2" a="1"/>
  <c r="V359" i="2" a="1"/>
  <c r="V168" i="2" a="1"/>
  <c r="U258" i="2" a="1"/>
  <c r="T359" i="2" a="1"/>
  <c r="T16" i="2" a="1"/>
  <c r="S188" i="2" a="1"/>
  <c r="R258" i="2" a="1"/>
  <c r="Q258" i="2" a="1"/>
  <c r="P158" i="2" a="1"/>
  <c r="BA58" i="2" a="1"/>
  <c r="BA289" i="2" a="1"/>
  <c r="BA198" i="2" a="1"/>
  <c r="BA108" i="2" a="1"/>
  <c r="AZ340" i="2" a="1"/>
  <c r="AZ248" i="2" a="1"/>
  <c r="AZ158" i="2" a="1"/>
  <c r="AY58" i="2" a="1"/>
  <c r="AY289" i="2" a="1"/>
  <c r="AY198" i="2" a="1"/>
  <c r="AY108" i="2" a="1"/>
  <c r="AX340" i="2" a="1"/>
  <c r="AX248" i="2" a="1"/>
  <c r="AX158" i="2" a="1"/>
  <c r="AW58" i="2" a="1"/>
  <c r="AW289" i="2" a="1"/>
  <c r="AW198" i="2" a="1"/>
  <c r="AW108" i="2" a="1"/>
  <c r="AV340" i="2" a="1"/>
  <c r="AV248" i="2" a="1"/>
  <c r="AV158" i="2" a="1"/>
  <c r="AU58" i="2" a="1"/>
  <c r="Z88" i="2" a="1"/>
  <c r="Z268" i="2" a="1"/>
  <c r="Z16" i="2" a="1"/>
  <c r="Y330" i="2" a="1"/>
  <c r="Y218" i="2" a="1"/>
  <c r="X88" i="2" a="1"/>
  <c r="X228" i="2" a="1"/>
  <c r="X108" i="2" a="1"/>
  <c r="W208" i="2" a="1"/>
  <c r="V330" i="2" a="1"/>
  <c r="V16" i="2" a="1"/>
  <c r="U228" i="2" a="1"/>
  <c r="T330" i="2" a="1"/>
  <c r="T158" i="2" a="1"/>
  <c r="S178" i="2" a="1"/>
  <c r="R228" i="2" a="1"/>
  <c r="Q188" i="2" a="1"/>
  <c r="O330" i="2" a="1"/>
  <c r="BA48" i="2" a="1"/>
  <c r="BA279" i="2" a="1"/>
  <c r="BA188" i="2" a="1"/>
  <c r="AZ98" i="2" a="1"/>
  <c r="AZ330" i="2" a="1"/>
  <c r="AZ238" i="2" a="1"/>
  <c r="AZ148" i="2" a="1"/>
  <c r="AY48" i="2" a="1"/>
  <c r="AY279" i="2" a="1"/>
  <c r="AY188" i="2" a="1"/>
  <c r="AX98" i="2" a="1"/>
  <c r="AX330" i="2" a="1"/>
  <c r="AX238" i="2" a="1"/>
  <c r="AX148" i="2" a="1"/>
  <c r="AW48" i="2" a="1"/>
  <c r="AW279" i="2" a="1"/>
  <c r="AW188" i="2" a="1"/>
  <c r="AV98" i="2" a="1"/>
  <c r="AV330" i="2" a="1"/>
  <c r="AV238" i="2" a="1"/>
  <c r="AV148" i="2" a="1"/>
  <c r="AU48" i="2" a="1"/>
  <c r="AU279" i="2" a="1"/>
  <c r="AU188" i="2" a="1"/>
  <c r="AT98" i="2" a="1"/>
  <c r="Z78" i="2" a="1"/>
  <c r="Z258" i="2" a="1"/>
  <c r="Z158" i="2" a="1"/>
  <c r="Y320" i="2" a="1"/>
  <c r="Y208" i="2" a="1"/>
  <c r="X78" i="2" a="1"/>
  <c r="X218" i="2" a="1"/>
  <c r="W78" i="2" a="1"/>
  <c r="W188" i="2" a="1"/>
  <c r="V289" i="2" a="1"/>
  <c r="V158" i="2" a="1"/>
  <c r="U218" i="2" a="1"/>
  <c r="T289" i="2" a="1"/>
  <c r="T138" i="2" a="1"/>
  <c r="S16" i="2" a="1"/>
  <c r="R188" i="2" a="1"/>
  <c r="Q16" i="2" a="1"/>
  <c r="O188" i="2" a="1"/>
  <c r="BA38" i="2" a="1"/>
  <c r="BA27" i="2" a="1"/>
  <c r="BA178" i="2" a="1"/>
  <c r="AZ88" i="2" a="1"/>
  <c r="AZ320" i="2" a="1"/>
  <c r="AZ228" i="2" a="1"/>
  <c r="AZ138" i="2" a="1"/>
  <c r="Z68" i="2" a="1"/>
  <c r="Z248" i="2" a="1"/>
  <c r="Z148" i="2" a="1"/>
  <c r="Y309" i="2" a="1"/>
  <c r="Y188" i="2" a="1"/>
  <c r="X359" i="2" a="1"/>
  <c r="X208" i="2" a="1"/>
  <c r="W359" i="2" a="1"/>
  <c r="W178" i="2" a="1"/>
  <c r="V279" i="2" a="1"/>
  <c r="V138" i="2" a="1"/>
  <c r="U188" i="2" a="1"/>
  <c r="T279" i="2" a="1"/>
  <c r="S78" i="2" a="1"/>
  <c r="S158" i="2" a="1"/>
  <c r="R178" i="2" a="1"/>
  <c r="Q158" i="2" a="1"/>
  <c r="N188" i="2" a="1"/>
  <c r="BA359" i="2" a="1"/>
  <c r="BA268" i="2" a="1"/>
  <c r="BA168" i="2" a="1"/>
  <c r="AZ78" i="2" a="1"/>
  <c r="AZ309" i="2" a="1"/>
  <c r="AZ218" i="2" a="1"/>
  <c r="AZ128" i="2" a="1"/>
  <c r="AY359" i="2" a="1"/>
  <c r="AY268" i="2" a="1"/>
  <c r="AY168" i="2" a="1"/>
  <c r="AX78" i="2" a="1"/>
  <c r="AX309" i="2" a="1"/>
  <c r="AX218" i="2" a="1"/>
  <c r="Z359" i="2" a="1"/>
  <c r="Z238" i="2" a="1"/>
  <c r="Z138" i="2" a="1"/>
  <c r="Y299" i="2" a="1"/>
  <c r="Y178" i="2" a="1"/>
  <c r="X330" i="2" a="1"/>
  <c r="X188" i="2" a="1"/>
  <c r="W330" i="2" a="1"/>
  <c r="W168" i="2" a="1"/>
  <c r="V258" i="2" a="1"/>
  <c r="V108" i="2" a="1"/>
  <c r="U178" i="2" a="1"/>
  <c r="T258" i="2" a="1"/>
  <c r="S359" i="2" a="1"/>
  <c r="S138" i="2" a="1"/>
  <c r="R16" i="2" a="1"/>
  <c r="P359" i="2" a="1"/>
  <c r="M188" i="2" a="1"/>
  <c r="BA350" i="2" a="1"/>
  <c r="BA258" i="2" a="1"/>
  <c r="BA16" i="2" a="1"/>
  <c r="AZ68" i="2" a="1"/>
  <c r="AZ299" i="2" a="1"/>
  <c r="AZ208" i="2" a="1"/>
  <c r="AZ118" i="2" a="1"/>
  <c r="AY350" i="2" a="1"/>
  <c r="Z330" i="2" a="1"/>
  <c r="Z228" i="2" a="1"/>
  <c r="Z108" i="2" a="1"/>
  <c r="Y289" i="2" a="1"/>
  <c r="Y168" i="2" a="1"/>
  <c r="X320" i="2" a="1"/>
  <c r="X178" i="2" a="1"/>
  <c r="W309" i="2" a="1"/>
  <c r="W16" i="2" a="1"/>
  <c r="V228" i="2" a="1"/>
  <c r="U78" i="2" a="1"/>
  <c r="U168" i="2" a="1"/>
  <c r="T228" i="2" a="1"/>
  <c r="S330" i="2" a="1"/>
  <c r="R78" i="2" a="1"/>
  <c r="R158" i="2" a="1"/>
  <c r="P330" i="2" a="1"/>
  <c r="L188" i="2" a="1"/>
  <c r="BA340" i="2" a="1"/>
  <c r="Z320" i="2" a="1"/>
  <c r="Z218" i="2" a="1"/>
  <c r="Y98" i="2" a="1"/>
  <c r="Y279" i="2" a="1"/>
  <c r="Y16" i="2" a="1"/>
  <c r="X309" i="2" a="1"/>
  <c r="X168" i="2" a="1"/>
  <c r="W289" i="2" a="1"/>
  <c r="W158" i="2" a="1"/>
  <c r="V218" i="2" a="1"/>
  <c r="U359" i="2" a="1"/>
  <c r="U16" i="2" a="1"/>
  <c r="T218" i="2" a="1"/>
  <c r="S289" i="2" a="1"/>
  <c r="R359" i="2" a="1"/>
  <c r="Q78" i="2" a="1"/>
  <c r="Z309" i="2" a="1"/>
  <c r="Z208" i="2" a="1"/>
  <c r="Y88" i="2" a="1"/>
  <c r="Y268" i="2" a="1"/>
  <c r="Y158" i="2" a="1"/>
  <c r="X289" i="2" a="1"/>
  <c r="X16" i="2" a="1"/>
  <c r="W279" i="2" a="1"/>
  <c r="W138" i="2" a="1"/>
  <c r="V208" i="2" a="1"/>
  <c r="U330" i="2" a="1"/>
  <c r="U158" i="2" a="1"/>
  <c r="T188" i="2" a="1"/>
  <c r="S279" i="2" a="1"/>
  <c r="R330" i="2" a="1"/>
  <c r="Q359" i="2" a="1"/>
  <c r="Z299" i="2" a="1"/>
  <c r="Z188" i="2" a="1"/>
  <c r="Y78" i="2" a="1"/>
  <c r="Y258" i="2" a="1"/>
  <c r="Y148" i="2" a="1"/>
  <c r="X279" i="2" a="1"/>
  <c r="X158" i="2" a="1"/>
  <c r="W258" i="2" a="1"/>
  <c r="W108" i="2" a="1"/>
  <c r="V188" i="2" a="1"/>
  <c r="U289" i="2" a="1"/>
  <c r="U138" i="2" a="1"/>
  <c r="T178" i="2" a="1"/>
  <c r="S258" i="2" a="1"/>
  <c r="R289" i="2" a="1"/>
  <c r="Z289" i="2" a="1"/>
  <c r="Z178" i="2" a="1"/>
  <c r="Y68" i="2" a="1"/>
  <c r="Y238" i="2" a="1"/>
  <c r="Y138" i="2" a="1"/>
  <c r="X268" i="2" a="1"/>
  <c r="X148" i="2" a="1"/>
  <c r="W228" i="2" a="1"/>
  <c r="V78" i="2" a="1"/>
  <c r="V178" i="2" a="1"/>
  <c r="U279" i="2" a="1"/>
  <c r="T78" i="2" a="1"/>
  <c r="T168" i="2" a="1"/>
  <c r="S228" i="2" a="1"/>
  <c r="P258" i="2" a="1"/>
  <c r="BA218" i="2" a="1"/>
  <c r="AZ27" i="2" a="1"/>
  <c r="AY330" i="2" a="1"/>
  <c r="AY138" i="2" a="1"/>
  <c r="AX258" i="2" a="1"/>
  <c r="AW218" i="2" a="1"/>
  <c r="AV38" i="2" a="1"/>
  <c r="AV188" i="2" a="1"/>
  <c r="AU350" i="2" a="1"/>
  <c r="AT58" i="2" a="1"/>
  <c r="AT128" i="2" a="1"/>
  <c r="AS178" i="2" a="1"/>
  <c r="AR359" i="2" a="1"/>
  <c r="AR248" i="2" a="1"/>
  <c r="AR138" i="2" a="1"/>
  <c r="AQ208" i="2" a="1"/>
  <c r="AP309" i="2" a="1"/>
  <c r="AP198" i="2" a="1"/>
  <c r="AO289" i="2" a="1"/>
  <c r="AN78" i="2" a="1"/>
  <c r="AM68" i="2" a="1"/>
  <c r="AM158" i="2" a="1"/>
  <c r="AL258" i="2" a="1"/>
  <c r="AL138" i="2" a="1"/>
  <c r="AK330" i="2" a="1"/>
  <c r="AK218" i="2" a="1"/>
  <c r="AJ299" i="2" a="1"/>
  <c r="AJ178" i="2" a="1"/>
  <c r="AI268" i="2" a="1"/>
  <c r="AI158" i="2" a="1"/>
  <c r="AH248" i="2" a="1"/>
  <c r="P188" i="2" a="1"/>
  <c r="BA208" i="2" a="1"/>
  <c r="AZ268" i="2" a="1"/>
  <c r="AY128" i="2" a="1"/>
  <c r="AW38" i="2" a="1"/>
  <c r="AW208" i="2" a="1"/>
  <c r="AU340" i="2" a="1"/>
  <c r="AU208" i="2" a="1"/>
  <c r="AT48" i="2" a="1"/>
  <c r="AT258" i="2" a="1"/>
  <c r="AT118" i="2" a="1"/>
  <c r="AS299" i="2" a="1"/>
  <c r="AS168" i="2" a="1"/>
  <c r="AR128" i="2" a="1"/>
  <c r="AQ330" i="2" a="1"/>
  <c r="AP98" i="2" a="1"/>
  <c r="AO88" i="2" a="1"/>
  <c r="AO178" i="2" a="1"/>
  <c r="AN279" i="2" a="1"/>
  <c r="AN168" i="2" a="1"/>
  <c r="AM58" i="2" a="1"/>
  <c r="AM268" i="2" a="1"/>
  <c r="AL359" i="2" a="1"/>
  <c r="AL248" i="2" a="1"/>
  <c r="AK320" i="2" a="1"/>
  <c r="AJ98" i="2" a="1"/>
  <c r="AI58" i="2" a="1"/>
  <c r="AH350" i="2" a="1"/>
  <c r="AH138" i="2" a="1"/>
  <c r="AG330" i="2" a="1"/>
  <c r="AG238" i="2" a="1"/>
  <c r="AG138" i="2" a="1"/>
  <c r="AF320" i="2" a="1"/>
  <c r="AF228" i="2" a="1"/>
  <c r="AF118" i="2" a="1"/>
  <c r="AE309" i="2" a="1"/>
  <c r="AE218" i="2" a="1"/>
  <c r="AD98" i="2" a="1"/>
  <c r="AD289" i="2" a="1"/>
  <c r="AD188" i="2" a="1"/>
  <c r="AC78" i="2" a="1"/>
  <c r="AC258" i="2" a="1"/>
  <c r="AC158" i="2" a="1"/>
  <c r="AB320" i="2" a="1"/>
  <c r="AB218" i="2" a="1"/>
  <c r="AA98" i="2" a="1"/>
  <c r="AA279" i="2" a="1"/>
  <c r="AA168" i="2" a="1"/>
  <c r="Z332" i="2" a="1"/>
  <c r="Z230" i="2" a="1"/>
  <c r="Z110" i="2" a="1"/>
  <c r="Y291" i="2" a="1"/>
  <c r="Y18" i="2" a="1"/>
  <c r="X332" i="2" a="1"/>
  <c r="X190" i="2" a="1"/>
  <c r="W332" i="2" a="1"/>
  <c r="W18" i="2" a="1"/>
  <c r="V260" i="2" a="1"/>
  <c r="V110" i="2" a="1"/>
  <c r="U180" i="2" a="1"/>
  <c r="T260" i="2" a="1"/>
  <c r="S361" i="2" a="1"/>
  <c r="S140" i="2" a="1"/>
  <c r="R18" i="2" a="1"/>
  <c r="P361" i="2" a="1"/>
  <c r="P16" i="2" a="1"/>
  <c r="AZ258" i="2" a="1"/>
  <c r="AY320" i="2" a="1"/>
  <c r="AY118" i="2" a="1"/>
  <c r="AX228" i="2" a="1"/>
  <c r="AW359" i="2" a="1"/>
  <c r="AV359" i="2" a="1"/>
  <c r="AV178" i="2" a="1"/>
  <c r="AU330" i="2" a="1"/>
  <c r="AT108" i="2" a="1"/>
  <c r="AS16" i="2" a="1"/>
  <c r="AR350" i="2" a="1"/>
  <c r="AR238" i="2" a="1"/>
  <c r="AQ320" i="2" a="1"/>
  <c r="AQ198" i="2" a="1"/>
  <c r="AP299" i="2" a="1"/>
  <c r="AP188" i="2" a="1"/>
  <c r="AO78" i="2" a="1"/>
  <c r="AO279" i="2" a="1"/>
  <c r="AN68" i="2" a="1"/>
  <c r="AN27" i="2" a="1"/>
  <c r="AM48" i="2" a="1"/>
  <c r="AM148" i="2" a="1"/>
  <c r="AL128" i="2" a="1"/>
  <c r="AK208" i="2" a="1"/>
  <c r="AJ289" i="2" a="1"/>
  <c r="AJ168" i="2" a="1"/>
  <c r="AI48" i="2" a="1"/>
  <c r="AI258" i="2" a="1"/>
  <c r="AI148" i="2" a="1"/>
  <c r="AH238" i="2" a="1"/>
  <c r="BA158" i="2" a="1"/>
  <c r="AY309" i="2" a="1"/>
  <c r="AX208" i="2" a="1"/>
  <c r="AW350" i="2" a="1"/>
  <c r="AW178" i="2" a="1"/>
  <c r="AV350" i="2" a="1"/>
  <c r="AU198" i="2" a="1"/>
  <c r="AT38" i="2" a="1"/>
  <c r="AT248" i="2" a="1"/>
  <c r="AS98" i="2" a="1"/>
  <c r="AS289" i="2" a="1"/>
  <c r="AS158" i="2" a="1"/>
  <c r="AR118" i="2" a="1"/>
  <c r="AQ309" i="2" a="1"/>
  <c r="AP88" i="2" a="1"/>
  <c r="AP289" i="2" a="1"/>
  <c r="AO68" i="2" a="1"/>
  <c r="AO168" i="2" a="1"/>
  <c r="AN16" i="2" a="1"/>
  <c r="AM258" i="2" a="1"/>
  <c r="AL350" i="2" a="1"/>
  <c r="AL238" i="2" a="1"/>
  <c r="AL118" i="2" a="1"/>
  <c r="AK309" i="2" a="1"/>
  <c r="AJ88" i="2" a="1"/>
  <c r="AJ279" i="2" a="1"/>
  <c r="AH330" i="2" a="1"/>
  <c r="AH118" i="2" a="1"/>
  <c r="AG320" i="2" a="1"/>
  <c r="AG228" i="2" a="1"/>
  <c r="AG118" i="2" a="1"/>
  <c r="AF309" i="2" a="1"/>
  <c r="AF218" i="2" a="1"/>
  <c r="BA98" i="2" a="1"/>
  <c r="BA148" i="2" a="1"/>
  <c r="AZ198" i="2" a="1"/>
  <c r="AY299" i="2" a="1"/>
  <c r="AX88" i="2" a="1"/>
  <c r="AX198" i="2" a="1"/>
  <c r="AW340" i="2" a="1"/>
  <c r="AW168" i="2" a="1"/>
  <c r="AV168" i="2" a="1"/>
  <c r="AU320" i="2" a="1"/>
  <c r="AU178" i="2" a="1"/>
  <c r="AT238" i="2" a="1"/>
  <c r="AS148" i="2" a="1"/>
  <c r="AR340" i="2" a="1"/>
  <c r="AR228" i="2" a="1"/>
  <c r="AQ299" i="2" a="1"/>
  <c r="AQ188" i="2" a="1"/>
  <c r="AP178" i="2" a="1"/>
  <c r="AO27" i="2" a="1"/>
  <c r="AN58" i="2" a="1"/>
  <c r="AN268" i="2" a="1"/>
  <c r="AN158" i="2" a="1"/>
  <c r="AM359" i="2" a="1"/>
  <c r="AM138" i="2" a="1"/>
  <c r="AL340" i="2" a="1"/>
  <c r="AL108" i="2" a="1"/>
  <c r="AK188" i="2" a="1"/>
  <c r="AJ16" i="2" a="1"/>
  <c r="AI359" i="2" a="1"/>
  <c r="AI248" i="2" a="1"/>
  <c r="AI138" i="2" a="1"/>
  <c r="AH228" i="2" a="1"/>
  <c r="AZ188" i="2" a="1"/>
  <c r="AX68" i="2" a="1"/>
  <c r="AX188" i="2" a="1"/>
  <c r="AW330" i="2" a="1"/>
  <c r="AW16" i="2" a="1"/>
  <c r="AV320" i="2" a="1"/>
  <c r="AV16" i="2" a="1"/>
  <c r="AU168" i="2" a="1"/>
  <c r="AT359" i="2" a="1"/>
  <c r="AT228" i="2" a="1"/>
  <c r="AS88" i="2" a="1"/>
  <c r="AS279" i="2" a="1"/>
  <c r="AS138" i="2" a="1"/>
  <c r="AR218" i="2" a="1"/>
  <c r="AR108" i="2" a="1"/>
  <c r="AP78" i="2" a="1"/>
  <c r="AP279" i="2" a="1"/>
  <c r="AP168" i="2" a="1"/>
  <c r="AO58" i="2" a="1"/>
  <c r="AO16" i="2" a="1"/>
  <c r="AN48" i="2" a="1"/>
  <c r="AN148" i="2" a="1"/>
  <c r="AM248" i="2" a="1"/>
  <c r="AL228" i="2" a="1"/>
  <c r="AK299" i="2" a="1"/>
  <c r="AJ78" i="2" a="1"/>
  <c r="AJ27" i="2" a="1"/>
  <c r="AJ158" i="2" a="1"/>
  <c r="AH320" i="2" a="1"/>
  <c r="AH108" i="2" a="1"/>
  <c r="AG309" i="2" a="1"/>
  <c r="AG218" i="2" a="1"/>
  <c r="AG108" i="2" a="1"/>
  <c r="AF299" i="2" a="1"/>
  <c r="AF208" i="2" a="1"/>
  <c r="AE98" i="2" a="1"/>
  <c r="BA88" i="2" a="1"/>
  <c r="BA138" i="2" a="1"/>
  <c r="AY27" i="2" a="1"/>
  <c r="AX58" i="2" a="1"/>
  <c r="AW158" i="2" a="1"/>
  <c r="AV309" i="2" a="1"/>
  <c r="AU309" i="2" a="1"/>
  <c r="AU16" i="2" a="1"/>
  <c r="AT218" i="2" a="1"/>
  <c r="AS27" i="2" a="1"/>
  <c r="AR330" i="2" a="1"/>
  <c r="AQ98" i="2" a="1"/>
  <c r="AQ289" i="2" a="1"/>
  <c r="AQ178" i="2" a="1"/>
  <c r="AP68" i="2" a="1"/>
  <c r="AP16" i="2" a="1"/>
  <c r="AO268" i="2" a="1"/>
  <c r="AN258" i="2" a="1"/>
  <c r="AM350" i="2" a="1"/>
  <c r="AM128" i="2" a="1"/>
  <c r="AL330" i="2" a="1"/>
  <c r="AL218" i="2" a="1"/>
  <c r="AK98" i="2" a="1"/>
  <c r="AK178" i="2" a="1"/>
  <c r="AJ68" i="2" a="1"/>
  <c r="AJ148" i="2" a="1"/>
  <c r="AI350" i="2" a="1"/>
  <c r="AI238" i="2" a="1"/>
  <c r="AI118" i="2" a="1"/>
  <c r="AH218" i="2" a="1"/>
  <c r="BA78" i="2" a="1"/>
  <c r="BA128" i="2" a="1"/>
  <c r="AZ178" i="2" a="1"/>
  <c r="AY258" i="2" a="1"/>
  <c r="AX48" i="2" a="1"/>
  <c r="AX178" i="2" a="1"/>
  <c r="AW320" i="2" a="1"/>
  <c r="AW148" i="2" a="1"/>
  <c r="AV299" i="2" a="1"/>
  <c r="AV138" i="2" a="1"/>
  <c r="AU158" i="2" a="1"/>
  <c r="AT350" i="2" a="1"/>
  <c r="AT208" i="2" a="1"/>
  <c r="AS78" i="2" a="1"/>
  <c r="AS268" i="2" a="1"/>
  <c r="AS128" i="2" a="1"/>
  <c r="AR208" i="2" a="1"/>
  <c r="AQ88" i="2" a="1"/>
  <c r="AP27" i="2" a="1"/>
  <c r="AO48" i="2" a="1"/>
  <c r="AO158" i="2" a="1"/>
  <c r="AN359" i="2" a="1"/>
  <c r="AN248" i="2" a="1"/>
  <c r="AN138" i="2" a="1"/>
  <c r="AM238" i="2" a="1"/>
  <c r="AM118" i="2" a="1"/>
  <c r="AL208" i="2" a="1"/>
  <c r="AK289" i="2" a="1"/>
  <c r="AJ268" i="2" a="1"/>
  <c r="AH309" i="2" a="1"/>
  <c r="AG98" i="2" a="1"/>
  <c r="AG299" i="2" a="1"/>
  <c r="AG208" i="2" a="1"/>
  <c r="AF98" i="2" a="1"/>
  <c r="AF289" i="2" a="1"/>
  <c r="AF188" i="2" a="1"/>
  <c r="AE88" i="2" a="1"/>
  <c r="AE279" i="2" a="1"/>
  <c r="AE178" i="2" a="1"/>
  <c r="AD68" i="2" a="1"/>
  <c r="AD268" i="2" a="1"/>
  <c r="AD16" i="2" a="1"/>
  <c r="AC330" i="2" a="1"/>
  <c r="AC228" i="2" a="1"/>
  <c r="AC108" i="2" a="1"/>
  <c r="AB289" i="2" a="1"/>
  <c r="AB178" i="2" a="1"/>
  <c r="AA68" i="2" a="1"/>
  <c r="AA248" i="2" a="1"/>
  <c r="AA148" i="2" a="1"/>
  <c r="BA68" i="2" a="1"/>
  <c r="BA118" i="2" a="1"/>
  <c r="AZ168" i="2" a="1"/>
  <c r="AY248" i="2" a="1"/>
  <c r="AX168" i="2" a="1"/>
  <c r="AV289" i="2" a="1"/>
  <c r="AV128" i="2" a="1"/>
  <c r="AU299" i="2" a="1"/>
  <c r="AU148" i="2" a="1"/>
  <c r="AT198" i="2" a="1"/>
  <c r="AS258" i="2" a="1"/>
  <c r="AR320" i="2" a="1"/>
  <c r="AQ78" i="2" a="1"/>
  <c r="AQ279" i="2" a="1"/>
  <c r="AQ168" i="2" a="1"/>
  <c r="AP58" i="2" a="1"/>
  <c r="AP268" i="2" a="1"/>
  <c r="AP158" i="2" a="1"/>
  <c r="AO258" i="2" a="1"/>
  <c r="AO148" i="2" a="1"/>
  <c r="AN238" i="2" a="1"/>
  <c r="AM340" i="2" a="1"/>
  <c r="AL320" i="2" a="1"/>
  <c r="AK88" i="2" a="1"/>
  <c r="AK168" i="2" a="1"/>
  <c r="AJ58" i="2" a="1"/>
  <c r="AJ258" i="2" a="1"/>
  <c r="AJ138" i="2" a="1"/>
  <c r="AI330" i="2" a="1"/>
  <c r="AI228" i="2" a="1"/>
  <c r="AI108" i="2" a="1"/>
  <c r="AH208" i="2" a="1"/>
  <c r="AZ16" i="2" a="1"/>
  <c r="AY238" i="2" a="1"/>
  <c r="AX38" i="2" a="1"/>
  <c r="AX16" i="2" a="1"/>
  <c r="AW309" i="2" a="1"/>
  <c r="AW138" i="2" a="1"/>
  <c r="AV279" i="2" a="1"/>
  <c r="AV118" i="2" a="1"/>
  <c r="AT340" i="2" a="1"/>
  <c r="AT188" i="2" a="1"/>
  <c r="AS68" i="2" a="1"/>
  <c r="AS248" i="2" a="1"/>
  <c r="AS118" i="2" a="1"/>
  <c r="AR309" i="2" a="1"/>
  <c r="AR198" i="2" a="1"/>
  <c r="AQ16" i="2" a="1"/>
  <c r="AP258" i="2" a="1"/>
  <c r="AO359" i="2" a="1"/>
  <c r="AN350" i="2" a="1"/>
  <c r="AN128" i="2" a="1"/>
  <c r="AM228" i="2" a="1"/>
  <c r="AM108" i="2" a="1"/>
  <c r="AL309" i="2" a="1"/>
  <c r="AL188" i="2" a="1"/>
  <c r="AK279" i="2" a="1"/>
  <c r="AK16" i="2" a="1"/>
  <c r="AJ248" i="2" a="1"/>
  <c r="AH299" i="2" a="1"/>
  <c r="AH188" i="2" a="1"/>
  <c r="AG88" i="2" a="1"/>
  <c r="AG289" i="2" a="1"/>
  <c r="AG188" i="2" a="1"/>
  <c r="AF88" i="2" a="1"/>
  <c r="AF279" i="2" a="1"/>
  <c r="AF178" i="2" a="1"/>
  <c r="AE78" i="2" a="1"/>
  <c r="AE27" i="2" a="1"/>
  <c r="AE168" i="2" a="1"/>
  <c r="AD48" i="2" a="1"/>
  <c r="AD258" i="2" a="1"/>
  <c r="AD158" i="2" a="1"/>
  <c r="AC320" i="2" a="1"/>
  <c r="AC218" i="2" a="1"/>
  <c r="AB98" i="2" a="1"/>
  <c r="AB279" i="2" a="1"/>
  <c r="AB168" i="2" a="1"/>
  <c r="AA359" i="2" a="1"/>
  <c r="AA238" i="2" a="1"/>
  <c r="AA138" i="2" a="1"/>
  <c r="Z291" i="2" a="1"/>
  <c r="Z180" i="2" a="1"/>
  <c r="Y70" i="2" a="1"/>
  <c r="Y240" i="2" a="1"/>
  <c r="Y140" i="2" a="1"/>
  <c r="BA330" i="2" a="1"/>
  <c r="AZ58" i="2" a="1"/>
  <c r="AX359" i="2" a="1"/>
  <c r="AW299" i="2" a="1"/>
  <c r="AV108" i="2" a="1"/>
  <c r="AU289" i="2" a="1"/>
  <c r="AU138" i="2" a="1"/>
  <c r="AT330" i="2" a="1"/>
  <c r="AS238" i="2" a="1"/>
  <c r="AR188" i="2" a="1"/>
  <c r="AQ68" i="2" a="1"/>
  <c r="AQ27" i="2" a="1"/>
  <c r="AP48" i="2" a="1"/>
  <c r="AP148" i="2" a="1"/>
  <c r="AO248" i="2" a="1"/>
  <c r="AO138" i="2" a="1"/>
  <c r="AN340" i="2" a="1"/>
  <c r="AN228" i="2" a="1"/>
  <c r="AM330" i="2" a="1"/>
  <c r="AM218" i="2" a="1"/>
  <c r="AL299" i="2" a="1"/>
  <c r="AK78" i="2" a="1"/>
  <c r="AJ48" i="2" a="1"/>
  <c r="AJ118" i="2" a="1"/>
  <c r="AI320" i="2" a="1"/>
  <c r="AI218" i="2" a="1"/>
  <c r="AH98" i="2" a="1"/>
  <c r="AH289" i="2" a="1"/>
  <c r="AZ48" i="2" a="1"/>
  <c r="AZ108" i="2" a="1"/>
  <c r="AY228" i="2" a="1"/>
  <c r="AX350" i="2" a="1"/>
  <c r="AX138" i="2" a="1"/>
  <c r="AW128" i="2" a="1"/>
  <c r="AV27" i="2" a="1"/>
  <c r="AU98" i="2" a="1"/>
  <c r="AU27" i="2" a="1"/>
  <c r="AT320" i="2" a="1"/>
  <c r="AT178" i="2" a="1"/>
  <c r="AS58" i="2" a="1"/>
  <c r="AS228" i="2" a="1"/>
  <c r="AS108" i="2" a="1"/>
  <c r="AR299" i="2" a="1"/>
  <c r="AR178" i="2" a="1"/>
  <c r="AQ158" i="2" a="1"/>
  <c r="AP359" i="2" a="1"/>
  <c r="AP248" i="2" a="1"/>
  <c r="AO350" i="2" a="1"/>
  <c r="AO238" i="2" a="1"/>
  <c r="AN330" i="2" a="1"/>
  <c r="AN118" i="2" a="1"/>
  <c r="AL98" i="2" a="1"/>
  <c r="AL178" i="2" a="1"/>
  <c r="AK27" i="2" a="1"/>
  <c r="AK158" i="2" a="1"/>
  <c r="AJ359" i="2" a="1"/>
  <c r="AJ238" i="2" a="1"/>
  <c r="AH88" i="2" a="1"/>
  <c r="AH178" i="2" a="1"/>
  <c r="AG78" i="2" a="1"/>
  <c r="AG279" i="2" a="1"/>
  <c r="AG178" i="2" a="1"/>
  <c r="AF78" i="2" a="1"/>
  <c r="AF27" i="2" a="1"/>
  <c r="AF168" i="2" a="1"/>
  <c r="AE68" i="2" a="1"/>
  <c r="AE268" i="2" a="1"/>
  <c r="AE16" i="2" a="1"/>
  <c r="AD359" i="2" a="1"/>
  <c r="AD248" i="2" a="1"/>
  <c r="AD148" i="2" a="1"/>
  <c r="AC309" i="2" a="1"/>
  <c r="AC208" i="2" a="1"/>
  <c r="AB88" i="2" a="1"/>
  <c r="AB268" i="2" a="1"/>
  <c r="AB16" i="2" a="1"/>
  <c r="AA330" i="2" a="1"/>
  <c r="AA228" i="2" a="1"/>
  <c r="AA108" i="2" a="1"/>
  <c r="Z281" i="2" a="1"/>
  <c r="BA320" i="2" a="1"/>
  <c r="AY98" i="2" a="1"/>
  <c r="AY218" i="2" a="1"/>
  <c r="AX128" i="2" a="1"/>
  <c r="AW27" i="2" a="1"/>
  <c r="AW118" i="2" a="1"/>
  <c r="AU268" i="2" a="1"/>
  <c r="AU128" i="2" a="1"/>
  <c r="AT309" i="2" a="1"/>
  <c r="AS48" i="2" a="1"/>
  <c r="AR168" i="2" a="1"/>
  <c r="AQ58" i="2" a="1"/>
  <c r="AQ268" i="2" a="1"/>
  <c r="AP350" i="2" a="1"/>
  <c r="AP138" i="2" a="1"/>
  <c r="AO128" i="2" a="1"/>
  <c r="AN218" i="2" a="1"/>
  <c r="AM320" i="2" a="1"/>
  <c r="AM208" i="2" a="1"/>
  <c r="AL88" i="2" a="1"/>
  <c r="AL289" i="2" a="1"/>
  <c r="AK68" i="2" a="1"/>
  <c r="AK268" i="2" a="1"/>
  <c r="AJ350" i="2" a="1"/>
  <c r="AJ108" i="2" a="1"/>
  <c r="AI309" i="2" a="1"/>
  <c r="AI208" i="2" a="1"/>
  <c r="AH279" i="2" a="1"/>
  <c r="BA309" i="2" a="1"/>
  <c r="AZ38" i="2" a="1"/>
  <c r="AY208" i="2" a="1"/>
  <c r="AX320" i="2" a="1"/>
  <c r="AX118" i="2" a="1"/>
  <c r="AW268" i="2" a="1"/>
  <c r="AV268" i="2" a="1"/>
  <c r="AU88" i="2" a="1"/>
  <c r="AU258" i="2" a="1"/>
  <c r="AT299" i="2" a="1"/>
  <c r="AT168" i="2" a="1"/>
  <c r="AS359" i="2" a="1"/>
  <c r="AS218" i="2" a="1"/>
  <c r="AR98" i="2" a="1"/>
  <c r="AR289" i="2" a="1"/>
  <c r="AQ258" i="2" a="1"/>
  <c r="AQ148" i="2" a="1"/>
  <c r="AP238" i="2" a="1"/>
  <c r="AO340" i="2" a="1"/>
  <c r="AO228" i="2" a="1"/>
  <c r="AO118" i="2" a="1"/>
  <c r="AN320" i="2" a="1"/>
  <c r="AN108" i="2" a="1"/>
  <c r="AM309" i="2" a="1"/>
  <c r="AL78" i="2" a="1"/>
  <c r="AL168" i="2" a="1"/>
  <c r="AK148" i="2" a="1"/>
  <c r="R279" i="2" a="1"/>
  <c r="BA299" i="2" a="1"/>
  <c r="AZ359" i="2" a="1"/>
  <c r="AY88" i="2" a="1"/>
  <c r="AX299" i="2" a="1"/>
  <c r="AX108" i="2" a="1"/>
  <c r="AW258" i="2" a="1"/>
  <c r="AV88" i="2" a="1"/>
  <c r="AV258" i="2" a="1"/>
  <c r="AU248" i="2" a="1"/>
  <c r="AU118" i="2" a="1"/>
  <c r="AT289" i="2" a="1"/>
  <c r="AS350" i="2" a="1"/>
  <c r="AR88" i="2" a="1"/>
  <c r="AR279" i="2" a="1"/>
  <c r="AR16" i="2" a="1"/>
  <c r="AQ48" i="2" a="1"/>
  <c r="AQ138" i="2" a="1"/>
  <c r="AP340" i="2" a="1"/>
  <c r="AP128" i="2" a="1"/>
  <c r="AO330" i="2" a="1"/>
  <c r="AO108" i="2" a="1"/>
  <c r="AN208" i="2" a="1"/>
  <c r="AM188" i="2" a="1"/>
  <c r="AL279" i="2" a="1"/>
  <c r="AK58" i="2" a="1"/>
  <c r="AK258" i="2" a="1"/>
  <c r="AK138" i="2" a="1"/>
  <c r="AJ330" i="2" a="1"/>
  <c r="AI98" i="2" a="1"/>
  <c r="AI299" i="2" a="1"/>
  <c r="AH27" i="2" a="1"/>
  <c r="AZ350" i="2" a="1"/>
  <c r="AY78" i="2" a="1"/>
  <c r="AY178" i="2" a="1"/>
  <c r="AX289" i="2" a="1"/>
  <c r="AW98" i="2" a="1"/>
  <c r="AW248" i="2" a="1"/>
  <c r="AV78" i="2" a="1"/>
  <c r="AU78" i="2" a="1"/>
  <c r="AU238" i="2" a="1"/>
  <c r="AT279" i="2" a="1"/>
  <c r="AT16" i="2" a="1"/>
  <c r="AS340" i="2" a="1"/>
  <c r="AS208" i="2" a="1"/>
  <c r="AR27" i="2" a="1"/>
  <c r="AQ248" i="2" a="1"/>
  <c r="AQ128" i="2" a="1"/>
  <c r="AP228" i="2" a="1"/>
  <c r="AO218" i="2" a="1"/>
  <c r="AN309" i="2" a="1"/>
  <c r="AM98" i="2" a="1"/>
  <c r="AM299" i="2" a="1"/>
  <c r="AM178" i="2" a="1"/>
  <c r="AL68" i="2" a="1"/>
  <c r="AL16" i="2" a="1"/>
  <c r="AK48" i="2" a="1"/>
  <c r="AK128" i="2" a="1"/>
  <c r="AJ218" i="2" a="1"/>
  <c r="AI289" i="2" a="1"/>
  <c r="AI178" i="2" a="1"/>
  <c r="AH68" i="2" a="1"/>
  <c r="AH16" i="2" a="1"/>
  <c r="AG48" i="2" a="1"/>
  <c r="AG268" i="2" a="1"/>
  <c r="AG16" i="2" a="1"/>
  <c r="AF48" i="2" a="1"/>
  <c r="AF258" i="2" a="1"/>
  <c r="AF158" i="2" a="1"/>
  <c r="AE359" i="2" a="1"/>
  <c r="AE248" i="2" a="1"/>
  <c r="AE148" i="2" a="1"/>
  <c r="AD320" i="2" a="1"/>
  <c r="AD228" i="2" a="1"/>
  <c r="AD108" i="2" a="1"/>
  <c r="AC289" i="2" a="1"/>
  <c r="Q330" i="2" a="1"/>
  <c r="BA248" i="2" a="1"/>
  <c r="AY68" i="2" a="1"/>
  <c r="AY16" i="2" a="1"/>
  <c r="AX279" i="2" a="1"/>
  <c r="AW238" i="2" a="1"/>
  <c r="AV68" i="2" a="1"/>
  <c r="AV228" i="2" a="1"/>
  <c r="AU68" i="2" a="1"/>
  <c r="AU108" i="2" a="1"/>
  <c r="AS330" i="2" a="1"/>
  <c r="AR78" i="2" a="1"/>
  <c r="AR268" i="2" a="1"/>
  <c r="AR158" i="2" a="1"/>
  <c r="AQ359" i="2" a="1"/>
  <c r="AP330" i="2" a="1"/>
  <c r="AP118" i="2" a="1"/>
  <c r="AO320" i="2" a="1"/>
  <c r="AO208" i="2" a="1"/>
  <c r="AN98" i="2" a="1"/>
  <c r="AN198" i="2" a="1"/>
  <c r="AM88" i="2" a="1"/>
  <c r="AM168" i="2" a="1"/>
  <c r="AL27" i="2" a="1"/>
  <c r="AK248" i="2" a="1"/>
  <c r="AJ320" i="2" a="1"/>
  <c r="AI88" i="2" a="1"/>
  <c r="AH268" i="2" a="1"/>
  <c r="Q289" i="2" a="1"/>
  <c r="BA238" i="2" a="1"/>
  <c r="AZ289" i="2" a="1"/>
  <c r="AY158" i="2" a="1"/>
  <c r="AW88" i="2" a="1"/>
  <c r="AV58" i="2" a="1"/>
  <c r="AV218" i="2" a="1"/>
  <c r="AU228" i="2" a="1"/>
  <c r="AT88" i="2" a="1"/>
  <c r="AT27" i="2" a="1"/>
  <c r="AT158" i="2" a="1"/>
  <c r="AS320" i="2" a="1"/>
  <c r="AS198" i="2" a="1"/>
  <c r="AR68" i="2" a="1"/>
  <c r="AQ350" i="2" a="1"/>
  <c r="AQ238" i="2" a="1"/>
  <c r="AQ118" i="2" a="1"/>
  <c r="AP218" i="2" a="1"/>
  <c r="AP108" i="2" a="1"/>
  <c r="AO198" i="2" a="1"/>
  <c r="AN299" i="2" a="1"/>
  <c r="AM289" i="2" a="1"/>
  <c r="AL58" i="2" a="1"/>
  <c r="AL158" i="2" a="1"/>
  <c r="AK359" i="2" a="1"/>
  <c r="AK238" i="2" a="1"/>
  <c r="AK118" i="2" a="1"/>
  <c r="AJ208" i="2" a="1"/>
  <c r="AI78" i="2" a="1"/>
  <c r="AI279" i="2" a="1"/>
  <c r="AI168" i="2" a="1"/>
  <c r="AH48" i="2" a="1"/>
  <c r="AH158" i="2" a="1"/>
  <c r="AG359" i="2" a="1"/>
  <c r="AG258" i="2" a="1"/>
  <c r="AG158" i="2" a="1"/>
  <c r="AF359" i="2" a="1"/>
  <c r="AF248" i="2" a="1"/>
  <c r="AF148" i="2" a="1"/>
  <c r="AZ279" i="2" a="1"/>
  <c r="AY38" i="2" a="1"/>
  <c r="AY148" i="2" a="1"/>
  <c r="AX27" i="2" a="1"/>
  <c r="AW78" i="2" a="1"/>
  <c r="AW228" i="2" a="1"/>
  <c r="AV48" i="2" a="1"/>
  <c r="AV208" i="2" a="1"/>
  <c r="AU38" i="2" a="1"/>
  <c r="AT78" i="2" a="1"/>
  <c r="AT148" i="2" a="1"/>
  <c r="AR58" i="2" a="1"/>
  <c r="AR258" i="2" a="1"/>
  <c r="AR148" i="2" a="1"/>
  <c r="AQ228" i="2" a="1"/>
  <c r="AP320" i="2" a="1"/>
  <c r="AO309" i="2" a="1"/>
  <c r="AN88" i="2" a="1"/>
  <c r="AN188" i="2" a="1"/>
  <c r="AM78" i="2" a="1"/>
  <c r="AM279" i="2" a="1"/>
  <c r="AM16" i="2" a="1"/>
  <c r="AL268" i="2" a="1"/>
  <c r="AL148" i="2" a="1"/>
  <c r="AK228" i="2" a="1"/>
  <c r="AJ309" i="2" a="1"/>
  <c r="AI16" i="2" a="1"/>
  <c r="AH258" i="2" a="1"/>
  <c r="P289" i="2" a="1"/>
  <c r="BA228" i="2" a="1"/>
  <c r="AY340" i="2" a="1"/>
  <c r="AX268" i="2" a="1"/>
  <c r="AW68" i="2" a="1"/>
  <c r="AV198" i="2" a="1"/>
  <c r="AU359" i="2" a="1"/>
  <c r="AU218" i="2" a="1"/>
  <c r="AT68" i="2" a="1"/>
  <c r="AT268" i="2" a="1"/>
  <c r="AT138" i="2" a="1"/>
  <c r="AS309" i="2" a="1"/>
  <c r="AS188" i="2" a="1"/>
  <c r="AR48" i="2" a="1"/>
  <c r="AQ340" i="2" a="1"/>
  <c r="AQ218" i="2" a="1"/>
  <c r="AQ108" i="2" a="1"/>
  <c r="AP208" i="2" a="1"/>
  <c r="AO98" i="2" a="1"/>
  <c r="AO299" i="2" a="1"/>
  <c r="AO188" i="2" a="1"/>
  <c r="AN289" i="2" a="1"/>
  <c r="AN178" i="2" a="1"/>
  <c r="AM27" i="2" a="1"/>
  <c r="AL48" i="2" a="1"/>
  <c r="AK350" i="2" a="1"/>
  <c r="AK108" i="2" a="1"/>
  <c r="AJ188" i="2" a="1"/>
  <c r="AI68" i="2" a="1"/>
  <c r="AI27" i="2" a="1"/>
  <c r="AH359" i="2" a="1"/>
  <c r="AH148" i="2" a="1"/>
  <c r="AG350" i="2" a="1"/>
  <c r="AG248" i="2" a="1"/>
  <c r="AG148" i="2" a="1"/>
  <c r="AF330" i="2" a="1"/>
  <c r="AE299" i="2" a="1"/>
  <c r="AD218" i="2" a="1"/>
  <c r="AC238" i="2" a="1"/>
  <c r="AB248" i="2" a="1"/>
  <c r="AA299" i="2" a="1"/>
  <c r="Z361" i="2" a="1"/>
  <c r="Y210" i="2" a="1"/>
  <c r="X291" i="2" a="1"/>
  <c r="W80" i="2" a="1"/>
  <c r="W110" i="2" a="1"/>
  <c r="T80" i="2" a="1"/>
  <c r="S80" i="2" a="1"/>
  <c r="R291" i="2" a="1"/>
  <c r="Q18" i="2" a="1"/>
  <c r="BA311" i="2" a="1"/>
  <c r="BA200" i="2" a="1"/>
  <c r="BA100" i="2" a="1"/>
  <c r="AZ322" i="2" a="1"/>
  <c r="AZ220" i="2" a="1"/>
  <c r="AZ120" i="2" a="1"/>
  <c r="AY332" i="2" a="1"/>
  <c r="AY230" i="2" a="1"/>
  <c r="AJ228" i="2" a="1"/>
  <c r="AE289" i="2" a="1"/>
  <c r="AC188" i="2" a="1"/>
  <c r="Z322" i="2" a="1"/>
  <c r="Z140" i="2" a="1"/>
  <c r="X281" i="2" a="1"/>
  <c r="V80" i="2" a="1"/>
  <c r="V140" i="2" a="1"/>
  <c r="T361" i="2" a="1"/>
  <c r="S332" i="2" a="1"/>
  <c r="R281" i="2" a="1"/>
  <c r="BA90" i="2" a="1"/>
  <c r="AZ110" i="2" a="1"/>
  <c r="AY130" i="2" a="1"/>
  <c r="AX361" i="2" a="1"/>
  <c r="AX270" i="2" a="1"/>
  <c r="AX18" i="2" a="1"/>
  <c r="AW80" i="2" a="1"/>
  <c r="AW311" i="2" a="1"/>
  <c r="AW220" i="2" a="1"/>
  <c r="AW130" i="2" a="1"/>
  <c r="AV361" i="2" a="1"/>
  <c r="AV270" i="2" a="1"/>
  <c r="AV18" i="2" a="1"/>
  <c r="AU80" i="2" a="1"/>
  <c r="AU311" i="2" a="1"/>
  <c r="AU220" i="2" a="1"/>
  <c r="AU130" i="2" a="1"/>
  <c r="AT361" i="2" a="1"/>
  <c r="AT270" i="2" a="1"/>
  <c r="AT18" i="2" a="1"/>
  <c r="AS80" i="2" a="1"/>
  <c r="AS301" i="2" a="1"/>
  <c r="AS210" i="2" a="1"/>
  <c r="AS120" i="2" a="1"/>
  <c r="AR342" i="2" a="1"/>
  <c r="AR250" i="2" a="1"/>
  <c r="AR160" i="2" a="1"/>
  <c r="AQ60" i="2" a="1"/>
  <c r="AQ29" i="2" a="1"/>
  <c r="AQ190" i="2" a="1"/>
  <c r="AQ100" i="2" a="1"/>
  <c r="AP322" i="2" a="1"/>
  <c r="AP230" i="2" a="1"/>
  <c r="AP140" i="2" a="1"/>
  <c r="AO361" i="2" a="1"/>
  <c r="AO270" i="2" a="1"/>
  <c r="AO18" i="2" a="1"/>
  <c r="AN80" i="2" a="1"/>
  <c r="AN301" i="2" a="1"/>
  <c r="AN210" i="2" a="1"/>
  <c r="AN120" i="2" a="1"/>
  <c r="AM342" i="2" a="1"/>
  <c r="AM250" i="2" a="1"/>
  <c r="AM150" i="2" a="1"/>
  <c r="AL50" i="2" a="1"/>
  <c r="AL281" i="2" a="1"/>
  <c r="AL18" i="2" a="1"/>
  <c r="AK80" i="2" a="1"/>
  <c r="AE258" i="2" a="1"/>
  <c r="AD208" i="2" a="1"/>
  <c r="AC178" i="2" a="1"/>
  <c r="AB238" i="2" a="1"/>
  <c r="AA289" i="2" a="1"/>
  <c r="Z100" i="2" a="1"/>
  <c r="Y190" i="2" a="1"/>
  <c r="X270" i="2" a="1"/>
  <c r="W361" i="2" a="1"/>
  <c r="V361" i="2" a="1"/>
  <c r="U80" i="2" a="1"/>
  <c r="R260" i="2" a="1"/>
  <c r="Q160" i="2" a="1"/>
  <c r="BA301" i="2" a="1"/>
  <c r="BA190" i="2" a="1"/>
  <c r="AZ90" i="2" a="1"/>
  <c r="AZ311" i="2" a="1"/>
  <c r="AZ210" i="2" a="1"/>
  <c r="AZ100" i="2" a="1"/>
  <c r="AY322" i="2" a="1"/>
  <c r="AY220" i="2" a="1"/>
  <c r="AE238" i="2" a="1"/>
  <c r="AD178" i="2" a="1"/>
  <c r="AA268" i="2" a="1"/>
  <c r="Z311" i="2" a="1"/>
  <c r="X260" i="2" a="1"/>
  <c r="W311" i="2" a="1"/>
  <c r="T332" i="2" a="1"/>
  <c r="S291" i="2" a="1"/>
  <c r="P332" i="2" a="1"/>
  <c r="BA80" i="2" a="1"/>
  <c r="BA291" i="2" a="1"/>
  <c r="AZ200" i="2" a="1"/>
  <c r="AY120" i="2" a="1"/>
  <c r="AX352" i="2" a="1"/>
  <c r="AX260" i="2" a="1"/>
  <c r="AX170" i="2" a="1"/>
  <c r="AW70" i="2" a="1"/>
  <c r="AW301" i="2" a="1"/>
  <c r="AW210" i="2" a="1"/>
  <c r="AW120" i="2" a="1"/>
  <c r="AV352" i="2" a="1"/>
  <c r="AV260" i="2" a="1"/>
  <c r="AV170" i="2" a="1"/>
  <c r="AU70" i="2" a="1"/>
  <c r="AU301" i="2" a="1"/>
  <c r="AU210" i="2" a="1"/>
  <c r="AU120" i="2" a="1"/>
  <c r="AT352" i="2" a="1"/>
  <c r="AT260" i="2" a="1"/>
  <c r="AT170" i="2" a="1"/>
  <c r="AS70" i="2" a="1"/>
  <c r="AS291" i="2" a="1"/>
  <c r="AS200" i="2" a="1"/>
  <c r="AS110" i="2" a="1"/>
  <c r="AR332" i="2" a="1"/>
  <c r="AR240" i="2" a="1"/>
  <c r="AI188" i="2" a="1"/>
  <c r="AE228" i="2" a="1"/>
  <c r="AC168" i="2" a="1"/>
  <c r="AB228" i="2" a="1"/>
  <c r="Z301" i="2" a="1"/>
  <c r="Y90" i="2" a="1"/>
  <c r="Y180" i="2" a="1"/>
  <c r="V332" i="2" a="1"/>
  <c r="U361" i="2" a="1"/>
  <c r="R230" i="2" a="1"/>
  <c r="BA180" i="2" a="1"/>
  <c r="AZ80" i="2" a="1"/>
  <c r="AZ301" i="2" a="1"/>
  <c r="AZ190" i="2" a="1"/>
  <c r="AY90" i="2" a="1"/>
  <c r="AY311" i="2" a="1"/>
  <c r="AY210" i="2" a="1"/>
  <c r="AH78" i="2" a="1"/>
  <c r="AE208" i="2" a="1"/>
  <c r="AD168" i="2" a="1"/>
  <c r="AB208" i="2" a="1"/>
  <c r="AA258" i="2" a="1"/>
  <c r="Z270" i="2" a="1"/>
  <c r="Y80" i="2" a="1"/>
  <c r="Y170" i="2" a="1"/>
  <c r="X230" i="2" a="1"/>
  <c r="W291" i="2" a="1"/>
  <c r="U332" i="2" a="1"/>
  <c r="T291" i="2" a="1"/>
  <c r="S281" i="2" a="1"/>
  <c r="P291" i="2" a="1"/>
  <c r="BA70" i="2" a="1"/>
  <c r="BA29" i="2" a="1"/>
  <c r="AZ291" i="2" a="1"/>
  <c r="AY110" i="2" a="1"/>
  <c r="AX342" i="2" a="1"/>
  <c r="AX250" i="2" a="1"/>
  <c r="AX160" i="2" a="1"/>
  <c r="AW60" i="2" a="1"/>
  <c r="AW291" i="2" a="1"/>
  <c r="AW200" i="2" a="1"/>
  <c r="AW110" i="2" a="1"/>
  <c r="AV342" i="2" a="1"/>
  <c r="AV250" i="2" a="1"/>
  <c r="AV160" i="2" a="1"/>
  <c r="AU60" i="2" a="1"/>
  <c r="AU291" i="2" a="1"/>
  <c r="AU200" i="2" a="1"/>
  <c r="AU110" i="2" a="1"/>
  <c r="AT342" i="2" a="1"/>
  <c r="AT250" i="2" a="1"/>
  <c r="AT160" i="2" a="1"/>
  <c r="AS60" i="2" a="1"/>
  <c r="AE188" i="2" a="1"/>
  <c r="AD138" i="2" a="1"/>
  <c r="AC16" i="2" a="1"/>
  <c r="AA218" i="2" a="1"/>
  <c r="Z260" i="2" a="1"/>
  <c r="Y361" i="2" a="1"/>
  <c r="W281" i="2" a="1"/>
  <c r="V291" i="2" a="1"/>
  <c r="U291" i="2" a="1"/>
  <c r="S260" i="2" a="1"/>
  <c r="R190" i="2" a="1"/>
  <c r="BA60" i="2" a="1"/>
  <c r="BA18" i="2" a="1"/>
  <c r="AZ70" i="2" a="1"/>
  <c r="AZ29" i="2" a="1"/>
  <c r="AZ180" i="2" a="1"/>
  <c r="AY80" i="2" a="1"/>
  <c r="AY301" i="2" a="1"/>
  <c r="AY200" i="2" a="1"/>
  <c r="AH168" i="2" a="1"/>
  <c r="AE158" i="2" a="1"/>
  <c r="AC98" i="2" a="1"/>
  <c r="AC148" i="2" a="1"/>
  <c r="AB188" i="2" a="1"/>
  <c r="AA208" i="2" a="1"/>
  <c r="Y332" i="2" a="1"/>
  <c r="Y160" i="2" a="1"/>
  <c r="X220" i="2" a="1"/>
  <c r="W260" i="2" a="1"/>
  <c r="U281" i="2" a="1"/>
  <c r="T281" i="2" a="1"/>
  <c r="S230" i="2" a="1"/>
  <c r="P260" i="2" a="1"/>
  <c r="BA281" i="2" a="1"/>
  <c r="AZ60" i="2" a="1"/>
  <c r="AY100" i="2" a="1"/>
  <c r="AX332" i="2" a="1"/>
  <c r="AX240" i="2" a="1"/>
  <c r="AX150" i="2" a="1"/>
  <c r="AW50" i="2" a="1"/>
  <c r="AW29" i="2" a="1"/>
  <c r="AW190" i="2" a="1"/>
  <c r="AW100" i="2" a="1"/>
  <c r="AV332" i="2" a="1"/>
  <c r="AV240" i="2" a="1"/>
  <c r="AV150" i="2" a="1"/>
  <c r="AU50" i="2" a="1"/>
  <c r="AU29" i="2" a="1"/>
  <c r="AU190" i="2" a="1"/>
  <c r="AU100" i="2" a="1"/>
  <c r="AT332" i="2" a="1"/>
  <c r="AT240" i="2" a="1"/>
  <c r="AT150" i="2" a="1"/>
  <c r="AS50" i="2" a="1"/>
  <c r="AS281" i="2" a="1"/>
  <c r="AS180" i="2" a="1"/>
  <c r="AR90" i="2" a="1"/>
  <c r="AR311" i="2" a="1"/>
  <c r="AR220" i="2" a="1"/>
  <c r="AR130" i="2" a="1"/>
  <c r="AQ352" i="2" a="1"/>
  <c r="AQ260" i="2" a="1"/>
  <c r="AQ170" i="2" a="1"/>
  <c r="AP70" i="2" a="1"/>
  <c r="AP291" i="2" a="1"/>
  <c r="AP200" i="2" a="1"/>
  <c r="AP110" i="2" a="1"/>
  <c r="AO332" i="2" a="1"/>
  <c r="AO240" i="2" a="1"/>
  <c r="AO150" i="2" a="1"/>
  <c r="AN50" i="2" a="1"/>
  <c r="AN281" i="2" a="1"/>
  <c r="AG68" i="2" a="1"/>
  <c r="AE138" i="2" a="1"/>
  <c r="AB158" i="2" a="1"/>
  <c r="Z250" i="2" a="1"/>
  <c r="Y322" i="2" a="1"/>
  <c r="Y150" i="2" a="1"/>
  <c r="W230" i="2" a="1"/>
  <c r="V281" i="2" a="1"/>
  <c r="U260" i="2" a="1"/>
  <c r="T230" i="2" a="1"/>
  <c r="S190" i="2" a="1"/>
  <c r="R180" i="2" a="1"/>
  <c r="BA50" i="2" a="1"/>
  <c r="BA170" i="2" a="1"/>
  <c r="AZ50" i="2" a="1"/>
  <c r="AZ281" i="2" a="1"/>
  <c r="AZ18" i="2" a="1"/>
  <c r="AY70" i="2" a="1"/>
  <c r="AY291" i="2" a="1"/>
  <c r="AY190" i="2" a="1"/>
  <c r="AG27" i="2" a="1"/>
  <c r="AE108" i="2" a="1"/>
  <c r="AC88" i="2" a="1"/>
  <c r="AC138" i="2" a="1"/>
  <c r="AB148" i="2" a="1"/>
  <c r="AA188" i="2" a="1"/>
  <c r="Y110" i="2" a="1"/>
  <c r="X210" i="2" a="1"/>
  <c r="W220" i="2" a="1"/>
  <c r="V230" i="2" a="1"/>
  <c r="R160" i="2" a="1"/>
  <c r="P190" i="2" a="1"/>
  <c r="BA270" i="2" a="1"/>
  <c r="BA160" i="2" a="1"/>
  <c r="AX90" i="2" a="1"/>
  <c r="AX322" i="2" a="1"/>
  <c r="AX230" i="2" a="1"/>
  <c r="AX140" i="2" a="1"/>
  <c r="AW40" i="2" a="1"/>
  <c r="AW281" i="2" a="1"/>
  <c r="AW180" i="2" a="1"/>
  <c r="AV90" i="2" a="1"/>
  <c r="AV322" i="2" a="1"/>
  <c r="AV230" i="2" a="1"/>
  <c r="AV140" i="2" a="1"/>
  <c r="AU40" i="2" a="1"/>
  <c r="AU281" i="2" a="1"/>
  <c r="AU180" i="2" a="1"/>
  <c r="AT90" i="2" a="1"/>
  <c r="AT322" i="2" a="1"/>
  <c r="AT230" i="2" a="1"/>
  <c r="AT140" i="2" a="1"/>
  <c r="AS361" i="2" a="1"/>
  <c r="AS270" i="2" a="1"/>
  <c r="AS18" i="2" a="1"/>
  <c r="AR80" i="2" a="1"/>
  <c r="AR301" i="2" a="1"/>
  <c r="AR210" i="2" a="1"/>
  <c r="AG168" i="2" a="1"/>
  <c r="AD88" i="2" a="1"/>
  <c r="AC68" i="2" a="1"/>
  <c r="AB78" i="2" a="1"/>
  <c r="Z240" i="2" a="1"/>
  <c r="Y311" i="2" a="1"/>
  <c r="Y100" i="2" a="1"/>
  <c r="X180" i="2" a="1"/>
  <c r="U230" i="2" a="1"/>
  <c r="T220" i="2" a="1"/>
  <c r="S180" i="2" a="1"/>
  <c r="P18" i="2" a="1"/>
  <c r="BA40" i="2" a="1"/>
  <c r="BA150" i="2" a="1"/>
  <c r="AZ40" i="2" a="1"/>
  <c r="AZ270" i="2" a="1"/>
  <c r="AZ170" i="2" a="1"/>
  <c r="AY60" i="2" a="1"/>
  <c r="AY29" i="2" a="1"/>
  <c r="AY180" i="2" a="1"/>
  <c r="AF68" i="2" a="1"/>
  <c r="AB68" i="2" a="1"/>
  <c r="AB138" i="2" a="1"/>
  <c r="AA178" i="2" a="1"/>
  <c r="Z220" i="2" a="1"/>
  <c r="W210" i="2" a="1"/>
  <c r="V220" i="2" a="1"/>
  <c r="T190" i="2" a="1"/>
  <c r="Q80" i="2" a="1"/>
  <c r="P160" i="2" a="1"/>
  <c r="BA260" i="2" a="1"/>
  <c r="AX80" i="2" a="1"/>
  <c r="AX311" i="2" a="1"/>
  <c r="AX220" i="2" a="1"/>
  <c r="AX130" i="2" a="1"/>
  <c r="AW361" i="2" a="1"/>
  <c r="AW270" i="2" a="1"/>
  <c r="AW18" i="2" a="1"/>
  <c r="AV80" i="2" a="1"/>
  <c r="AV311" i="2" a="1"/>
  <c r="AV220" i="2" a="1"/>
  <c r="AV130" i="2" a="1"/>
  <c r="AU361" i="2" a="1"/>
  <c r="AU270" i="2" a="1"/>
  <c r="AU18" i="2" a="1"/>
  <c r="AT80" i="2" a="1"/>
  <c r="AT311" i="2" a="1"/>
  <c r="AT220" i="2" a="1"/>
  <c r="AT130" i="2" a="1"/>
  <c r="AS352" i="2" a="1"/>
  <c r="AS260" i="2" a="1"/>
  <c r="AS170" i="2" a="1"/>
  <c r="AR70" i="2" a="1"/>
  <c r="AR291" i="2" a="1"/>
  <c r="AR200" i="2" a="1"/>
  <c r="AR110" i="2" a="1"/>
  <c r="AQ332" i="2" a="1"/>
  <c r="AQ240" i="2" a="1"/>
  <c r="AF268" i="2" a="1"/>
  <c r="AD78" i="2" a="1"/>
  <c r="AC359" i="2" a="1"/>
  <c r="AA16" i="2" a="1"/>
  <c r="Y301" i="2" a="1"/>
  <c r="X90" i="2" a="1"/>
  <c r="X18" i="2" a="1"/>
  <c r="V210" i="2" a="1"/>
  <c r="U220" i="2" a="1"/>
  <c r="T180" i="2" a="1"/>
  <c r="S18" i="2" a="1"/>
  <c r="BA361" i="2" a="1"/>
  <c r="BA250" i="2" a="1"/>
  <c r="BA140" i="2" a="1"/>
  <c r="AZ361" i="2" a="1"/>
  <c r="AZ260" i="2" a="1"/>
  <c r="AZ160" i="2" a="1"/>
  <c r="AY50" i="2" a="1"/>
  <c r="AY281" i="2" a="1"/>
  <c r="AY18" i="2" a="1"/>
  <c r="AF238" i="2" a="1"/>
  <c r="AD330" i="2" a="1"/>
  <c r="AC299" i="2" a="1"/>
  <c r="AB359" i="2" a="1"/>
  <c r="AB108" i="2" a="1"/>
  <c r="Z210" i="2" a="1"/>
  <c r="Y281" i="2" a="1"/>
  <c r="X170" i="2" a="1"/>
  <c r="W190" i="2" a="1"/>
  <c r="V190" i="2" a="1"/>
  <c r="T18" i="2" a="1"/>
  <c r="Q361" i="2" a="1"/>
  <c r="O332" i="2" a="1"/>
  <c r="BA240" i="2" a="1"/>
  <c r="AX70" i="2" a="1"/>
  <c r="AX301" i="2" a="1"/>
  <c r="AX210" i="2" a="1"/>
  <c r="AF16" i="2" a="1"/>
  <c r="AD309" i="2" a="1"/>
  <c r="AA88" i="2" a="1"/>
  <c r="AA158" i="2" a="1"/>
  <c r="Z190" i="2" a="1"/>
  <c r="X80" i="2" a="1"/>
  <c r="X160" i="2" a="1"/>
  <c r="V180" i="2" a="1"/>
  <c r="U190" i="2" a="1"/>
  <c r="T170" i="2" a="1"/>
  <c r="S160" i="2" a="1"/>
  <c r="Q332" i="2" a="1"/>
  <c r="BA352" i="2" a="1"/>
  <c r="BA130" i="2" a="1"/>
  <c r="AZ352" i="2" a="1"/>
  <c r="AZ250" i="2" a="1"/>
  <c r="AZ150" i="2" a="1"/>
  <c r="AY40" i="2" a="1"/>
  <c r="AY270" i="2" a="1"/>
  <c r="AY170" i="2" a="1"/>
  <c r="AF138" i="2" a="1"/>
  <c r="AD299" i="2" a="1"/>
  <c r="AC279" i="2" a="1"/>
  <c r="AB330" i="2" a="1"/>
  <c r="Z90" i="2" a="1"/>
  <c r="Z18" i="2" a="1"/>
  <c r="Y270" i="2" a="1"/>
  <c r="X150" i="2" a="1"/>
  <c r="W180" i="2" a="1"/>
  <c r="V18" i="2" a="1"/>
  <c r="U18" i="2" a="1"/>
  <c r="R80" i="2" a="1"/>
  <c r="Q291" i="2" a="1"/>
  <c r="O190" i="2" a="1"/>
  <c r="BA342" i="2" a="1"/>
  <c r="BA230" i="2" a="1"/>
  <c r="AY160" i="2" a="1"/>
  <c r="AX60" i="2" a="1"/>
  <c r="AX291" i="2" a="1"/>
  <c r="AX200" i="2" a="1"/>
  <c r="AX110" i="2" a="1"/>
  <c r="AW342" i="2" a="1"/>
  <c r="AW250" i="2" a="1"/>
  <c r="AW160" i="2" a="1"/>
  <c r="AV60" i="2" a="1"/>
  <c r="AV291" i="2" a="1"/>
  <c r="AV200" i="2" a="1"/>
  <c r="AV110" i="2" a="1"/>
  <c r="AU342" i="2" a="1"/>
  <c r="AF108" i="2" a="1"/>
  <c r="AD279" i="2" a="1"/>
  <c r="AB309" i="2" a="1"/>
  <c r="AA78" i="2" a="1"/>
  <c r="Z80" i="2" a="1"/>
  <c r="Z170" i="2" a="1"/>
  <c r="Y260" i="2" a="1"/>
  <c r="X361" i="2" a="1"/>
  <c r="X140" i="2" a="1"/>
  <c r="W170" i="2" a="1"/>
  <c r="T160" i="2" a="1"/>
  <c r="Q260" i="2" a="1"/>
  <c r="BA332" i="2" a="1"/>
  <c r="BA120" i="2" a="1"/>
  <c r="AZ342" i="2" a="1"/>
  <c r="AZ240" i="2" a="1"/>
  <c r="AZ140" i="2" a="1"/>
  <c r="AY361" i="2" a="1"/>
  <c r="AY260" i="2" a="1"/>
  <c r="AE48" i="2" a="1"/>
  <c r="AC268" i="2" a="1"/>
  <c r="AA320" i="2" a="1"/>
  <c r="Z160" i="2" a="1"/>
  <c r="Y230" i="2" a="1"/>
  <c r="X322" i="2" a="1"/>
  <c r="V170" i="2" a="1"/>
  <c r="U170" i="2" a="1"/>
  <c r="R361" i="2" a="1"/>
  <c r="N190" i="2" a="1"/>
  <c r="BA220" i="2" a="1"/>
  <c r="AY250" i="2" a="1"/>
  <c r="AY150" i="2" a="1"/>
  <c r="AX50" i="2" a="1"/>
  <c r="AX29" i="2" a="1"/>
  <c r="AX190" i="2" a="1"/>
  <c r="AX100" i="2" a="1"/>
  <c r="AW332" i="2" a="1"/>
  <c r="AW240" i="2" a="1"/>
  <c r="AW150" i="2" a="1"/>
  <c r="AV50" i="2" a="1"/>
  <c r="AV29" i="2" a="1"/>
  <c r="AV190" i="2" a="1"/>
  <c r="AV100" i="2" a="1"/>
  <c r="AU332" i="2" a="1"/>
  <c r="AU240" i="2" a="1"/>
  <c r="AU150" i="2" a="1"/>
  <c r="AT50" i="2" a="1"/>
  <c r="AT29" i="2" a="1"/>
  <c r="AT190" i="2" a="1"/>
  <c r="AT100" i="2" a="1"/>
  <c r="AE330" i="2" a="1"/>
  <c r="AD27" i="2" a="1"/>
  <c r="AC248" i="2" a="1"/>
  <c r="AB299" i="2" a="1"/>
  <c r="AA309" i="2" a="1"/>
  <c r="Z70" i="2" a="1"/>
  <c r="Y220" i="2" a="1"/>
  <c r="X110" i="2" a="1"/>
  <c r="W160" i="2" a="1"/>
  <c r="U160" i="2" a="1"/>
  <c r="T140" i="2" a="1"/>
  <c r="Q190" i="2" a="1"/>
  <c r="M190" i="2" a="1"/>
  <c r="BA322" i="2" a="1"/>
  <c r="BA110" i="2" a="1"/>
  <c r="AZ332" i="2" a="1"/>
  <c r="AZ230" i="2" a="1"/>
  <c r="AZ130" i="2" a="1"/>
  <c r="AY352" i="2" a="1"/>
  <c r="AY240" i="2" a="1"/>
  <c r="AE320" i="2" a="1"/>
  <c r="AD238" i="2" a="1"/>
  <c r="AB258" i="2" a="1"/>
  <c r="Z150" i="2" a="1"/>
  <c r="X311" i="2" a="1"/>
  <c r="W140" i="2" a="1"/>
  <c r="V160" i="2" a="1"/>
  <c r="U140" i="2" a="1"/>
  <c r="R332" i="2" a="1"/>
  <c r="L190" i="2" a="1"/>
  <c r="BA210" i="2" a="1"/>
  <c r="AY342" i="2" a="1"/>
  <c r="AY140" i="2" a="1"/>
  <c r="AX40" i="2" a="1"/>
  <c r="AX281" i="2" a="1"/>
  <c r="AX180" i="2" a="1"/>
  <c r="AW90" i="2" a="1"/>
  <c r="AW322" i="2" a="1"/>
  <c r="AW230" i="2" a="1"/>
  <c r="AW140" i="2" a="1"/>
  <c r="AV40" i="2" a="1"/>
  <c r="AV281" i="2" a="1"/>
  <c r="AV180" i="2" a="1"/>
  <c r="AU90" i="2" a="1"/>
  <c r="AU322" i="2" a="1"/>
  <c r="AU230" i="2" a="1"/>
  <c r="AX120" i="2" a="1"/>
  <c r="AT210" i="2" a="1"/>
  <c r="AS100" i="2" a="1"/>
  <c r="AR120" i="2" a="1"/>
  <c r="AP311" i="2" a="1"/>
  <c r="AP120" i="2" a="1"/>
  <c r="AO260" i="2" a="1"/>
  <c r="AO100" i="2" a="1"/>
  <c r="AN250" i="2" a="1"/>
  <c r="AN110" i="2" a="1"/>
  <c r="AL170" i="2" a="1"/>
  <c r="AK220" i="2" a="1"/>
  <c r="AJ140" i="2" a="1"/>
  <c r="AI311" i="2" a="1"/>
  <c r="AI180" i="2" a="1"/>
  <c r="AH50" i="2" a="1"/>
  <c r="AH250" i="2" a="1"/>
  <c r="AH110" i="2" a="1"/>
  <c r="AG29" i="2" a="1"/>
  <c r="AG170" i="2" a="1"/>
  <c r="AF332" i="2" a="1"/>
  <c r="AF210" i="2" a="1"/>
  <c r="AE70" i="2" a="1"/>
  <c r="AE250" i="2" a="1"/>
  <c r="AD180" i="2" a="1"/>
  <c r="AD281" i="2" a="1"/>
  <c r="AC210" i="2" a="1"/>
  <c r="AA291" i="2" a="1"/>
  <c r="AA170" i="2" a="1"/>
  <c r="AA140" i="2" a="1"/>
  <c r="AB311" i="2" a="1"/>
  <c r="AC160" i="2" a="1"/>
  <c r="AB291" i="2" a="1"/>
  <c r="AD301" i="2" a="1"/>
  <c r="AW352" i="2" a="1"/>
  <c r="AT200" i="2" a="1"/>
  <c r="AR60" i="2" a="1"/>
  <c r="AR100" i="2" a="1"/>
  <c r="AQ200" i="2" a="1"/>
  <c r="AP301" i="2" a="1"/>
  <c r="AP100" i="2" a="1"/>
  <c r="AM281" i="2" a="1"/>
  <c r="AM130" i="2" a="1"/>
  <c r="AL301" i="2" a="1"/>
  <c r="AK332" i="2" a="1"/>
  <c r="AJ80" i="2" a="1"/>
  <c r="AJ260" i="2" a="1"/>
  <c r="AE110" i="2" a="1"/>
  <c r="AD291" i="2" a="1"/>
  <c r="AD18" i="2" a="1"/>
  <c r="AC332" i="2" a="1"/>
  <c r="AC220" i="2" a="1"/>
  <c r="AB90" i="2" a="1"/>
  <c r="AB260" i="2" a="1"/>
  <c r="AB150" i="2" a="1"/>
  <c r="AA301" i="2" a="1"/>
  <c r="AA180" i="2" a="1"/>
  <c r="AF311" i="2" a="1"/>
  <c r="AC322" i="2" a="1"/>
  <c r="AB140" i="2" a="1"/>
  <c r="AA260" i="2" a="1"/>
  <c r="AC281" i="2" a="1"/>
  <c r="AA361" i="2" a="1"/>
  <c r="AA100" i="2" a="1"/>
  <c r="AC260" i="2" a="1"/>
  <c r="AC100" i="2" a="1"/>
  <c r="AW260" i="2" a="1"/>
  <c r="AT180" i="2" a="1"/>
  <c r="AR50" i="2" a="1"/>
  <c r="AQ90" i="2" a="1"/>
  <c r="AQ180" i="2" a="1"/>
  <c r="AP29" i="2" a="1"/>
  <c r="AO90" i="2" a="1"/>
  <c r="AO250" i="2" a="1"/>
  <c r="AN90" i="2" a="1"/>
  <c r="AN240" i="2" a="1"/>
  <c r="AN100" i="2" a="1"/>
  <c r="AM120" i="2" a="1"/>
  <c r="AL160" i="2" a="1"/>
  <c r="AK210" i="2" a="1"/>
  <c r="AJ70" i="2" a="1"/>
  <c r="AJ120" i="2" a="1"/>
  <c r="AI301" i="2" a="1"/>
  <c r="AI18" i="2" a="1"/>
  <c r="AH361" i="2" a="1"/>
  <c r="AH240" i="2" a="1"/>
  <c r="AH100" i="2" a="1"/>
  <c r="AG281" i="2" a="1"/>
  <c r="AG160" i="2" a="1"/>
  <c r="AF322" i="2" a="1"/>
  <c r="AF190" i="2" a="1"/>
  <c r="AE50" i="2" a="1"/>
  <c r="AE240" i="2" a="1"/>
  <c r="AD29" i="2" a="1"/>
  <c r="AF180" i="2" a="1"/>
  <c r="AD170" i="2" a="1"/>
  <c r="AB250" i="2" a="1"/>
  <c r="AA18" i="2" a="1"/>
  <c r="AA281" i="2" a="1"/>
  <c r="AA160" i="2" a="1"/>
  <c r="AC170" i="2" a="1"/>
  <c r="AA332" i="2" a="1"/>
  <c r="AD190" i="2" a="1"/>
  <c r="AW170" i="2" a="1"/>
  <c r="AT120" i="2" a="1"/>
  <c r="AR361" i="2" a="1"/>
  <c r="AQ80" i="2" a="1"/>
  <c r="AQ18" i="2" a="1"/>
  <c r="AP281" i="2" a="1"/>
  <c r="AO80" i="2" a="1"/>
  <c r="AO230" i="2" a="1"/>
  <c r="AN70" i="2" a="1"/>
  <c r="AM90" i="2" a="1"/>
  <c r="AM270" i="2" a="1"/>
  <c r="AM110" i="2" a="1"/>
  <c r="AL291" i="2" a="1"/>
  <c r="AL150" i="2" a="1"/>
  <c r="AK322" i="2" a="1"/>
  <c r="AK190" i="2" a="1"/>
  <c r="AJ60" i="2" a="1"/>
  <c r="AJ250" i="2" a="1"/>
  <c r="AJ110" i="2" a="1"/>
  <c r="AI291" i="2" a="1"/>
  <c r="AH230" i="2" a="1"/>
  <c r="AG90" i="2" a="1"/>
  <c r="AE100" i="2" a="1"/>
  <c r="AB80" i="2" a="1"/>
  <c r="AB110" i="2" a="1"/>
  <c r="AB322" i="2" a="1"/>
  <c r="AD220" i="2" a="1"/>
  <c r="AC230" i="2" a="1"/>
  <c r="AV70" i="2" a="1"/>
  <c r="AT110" i="2" a="1"/>
  <c r="AQ160" i="2" a="1"/>
  <c r="AP270" i="2" a="1"/>
  <c r="AO70" i="2" a="1"/>
  <c r="AO220" i="2" a="1"/>
  <c r="AN230" i="2" a="1"/>
  <c r="AM80" i="2" a="1"/>
  <c r="AM100" i="2" a="1"/>
  <c r="AL140" i="2" a="1"/>
  <c r="AK180" i="2" a="1"/>
  <c r="AJ50" i="2" a="1"/>
  <c r="AJ100" i="2" a="1"/>
  <c r="AI29" i="2" a="1"/>
  <c r="AI170" i="2" a="1"/>
  <c r="AH352" i="2" a="1"/>
  <c r="AH220" i="2" a="1"/>
  <c r="AG80" i="2" a="1"/>
  <c r="AG270" i="2" a="1"/>
  <c r="AG150" i="2" a="1"/>
  <c r="AF301" i="2" a="1"/>
  <c r="AF18" i="2" a="1"/>
  <c r="AE361" i="2" a="1"/>
  <c r="AE230" i="2" a="1"/>
  <c r="AD90" i="2" a="1"/>
  <c r="AA150" i="2" a="1"/>
  <c r="AD332" i="2" a="1"/>
  <c r="AC240" i="2" a="1"/>
  <c r="AV301" i="2" a="1"/>
  <c r="AS90" i="2" a="1"/>
  <c r="AR352" i="2" a="1"/>
  <c r="AQ70" i="2" a="1"/>
  <c r="AQ150" i="2" a="1"/>
  <c r="AP260" i="2" a="1"/>
  <c r="AO210" i="2" a="1"/>
  <c r="AN60" i="2" a="1"/>
  <c r="AM70" i="2" a="1"/>
  <c r="AM260" i="2" a="1"/>
  <c r="AL90" i="2" a="1"/>
  <c r="AL29" i="2" a="1"/>
  <c r="AL130" i="2" a="1"/>
  <c r="AK311" i="2" a="1"/>
  <c r="AJ240" i="2" a="1"/>
  <c r="AD80" i="2" a="1"/>
  <c r="AD270" i="2" a="1"/>
  <c r="AD160" i="2" a="1"/>
  <c r="AC311" i="2" a="1"/>
  <c r="AC190" i="2" a="1"/>
  <c r="AB70" i="2" a="1"/>
  <c r="AB240" i="2" a="1"/>
  <c r="AA70" i="2" a="1"/>
  <c r="AA230" i="2" a="1"/>
  <c r="AB18" i="2" a="1"/>
  <c r="AB170" i="2" a="1"/>
  <c r="AV210" i="2" a="1"/>
  <c r="AS342" i="2" a="1"/>
  <c r="AR322" i="2" a="1"/>
  <c r="AQ50" i="2" a="1"/>
  <c r="AQ140" i="2" a="1"/>
  <c r="AP250" i="2" a="1"/>
  <c r="AO60" i="2" a="1"/>
  <c r="AO200" i="2" a="1"/>
  <c r="AN361" i="2" a="1"/>
  <c r="AN220" i="2" a="1"/>
  <c r="AM60" i="2" a="1"/>
  <c r="AM240" i="2" a="1"/>
  <c r="AL270" i="2" a="1"/>
  <c r="AK18" i="2" a="1"/>
  <c r="AJ361" i="2" a="1"/>
  <c r="AI90" i="2" a="1"/>
  <c r="AI281" i="2" a="1"/>
  <c r="AI160" i="2" a="1"/>
  <c r="AH332" i="2" a="1"/>
  <c r="AH210" i="2" a="1"/>
  <c r="AG70" i="2" a="1"/>
  <c r="AG260" i="2" a="1"/>
  <c r="AG140" i="2" a="1"/>
  <c r="AF291" i="2" a="1"/>
  <c r="AF170" i="2" a="1"/>
  <c r="AE332" i="2" a="1"/>
  <c r="AE220" i="2" a="1"/>
  <c r="AA270" i="2" a="1"/>
  <c r="AA190" i="2" a="1"/>
  <c r="AV120" i="2" a="1"/>
  <c r="AS332" i="2" a="1"/>
  <c r="AR29" i="2" a="1"/>
  <c r="AQ361" i="2" a="1"/>
  <c r="AQ130" i="2" a="1"/>
  <c r="AN352" i="2" a="1"/>
  <c r="AN200" i="2" a="1"/>
  <c r="AL80" i="2" a="1"/>
  <c r="AL120" i="2" a="1"/>
  <c r="AK301" i="2" a="1"/>
  <c r="AK170" i="2" a="1"/>
  <c r="AJ230" i="2" a="1"/>
  <c r="AI80" i="2" a="1"/>
  <c r="AH322" i="2" a="1"/>
  <c r="AH190" i="2" a="1"/>
  <c r="AG120" i="2" a="1"/>
  <c r="AF29" i="2" a="1"/>
  <c r="AE210" i="2" a="1"/>
  <c r="AD70" i="2" a="1"/>
  <c r="AD260" i="2" a="1"/>
  <c r="AD150" i="2" a="1"/>
  <c r="AC301" i="2" a="1"/>
  <c r="AC180" i="2" a="1"/>
  <c r="AB361" i="2" a="1"/>
  <c r="AB230" i="2" a="1"/>
  <c r="AB100" i="2" a="1"/>
  <c r="AC270" i="2" a="1"/>
  <c r="AA322" i="2" a="1"/>
  <c r="AU352" i="2" a="1"/>
  <c r="AS322" i="2" a="1"/>
  <c r="AR281" i="2" a="1"/>
  <c r="AQ342" i="2" a="1"/>
  <c r="AQ120" i="2" a="1"/>
  <c r="AP240" i="2" a="1"/>
  <c r="AO50" i="2" a="1"/>
  <c r="AO190" i="2" a="1"/>
  <c r="AN342" i="2" a="1"/>
  <c r="AM50" i="2" a="1"/>
  <c r="AM230" i="2" a="1"/>
  <c r="AL260" i="2" a="1"/>
  <c r="AK291" i="2" a="1"/>
  <c r="AK160" i="2" a="1"/>
  <c r="AJ352" i="2" a="1"/>
  <c r="AJ220" i="2" a="1"/>
  <c r="AI70" i="2" a="1"/>
  <c r="AI270" i="2" a="1"/>
  <c r="AI150" i="2" a="1"/>
  <c r="AH311" i="2" a="1"/>
  <c r="AH180" i="2" a="1"/>
  <c r="AG50" i="2" a="1"/>
  <c r="AG250" i="2" a="1"/>
  <c r="AG110" i="2" a="1"/>
  <c r="AF281" i="2" a="1"/>
  <c r="AF160" i="2" a="1"/>
  <c r="AE322" i="2" a="1"/>
  <c r="AE190" i="2" a="1"/>
  <c r="AA90" i="2" a="1"/>
  <c r="AE170" i="2" a="1"/>
  <c r="AC150" i="2" a="1"/>
  <c r="AC110" i="2" a="1"/>
  <c r="AU260" i="2" a="1"/>
  <c r="AS311" i="2" a="1"/>
  <c r="AR270" i="2" a="1"/>
  <c r="AQ322" i="2" a="1"/>
  <c r="AP220" i="2" a="1"/>
  <c r="AO352" i="2" a="1"/>
  <c r="AN190" i="2" a="1"/>
  <c r="AM220" i="2" a="1"/>
  <c r="AL70" i="2" a="1"/>
  <c r="AL250" i="2" a="1"/>
  <c r="AL110" i="2" a="1"/>
  <c r="AK29" i="2" a="1"/>
  <c r="AK150" i="2" a="1"/>
  <c r="AJ210" i="2" a="1"/>
  <c r="AD50" i="2" a="1"/>
  <c r="AD250" i="2" a="1"/>
  <c r="AD140" i="2" a="1"/>
  <c r="AC291" i="2" a="1"/>
  <c r="AC18" i="2" a="1"/>
  <c r="AB332" i="2" a="1"/>
  <c r="AB220" i="2" a="1"/>
  <c r="AA80" i="2" a="1"/>
  <c r="AA250" i="2" a="1"/>
  <c r="AC90" i="2" a="1"/>
  <c r="AU250" i="2" a="1"/>
  <c r="AS29" i="2" a="1"/>
  <c r="AQ311" i="2" a="1"/>
  <c r="AQ110" i="2" a="1"/>
  <c r="AP210" i="2" a="1"/>
  <c r="AO180" i="2" a="1"/>
  <c r="AN332" i="2" a="1"/>
  <c r="AN180" i="2" a="1"/>
  <c r="AM361" i="2" a="1"/>
  <c r="AM210" i="2" a="1"/>
  <c r="AL240" i="2" a="1"/>
  <c r="AJ332" i="2" a="1"/>
  <c r="AI60" i="2" a="1"/>
  <c r="AI260" i="2" a="1"/>
  <c r="AI140" i="2" a="1"/>
  <c r="AH301" i="2" a="1"/>
  <c r="AH18" i="2" a="1"/>
  <c r="AG361" i="2" a="1"/>
  <c r="AG240" i="2" a="1"/>
  <c r="AG100" i="2" a="1"/>
  <c r="AF270" i="2" a="1"/>
  <c r="AF150" i="2" a="1"/>
  <c r="AE311" i="2" a="1"/>
  <c r="AE180" i="2" a="1"/>
  <c r="AB210" i="2" a="1"/>
  <c r="AA240" i="2" a="1"/>
  <c r="AB301" i="2" a="1"/>
  <c r="AA220" i="2" a="1"/>
  <c r="AB281" i="2" a="1"/>
  <c r="AU170" i="2" a="1"/>
  <c r="AS250" i="2" a="1"/>
  <c r="AR260" i="2" a="1"/>
  <c r="AQ301" i="2" a="1"/>
  <c r="AP90" i="2" a="1"/>
  <c r="AP190" i="2" a="1"/>
  <c r="AO342" i="2" a="1"/>
  <c r="AO170" i="2" a="1"/>
  <c r="AN18" i="2" a="1"/>
  <c r="AM190" i="2" a="1"/>
  <c r="AL60" i="2" a="1"/>
  <c r="AL230" i="2" a="1"/>
  <c r="AL100" i="2" a="1"/>
  <c r="AK281" i="2" a="1"/>
  <c r="AK140" i="2" a="1"/>
  <c r="AJ190" i="2" a="1"/>
  <c r="AI120" i="2" a="1"/>
  <c r="AH291" i="2" a="1"/>
  <c r="AG230" i="2" a="1"/>
  <c r="AF90" i="2" a="1"/>
  <c r="AE301" i="2" a="1"/>
  <c r="AD361" i="2" a="1"/>
  <c r="AD240" i="2" a="1"/>
  <c r="AD110" i="2" a="1"/>
  <c r="AB190" i="2" a="1"/>
  <c r="AD100" i="2" a="1"/>
  <c r="AE29" i="2" a="1"/>
  <c r="AA210" i="2" a="1"/>
  <c r="AU160" i="2" a="1"/>
  <c r="AS240" i="2" a="1"/>
  <c r="AR230" i="2" a="1"/>
  <c r="AP80" i="2" a="1"/>
  <c r="AP180" i="2" a="1"/>
  <c r="AO322" i="2" a="1"/>
  <c r="AN322" i="2" a="1"/>
  <c r="AN170" i="2" a="1"/>
  <c r="AM352" i="2" a="1"/>
  <c r="AM180" i="2" a="1"/>
  <c r="AL361" i="2" a="1"/>
  <c r="AK270" i="2" a="1"/>
  <c r="AJ322" i="2" a="1"/>
  <c r="AJ180" i="2" a="1"/>
  <c r="AI50" i="2" a="1"/>
  <c r="AI250" i="2" a="1"/>
  <c r="AI110" i="2" a="1"/>
  <c r="AH29" i="2" a="1"/>
  <c r="AH170" i="2" a="1"/>
  <c r="AG352" i="2" a="1"/>
  <c r="AG220" i="2" a="1"/>
  <c r="AF80" i="2" a="1"/>
  <c r="AF260" i="2" a="1"/>
  <c r="AF140" i="2" a="1"/>
  <c r="AE291" i="2" a="1"/>
  <c r="AE18" i="2" a="1"/>
  <c r="AA110" i="2" a="1"/>
  <c r="AB180" i="2" a="1"/>
  <c r="AC250" i="2" a="1"/>
  <c r="AU140" i="2" a="1"/>
  <c r="AS230" i="2" a="1"/>
  <c r="AR190" i="2" a="1"/>
  <c r="AQ291" i="2" a="1"/>
  <c r="AP60" i="2" a="1"/>
  <c r="AP18" i="2" a="1"/>
  <c r="AO311" i="2" a="1"/>
  <c r="AO160" i="2" a="1"/>
  <c r="AN160" i="2" a="1"/>
  <c r="AM332" i="2" a="1"/>
  <c r="AL220" i="2" a="1"/>
  <c r="AK90" i="2" a="1"/>
  <c r="AK260" i="2" a="1"/>
  <c r="AK130" i="2" a="1"/>
  <c r="AJ311" i="2" a="1"/>
  <c r="AJ18" i="2" a="1"/>
  <c r="AD230" i="2" a="1"/>
  <c r="AA311" i="2" a="1"/>
  <c r="AT70" i="2" a="1"/>
  <c r="AS220" i="2" a="1"/>
  <c r="AR180" i="2" a="1"/>
  <c r="AQ281" i="2" a="1"/>
  <c r="AP50" i="2" a="1"/>
  <c r="AP170" i="2" a="1"/>
  <c r="AO301" i="2" a="1"/>
  <c r="AO140" i="2" a="1"/>
  <c r="AN311" i="2" a="1"/>
  <c r="AM18" i="2" a="1"/>
  <c r="AL352" i="2" a="1"/>
  <c r="AK70" i="2" a="1"/>
  <c r="AK250" i="2" a="1"/>
  <c r="AJ301" i="2" a="1"/>
  <c r="AJ170" i="2" a="1"/>
  <c r="AI361" i="2" a="1"/>
  <c r="AI240" i="2" a="1"/>
  <c r="AI100" i="2" a="1"/>
  <c r="AH281" i="2" a="1"/>
  <c r="AH160" i="2" a="1"/>
  <c r="AG332" i="2" a="1"/>
  <c r="AG210" i="2" a="1"/>
  <c r="AF70" i="2" a="1"/>
  <c r="AF250" i="2" a="1"/>
  <c r="AF120" i="2" a="1"/>
  <c r="AT60" i="2" a="1"/>
  <c r="AS190" i="2" a="1"/>
  <c r="AR18" i="2" a="1"/>
  <c r="AQ270" i="2" a="1"/>
  <c r="AP361" i="2" a="1"/>
  <c r="AP160" i="2" a="1"/>
  <c r="AO291" i="2" a="1"/>
  <c r="AO130" i="2" a="1"/>
  <c r="AN291" i="2" a="1"/>
  <c r="AN150" i="2" a="1"/>
  <c r="AM322" i="2" a="1"/>
  <c r="AL342" i="2" a="1"/>
  <c r="AL210" i="2" a="1"/>
  <c r="AK120" i="2" a="1"/>
  <c r="AI230" i="2" a="1"/>
  <c r="AH90" i="2" a="1"/>
  <c r="AG322" i="2" a="1"/>
  <c r="AG190" i="2" a="1"/>
  <c r="AF110" i="2" a="1"/>
  <c r="AE281" i="2" a="1"/>
  <c r="AE160" i="2" a="1"/>
  <c r="AD322" i="2" a="1"/>
  <c r="AC140" i="2" a="1"/>
  <c r="AT40" i="2" a="1"/>
  <c r="AS160" i="2" a="1"/>
  <c r="AQ250" i="2" a="1"/>
  <c r="AP352" i="2" a="1"/>
  <c r="AO120" i="2" a="1"/>
  <c r="AM311" i="2" a="1"/>
  <c r="AM170" i="2" a="1"/>
  <c r="AL332" i="2" a="1"/>
  <c r="AK60" i="2" a="1"/>
  <c r="AK240" i="2" a="1"/>
  <c r="AJ291" i="2" a="1"/>
  <c r="AJ160" i="2" a="1"/>
  <c r="AI352" i="2" a="1"/>
  <c r="AI220" i="2" a="1"/>
  <c r="AH80" i="2" a="1"/>
  <c r="AH270" i="2" a="1"/>
  <c r="AH150" i="2" a="1"/>
  <c r="AG311" i="2" a="1"/>
  <c r="AG180" i="2" a="1"/>
  <c r="AF50" i="2" a="1"/>
  <c r="AF240" i="2" a="1"/>
  <c r="AF100" i="2" a="1"/>
  <c r="AE270" i="2" a="1"/>
  <c r="AC361" i="2" a="1"/>
  <c r="AT301" i="2" a="1"/>
  <c r="AS150" i="2" a="1"/>
  <c r="AR170" i="2" a="1"/>
  <c r="AQ230" i="2" a="1"/>
  <c r="AP342" i="2" a="1"/>
  <c r="AP150" i="2" a="1"/>
  <c r="AO29" i="2" a="1"/>
  <c r="AN29" i="2" a="1"/>
  <c r="AN140" i="2" a="1"/>
  <c r="AM301" i="2" a="1"/>
  <c r="AL322" i="2" a="1"/>
  <c r="AL190" i="2" a="1"/>
  <c r="AK50" i="2" a="1"/>
  <c r="AK110" i="2" a="1"/>
  <c r="AJ29" i="2" a="1"/>
  <c r="AE150" i="2" a="1"/>
  <c r="AD311" i="2" a="1"/>
  <c r="AD210" i="2" a="1"/>
  <c r="AC80" i="2" a="1"/>
  <c r="AT291" i="2" a="1"/>
  <c r="AS140" i="2" a="1"/>
  <c r="AR150" i="2" a="1"/>
  <c r="AQ220" i="2" a="1"/>
  <c r="AP130" i="2" a="1"/>
  <c r="AO110" i="2" a="1"/>
  <c r="AN270" i="2" a="1"/>
  <c r="AM291" i="2" a="1"/>
  <c r="AM160" i="2" a="1"/>
  <c r="AK361" i="2" a="1"/>
  <c r="AK230" i="2" a="1"/>
  <c r="AK100" i="2" a="1"/>
  <c r="AJ281" i="2" a="1"/>
  <c r="AJ150" i="2" a="1"/>
  <c r="AI332" i="2" a="1"/>
  <c r="AI210" i="2" a="1"/>
  <c r="AH70" i="2" a="1"/>
  <c r="AH260" i="2" a="1"/>
  <c r="AH140" i="2" a="1"/>
  <c r="AG301" i="2" a="1"/>
  <c r="AG18" i="2" a="1"/>
  <c r="AF361" i="2" a="1"/>
  <c r="AF230" i="2" a="1"/>
  <c r="AE90" i="2" a="1"/>
  <c r="AE260" i="2" a="1"/>
  <c r="AC70" i="2" a="1"/>
  <c r="AB160" i="2" a="1"/>
  <c r="AT281" i="2" a="1"/>
  <c r="AS130" i="2" a="1"/>
  <c r="AR140" i="2" a="1"/>
  <c r="AQ210" i="2" a="1"/>
  <c r="AP332" i="2" a="1"/>
  <c r="AO281" i="2" a="1"/>
  <c r="AN260" i="2" a="1"/>
  <c r="AN130" i="2" a="1"/>
  <c r="AM29" i="2" a="1"/>
  <c r="AM140" i="2" a="1"/>
  <c r="AL311" i="2" a="1"/>
  <c r="AL180" i="2" a="1"/>
  <c r="AK352" i="2" a="1"/>
  <c r="AJ90" i="2" a="1"/>
  <c r="AJ270" i="2" a="1"/>
  <c r="AI322" i="2" a="1"/>
  <c r="AI190" i="2" a="1"/>
  <c r="AH120" i="2" a="1"/>
  <c r="AG291" i="2" a="1"/>
  <c r="AF220" i="2" a="1"/>
  <c r="AE80" i="2" a="1"/>
  <c r="AE140" i="2" a="1"/>
  <c r="AB270" i="2" a="1"/>
  <c r="C354" i="2"/>
  <c r="C359" i="2"/>
  <c r="C356" i="2"/>
  <c r="C361" i="2"/>
  <c r="C355" i="2"/>
  <c r="C357" i="2"/>
  <c r="C360" i="2"/>
  <c r="D12" i="3" l="1"/>
  <c r="V12" i="3"/>
  <c r="AH12" i="3"/>
  <c r="W12" i="3"/>
  <c r="I12" i="3"/>
  <c r="AL12" i="3"/>
  <c r="AQ12" i="3"/>
  <c r="Z12" i="3"/>
  <c r="AN12" i="3"/>
  <c r="AK12" i="3"/>
  <c r="Y12" i="3"/>
  <c r="T12" i="3"/>
  <c r="AP12" i="3"/>
  <c r="S12" i="3"/>
  <c r="AR12" i="3"/>
  <c r="F12" i="3"/>
  <c r="E12" i="3"/>
  <c r="AA12" i="3"/>
  <c r="L12" i="3"/>
  <c r="AJ12" i="3"/>
  <c r="G12" i="3"/>
  <c r="AI12" i="3"/>
  <c r="AB12" i="3"/>
  <c r="M12" i="3"/>
  <c r="AM12" i="3"/>
  <c r="U12" i="3"/>
  <c r="AO12" i="3"/>
  <c r="N12" i="3"/>
  <c r="K12" i="3"/>
  <c r="H12" i="3"/>
  <c r="J12" i="3"/>
  <c r="AC12" i="3"/>
  <c r="X12" i="3"/>
  <c r="T270" i="2"/>
  <c r="F248" i="2"/>
  <c r="L250" i="2"/>
  <c r="J248" i="2"/>
  <c r="H140" i="2"/>
  <c r="V88" i="2"/>
  <c r="F110" i="2"/>
  <c r="L210" i="2"/>
  <c r="J350" i="2"/>
  <c r="O98" i="2"/>
  <c r="L340" i="2"/>
  <c r="I98" i="2"/>
  <c r="N88" i="2"/>
  <c r="N240" i="2"/>
  <c r="Q29" i="2"/>
  <c r="P88" i="2"/>
  <c r="AB350" i="2"/>
  <c r="I320" i="2"/>
  <c r="AD40" i="2"/>
  <c r="O220" i="2"/>
  <c r="K350" i="2"/>
  <c r="L279" i="2"/>
  <c r="T210" i="2"/>
  <c r="J281" i="2"/>
  <c r="I230" i="2"/>
  <c r="N258" i="2"/>
  <c r="G48" i="2"/>
  <c r="H352" i="2"/>
  <c r="I18" i="2"/>
  <c r="P178" i="2"/>
  <c r="J322" i="2"/>
  <c r="U98" i="2"/>
  <c r="M110" i="2"/>
  <c r="G190" i="2"/>
  <c r="L220" i="2"/>
  <c r="Z342" i="2"/>
  <c r="F359" i="2"/>
  <c r="W88" i="2"/>
  <c r="K158" i="2"/>
  <c r="AK200" i="2"/>
  <c r="S322" i="2"/>
  <c r="L281" i="2"/>
  <c r="O228" i="2"/>
  <c r="K18" i="2"/>
  <c r="H322" i="2"/>
  <c r="K100" i="2"/>
  <c r="F228" i="2"/>
  <c r="O130" i="2"/>
  <c r="U311" i="2"/>
  <c r="G322" i="2"/>
  <c r="H361" i="2"/>
  <c r="M279" i="2"/>
  <c r="O70" i="2"/>
  <c r="V268" i="2"/>
  <c r="K170" i="2"/>
  <c r="X248" i="2"/>
  <c r="J100" i="2"/>
  <c r="F148" i="2"/>
  <c r="N178" i="2"/>
  <c r="Q208" i="2"/>
  <c r="N210" i="2"/>
  <c r="G150" i="2"/>
  <c r="P210" i="2"/>
  <c r="AC352" i="2"/>
  <c r="X68" i="2"/>
  <c r="H309" i="2"/>
  <c r="L342" i="2"/>
  <c r="N110" i="2"/>
  <c r="N230" i="2"/>
  <c r="V311" i="2"/>
  <c r="V120" i="2"/>
  <c r="X98" i="2"/>
  <c r="Q38" i="2"/>
  <c r="P150" i="2"/>
  <c r="I350" i="2"/>
  <c r="P208" i="2"/>
  <c r="I48" i="2"/>
  <c r="M198" i="2"/>
  <c r="I180" i="2"/>
  <c r="L180" i="2"/>
  <c r="N18" i="2"/>
  <c r="L311" i="2"/>
  <c r="G108" i="2"/>
  <c r="Y120" i="2"/>
  <c r="L168" i="2"/>
  <c r="AA27" i="2"/>
  <c r="AD38" i="2"/>
  <c r="H258" i="2"/>
  <c r="F340" i="2"/>
  <c r="M138" i="2"/>
  <c r="R48" i="2"/>
  <c r="N322" i="2"/>
  <c r="S50" i="2"/>
  <c r="O180" i="2"/>
  <c r="K90" i="2"/>
  <c r="J50" i="2"/>
  <c r="S320" i="2"/>
  <c r="L70" i="2"/>
  <c r="H359" i="2"/>
  <c r="U90" i="2"/>
  <c r="R130" i="2"/>
  <c r="F270" i="2"/>
  <c r="G110" i="2"/>
  <c r="R128" i="2"/>
  <c r="H330" i="2"/>
  <c r="Z29" i="2"/>
  <c r="K150" i="2"/>
  <c r="U88" i="2"/>
  <c r="AB352" i="2"/>
  <c r="AK198" i="2"/>
  <c r="K29" i="2"/>
  <c r="S88" i="2"/>
  <c r="K98" i="2"/>
  <c r="G342" i="2"/>
  <c r="I100" i="2"/>
  <c r="N100" i="2"/>
  <c r="O361" i="2"/>
  <c r="O120" i="2"/>
  <c r="J98" i="2"/>
  <c r="T208" i="2"/>
  <c r="W299" i="2"/>
  <c r="O27" i="2"/>
  <c r="F48" i="2"/>
  <c r="Q108" i="2"/>
  <c r="H118" i="2"/>
  <c r="R70" i="2"/>
  <c r="L178" i="2"/>
  <c r="M60" i="2"/>
  <c r="AL200" i="2"/>
  <c r="L309" i="2"/>
  <c r="Z60" i="2"/>
  <c r="H98" i="2"/>
  <c r="V299" i="2"/>
  <c r="O260" i="2"/>
  <c r="I228" i="2"/>
  <c r="G268" i="2"/>
  <c r="R50" i="2"/>
  <c r="T110" i="2"/>
  <c r="J160" i="2"/>
  <c r="AB58" i="2"/>
  <c r="L218" i="2"/>
  <c r="O352" i="2"/>
  <c r="N320" i="2"/>
  <c r="H332" i="2"/>
  <c r="Q138" i="2"/>
  <c r="S27" i="2"/>
  <c r="G228" i="2"/>
  <c r="F108" i="2"/>
  <c r="M38" i="2"/>
  <c r="F150" i="2"/>
  <c r="J279" i="2"/>
  <c r="I50" i="2"/>
  <c r="Y40" i="2"/>
  <c r="O160" i="2"/>
  <c r="AG198" i="2"/>
  <c r="F250" i="2"/>
  <c r="AJ130" i="2"/>
  <c r="Q98" i="2"/>
  <c r="N16" i="2"/>
  <c r="K190" i="2"/>
  <c r="M220" i="2"/>
  <c r="P80" i="2"/>
  <c r="S270" i="2"/>
  <c r="H130" i="2"/>
  <c r="L90" i="2"/>
  <c r="F120" i="2"/>
  <c r="F238" i="2"/>
  <c r="L268" i="2"/>
  <c r="H228" i="2"/>
  <c r="U38" i="2"/>
  <c r="AN38" i="2"/>
  <c r="R299" i="2"/>
  <c r="H138" i="2"/>
  <c r="S200" i="2"/>
  <c r="F98" i="2"/>
  <c r="L291" i="2"/>
  <c r="R90" i="2"/>
  <c r="G40" i="2"/>
  <c r="AH130" i="2"/>
  <c r="I322" i="2"/>
  <c r="AC50" i="2"/>
  <c r="I301" i="2"/>
  <c r="AC48" i="2"/>
  <c r="O268" i="2"/>
  <c r="G60" i="2"/>
  <c r="F268" i="2"/>
  <c r="N301" i="2"/>
  <c r="AA40" i="2"/>
  <c r="H268" i="2"/>
  <c r="R170" i="2"/>
  <c r="O230" i="2"/>
  <c r="K16" i="2"/>
  <c r="AA48" i="2"/>
  <c r="F198" i="2"/>
  <c r="Q50" i="2"/>
  <c r="W250" i="2"/>
  <c r="H260" i="2"/>
  <c r="N160" i="2"/>
  <c r="J352" i="2"/>
  <c r="AB27" i="2"/>
  <c r="V301" i="2"/>
  <c r="AQ38" i="2"/>
  <c r="P180" i="2"/>
  <c r="I208" i="2"/>
  <c r="G270" i="2"/>
  <c r="I352" i="2"/>
  <c r="I88" i="2"/>
  <c r="I78" i="2"/>
  <c r="F230" i="2"/>
  <c r="O128" i="2"/>
  <c r="G198" i="2"/>
  <c r="J40" i="2"/>
  <c r="S148" i="2"/>
  <c r="Q322" i="2"/>
  <c r="M108" i="2"/>
  <c r="L240" i="2"/>
  <c r="Y58" i="2"/>
  <c r="X120" i="2"/>
  <c r="X118" i="2"/>
  <c r="Q58" i="2"/>
  <c r="G188" i="2"/>
  <c r="W238" i="2"/>
  <c r="H248" i="2"/>
  <c r="U238" i="2"/>
  <c r="K220" i="2"/>
  <c r="X100" i="2"/>
  <c r="G29" i="2"/>
  <c r="N330" i="2"/>
  <c r="J188" i="2"/>
  <c r="X27" i="2"/>
  <c r="O88" i="2"/>
  <c r="K60" i="2"/>
  <c r="T50" i="2"/>
  <c r="AE350" i="2"/>
  <c r="R200" i="2"/>
  <c r="F16" i="2"/>
  <c r="W100" i="2"/>
  <c r="R108" i="2"/>
  <c r="K332" i="2"/>
  <c r="J289" i="2"/>
  <c r="AE118" i="2"/>
  <c r="F281" i="2"/>
  <c r="V90" i="2"/>
  <c r="N120" i="2"/>
  <c r="AF200" i="2"/>
  <c r="AA50" i="2"/>
  <c r="K210" i="2"/>
  <c r="K208" i="2"/>
  <c r="M40" i="2"/>
  <c r="R29" i="2"/>
  <c r="K70" i="2"/>
  <c r="S238" i="2"/>
  <c r="S240" i="2"/>
  <c r="L140" i="2"/>
  <c r="L138" i="2"/>
  <c r="AF342" i="2"/>
  <c r="I210" i="2"/>
  <c r="M230" i="2"/>
  <c r="AD58" i="2"/>
  <c r="N108" i="2"/>
  <c r="P198" i="2"/>
  <c r="P200" i="2"/>
  <c r="F118" i="2"/>
  <c r="W148" i="2"/>
  <c r="T108" i="2"/>
  <c r="N228" i="2"/>
  <c r="N27" i="2"/>
  <c r="V309" i="2"/>
  <c r="AH340" i="2"/>
  <c r="J311" i="2"/>
  <c r="Q250" i="2"/>
  <c r="W27" i="2"/>
  <c r="S220" i="2"/>
  <c r="H250" i="2"/>
  <c r="F291" i="2"/>
  <c r="AD128" i="2"/>
  <c r="U60" i="2"/>
  <c r="AA342" i="2"/>
  <c r="Q27" i="2"/>
  <c r="Q110" i="2"/>
  <c r="J27" i="2"/>
  <c r="H58" i="2"/>
  <c r="S118" i="2"/>
  <c r="Q240" i="2"/>
  <c r="K361" i="2"/>
  <c r="AE352" i="2"/>
  <c r="O350" i="2"/>
  <c r="J200" i="2"/>
  <c r="R198" i="2"/>
  <c r="I268" i="2"/>
  <c r="M58" i="2"/>
  <c r="F100" i="2"/>
  <c r="T150" i="2"/>
  <c r="T248" i="2"/>
  <c r="AL198" i="2"/>
  <c r="H38" i="2"/>
  <c r="R210" i="2"/>
  <c r="AF198" i="2"/>
  <c r="Y130" i="2"/>
  <c r="AE58" i="2"/>
  <c r="M228" i="2"/>
  <c r="S29" i="2"/>
  <c r="M80" i="2"/>
  <c r="M128" i="2"/>
  <c r="K342" i="2"/>
  <c r="Q279" i="2"/>
  <c r="K352" i="2"/>
  <c r="Q140" i="2"/>
  <c r="AA38" i="2"/>
  <c r="F140" i="2"/>
  <c r="M311" i="2"/>
  <c r="O16" i="2"/>
  <c r="K78" i="2"/>
  <c r="J330" i="2"/>
  <c r="P78" i="2"/>
  <c r="AE60" i="2"/>
  <c r="H311" i="2"/>
  <c r="I60" i="2"/>
  <c r="W120" i="2"/>
  <c r="S90" i="2"/>
  <c r="V240" i="2"/>
  <c r="V238" i="2"/>
  <c r="H128" i="2"/>
  <c r="AF340" i="2"/>
  <c r="AA120" i="2"/>
  <c r="M260" i="2"/>
  <c r="R320" i="2"/>
  <c r="AD60" i="2"/>
  <c r="F208" i="2"/>
  <c r="V270" i="2"/>
  <c r="W150" i="2"/>
  <c r="O40" i="2"/>
  <c r="W270" i="2"/>
  <c r="W268" i="2"/>
  <c r="J361" i="2"/>
  <c r="J359" i="2"/>
  <c r="T268" i="2"/>
  <c r="F240" i="2"/>
  <c r="O258" i="2"/>
  <c r="S218" i="2"/>
  <c r="W29" i="2"/>
  <c r="AS38" i="2"/>
  <c r="AC198" i="2"/>
  <c r="O340" i="2"/>
  <c r="M29" i="2"/>
  <c r="T98" i="2"/>
  <c r="W130" i="2"/>
  <c r="O311" i="2"/>
  <c r="M48" i="2"/>
  <c r="M281" i="2"/>
  <c r="Q40" i="2"/>
  <c r="AM38" i="2"/>
  <c r="O218" i="2"/>
  <c r="J48" i="2"/>
  <c r="R301" i="2"/>
  <c r="N268" i="2"/>
  <c r="L29" i="2"/>
  <c r="H178" i="2"/>
  <c r="T148" i="2"/>
  <c r="K322" i="2"/>
  <c r="F279" i="2"/>
  <c r="L289" i="2"/>
  <c r="AJ128" i="2"/>
  <c r="K160" i="2"/>
  <c r="N128" i="2"/>
  <c r="G160" i="2"/>
  <c r="G230" i="2"/>
  <c r="AI38" i="2"/>
  <c r="M200" i="2"/>
  <c r="O200" i="2"/>
  <c r="H100" i="2"/>
  <c r="R68" i="2"/>
  <c r="K80" i="2"/>
  <c r="AG58" i="2"/>
  <c r="K148" i="2"/>
  <c r="M130" i="2"/>
  <c r="J220" i="2"/>
  <c r="J342" i="2"/>
  <c r="Q281" i="2"/>
  <c r="W350" i="2"/>
  <c r="I178" i="2"/>
  <c r="R208" i="2"/>
  <c r="Q150" i="2"/>
  <c r="K180" i="2"/>
  <c r="X70" i="2"/>
  <c r="O68" i="2"/>
  <c r="Q48" i="2"/>
  <c r="AC130" i="2"/>
  <c r="L128" i="2"/>
  <c r="L130" i="2"/>
  <c r="X198" i="2"/>
  <c r="X50" i="2"/>
  <c r="X48" i="2"/>
  <c r="T350" i="2"/>
  <c r="AB130" i="2"/>
  <c r="O100" i="2"/>
  <c r="L198" i="2"/>
  <c r="I90" i="2"/>
  <c r="W60" i="2"/>
  <c r="G340" i="2"/>
  <c r="I80" i="2"/>
  <c r="G200" i="2"/>
  <c r="I340" i="2"/>
  <c r="K258" i="2"/>
  <c r="K260" i="2"/>
  <c r="U128" i="2"/>
  <c r="U130" i="2"/>
  <c r="Y60" i="2"/>
  <c r="Z27" i="2"/>
  <c r="R118" i="2"/>
  <c r="G311" i="2"/>
  <c r="I190" i="2"/>
  <c r="Q60" i="2"/>
  <c r="G291" i="2"/>
  <c r="G289" i="2"/>
  <c r="F50" i="2"/>
  <c r="V118" i="2"/>
  <c r="L50" i="2"/>
  <c r="M27" i="2"/>
  <c r="J190" i="2"/>
  <c r="AC120" i="2"/>
  <c r="H279" i="2"/>
  <c r="H281" i="2"/>
  <c r="Z340" i="2"/>
  <c r="P90" i="2"/>
  <c r="L60" i="2"/>
  <c r="T48" i="2"/>
  <c r="X301" i="2"/>
  <c r="J198" i="2"/>
  <c r="J128" i="2"/>
  <c r="J291" i="2"/>
  <c r="AE130" i="2"/>
  <c r="P128" i="2"/>
  <c r="L68" i="2"/>
  <c r="L170" i="2"/>
  <c r="F361" i="2"/>
  <c r="K128" i="2"/>
  <c r="K340" i="2"/>
  <c r="S70" i="2"/>
  <c r="J340" i="2"/>
  <c r="N200" i="2"/>
  <c r="K291" i="2"/>
  <c r="U268" i="2"/>
  <c r="N158" i="2"/>
  <c r="AG200" i="2"/>
  <c r="G148" i="2"/>
  <c r="Z58" i="2"/>
  <c r="N180" i="2"/>
  <c r="G88" i="2"/>
  <c r="AA29" i="2"/>
  <c r="L248" i="2"/>
  <c r="I299" i="2"/>
  <c r="K188" i="2"/>
  <c r="P170" i="2"/>
  <c r="S68" i="2"/>
  <c r="O158" i="2"/>
  <c r="H208" i="2"/>
  <c r="AI340" i="2"/>
  <c r="N118" i="2"/>
  <c r="F138" i="2"/>
  <c r="O18" i="2"/>
  <c r="I138" i="2"/>
  <c r="H350" i="2"/>
  <c r="Y128" i="2"/>
  <c r="I289" i="2"/>
  <c r="I16" i="2"/>
  <c r="Q100" i="2"/>
  <c r="W301" i="2"/>
  <c r="U150" i="2"/>
  <c r="K68" i="2"/>
  <c r="Y118" i="2"/>
  <c r="T68" i="2"/>
  <c r="M70" i="2"/>
  <c r="AB128" i="2"/>
  <c r="J260" i="2"/>
  <c r="K228" i="2"/>
  <c r="P342" i="2"/>
  <c r="Y342" i="2"/>
  <c r="P248" i="2"/>
  <c r="J240" i="2"/>
  <c r="I108" i="2"/>
  <c r="I342" i="2"/>
  <c r="L88" i="2"/>
  <c r="F130" i="2"/>
  <c r="I332" i="2"/>
  <c r="AA128" i="2"/>
  <c r="AH342" i="2"/>
  <c r="M98" i="2"/>
  <c r="V48" i="2"/>
  <c r="R120" i="2"/>
  <c r="G78" i="2"/>
  <c r="G320" i="2"/>
  <c r="V200" i="2"/>
  <c r="R340" i="2"/>
  <c r="W240" i="2"/>
  <c r="K218" i="2"/>
  <c r="O178" i="2"/>
  <c r="T100" i="2"/>
  <c r="AA340" i="2"/>
  <c r="AC118" i="2"/>
  <c r="N332" i="2"/>
  <c r="S120" i="2"/>
  <c r="F158" i="2"/>
  <c r="K58" i="2"/>
  <c r="U40" i="2"/>
  <c r="L58" i="2"/>
  <c r="H120" i="2"/>
  <c r="N291" i="2"/>
  <c r="F180" i="2"/>
  <c r="H180" i="2"/>
  <c r="L27" i="2"/>
  <c r="K320" i="2"/>
  <c r="X250" i="2"/>
  <c r="R88" i="2"/>
  <c r="AE120" i="2"/>
  <c r="K130" i="2"/>
  <c r="K168" i="2"/>
  <c r="S342" i="2"/>
  <c r="G248" i="2"/>
  <c r="Q210" i="2"/>
  <c r="O270" i="2"/>
  <c r="N299" i="2"/>
  <c r="P148" i="2"/>
  <c r="I140" i="2"/>
  <c r="R168" i="2"/>
  <c r="K311" i="2"/>
  <c r="M218" i="2"/>
  <c r="L208" i="2"/>
  <c r="AC128" i="2"/>
  <c r="AG60" i="2"/>
  <c r="N309" i="2"/>
  <c r="X238" i="2"/>
  <c r="X200" i="2"/>
  <c r="M68" i="2"/>
  <c r="T70" i="2"/>
  <c r="J258" i="2"/>
  <c r="T352" i="2"/>
  <c r="P340" i="2"/>
  <c r="K230" i="2"/>
  <c r="AA118" i="2"/>
  <c r="I220" i="2"/>
  <c r="R322" i="2"/>
  <c r="L150" i="2"/>
  <c r="L148" i="2"/>
  <c r="I330" i="2"/>
  <c r="J38" i="2"/>
  <c r="N29" i="2"/>
  <c r="G98" i="2"/>
  <c r="G100" i="2"/>
  <c r="G309" i="2"/>
  <c r="S48" i="2"/>
  <c r="I188" i="2"/>
  <c r="AC200" i="2"/>
  <c r="L270" i="2"/>
  <c r="J158" i="2"/>
  <c r="L16" i="2"/>
  <c r="AD130" i="2"/>
  <c r="G27" i="2"/>
  <c r="L48" i="2"/>
  <c r="J29" i="2"/>
  <c r="W128" i="2"/>
  <c r="F160" i="2"/>
  <c r="M50" i="2"/>
  <c r="N38" i="2"/>
  <c r="Q238" i="2"/>
  <c r="M342" i="2"/>
  <c r="V58" i="2"/>
  <c r="N270" i="2"/>
  <c r="AN40" i="2"/>
  <c r="S198" i="2"/>
  <c r="W98" i="2"/>
  <c r="AC60" i="2"/>
  <c r="Q200" i="2"/>
  <c r="P130" i="2"/>
  <c r="S340" i="2"/>
  <c r="AI40" i="2"/>
  <c r="N260" i="2"/>
  <c r="W48" i="2"/>
  <c r="AI342" i="2"/>
  <c r="H270" i="2"/>
  <c r="F200" i="2"/>
  <c r="AC350" i="2"/>
  <c r="J218" i="2"/>
  <c r="P168" i="2"/>
  <c r="J68" i="2"/>
  <c r="Y38" i="2"/>
  <c r="N198" i="2"/>
  <c r="W50" i="2"/>
  <c r="K289" i="2"/>
  <c r="G50" i="2"/>
  <c r="Q120" i="2"/>
  <c r="H40" i="2"/>
  <c r="M309" i="2"/>
  <c r="U270" i="2"/>
  <c r="V342" i="2"/>
  <c r="J332" i="2"/>
  <c r="U148" i="2"/>
  <c r="N311" i="2"/>
  <c r="W248" i="2"/>
  <c r="X240" i="2"/>
  <c r="S268" i="2"/>
  <c r="AB29" i="2"/>
  <c r="F342" i="2"/>
  <c r="AQ40" i="2"/>
  <c r="Q270" i="2"/>
  <c r="Q268" i="2"/>
  <c r="P250" i="2"/>
  <c r="M140" i="2"/>
  <c r="I218" i="2"/>
  <c r="J238" i="2"/>
  <c r="T301" i="2"/>
  <c r="F210" i="2"/>
  <c r="P138" i="2"/>
  <c r="P140" i="2"/>
  <c r="S150" i="2"/>
  <c r="M100" i="2"/>
  <c r="N90" i="2"/>
  <c r="J309" i="2"/>
  <c r="N98" i="2"/>
  <c r="J60" i="2"/>
  <c r="J58" i="2"/>
  <c r="N238" i="2"/>
  <c r="R342" i="2"/>
  <c r="AB60" i="2"/>
  <c r="O342" i="2"/>
  <c r="U240" i="2"/>
  <c r="N218" i="2"/>
  <c r="M350" i="2"/>
  <c r="O309" i="2"/>
  <c r="O359" i="2"/>
  <c r="K88" i="2"/>
  <c r="K359" i="2"/>
  <c r="O90" i="2"/>
  <c r="U110" i="2"/>
  <c r="U108" i="2"/>
  <c r="F18" i="2"/>
  <c r="X299" i="2"/>
  <c r="K330" i="2"/>
  <c r="I270" i="2"/>
  <c r="AC58" i="2"/>
  <c r="B12" i="3"/>
  <c r="G332" i="2"/>
  <c r="Q198" i="2"/>
  <c r="P118" i="2"/>
  <c r="I58" i="2"/>
  <c r="M78" i="2"/>
  <c r="N130" i="2"/>
  <c r="G90" i="2"/>
  <c r="AH128" i="2"/>
  <c r="G158" i="2"/>
  <c r="G38" i="2"/>
  <c r="J250" i="2"/>
  <c r="J70" i="2"/>
  <c r="G250" i="2"/>
  <c r="P120" i="2"/>
  <c r="G58" i="2"/>
  <c r="W352" i="2"/>
  <c r="O198" i="2"/>
  <c r="H210" i="2"/>
  <c r="Q148" i="2"/>
  <c r="Q118" i="2"/>
  <c r="K27" i="2"/>
  <c r="K178" i="2"/>
  <c r="I291" i="2"/>
  <c r="K309" i="2"/>
  <c r="V340" i="2"/>
  <c r="T200" i="2"/>
  <c r="T198" i="2"/>
  <c r="H320" i="2"/>
  <c r="R27" i="2"/>
  <c r="N208" i="2"/>
  <c r="W118" i="2"/>
  <c r="M250" i="2"/>
  <c r="M248" i="2"/>
  <c r="J320" i="2"/>
  <c r="L200" i="2"/>
  <c r="W58" i="2"/>
  <c r="M258" i="2"/>
  <c r="Y340" i="2"/>
  <c r="I110" i="2"/>
  <c r="O29" i="2"/>
  <c r="U100" i="2"/>
  <c r="T299" i="2"/>
  <c r="O38" i="2"/>
  <c r="F128" i="2"/>
  <c r="Q320" i="2"/>
  <c r="AA130" i="2"/>
  <c r="U309" i="2"/>
  <c r="L238" i="2"/>
  <c r="Q248" i="2"/>
  <c r="V50" i="2"/>
  <c r="V198" i="2"/>
  <c r="G80" i="2"/>
  <c r="F289" i="2"/>
  <c r="AS40" i="2"/>
  <c r="U58" i="2"/>
  <c r="L18" i="2"/>
  <c r="M352" i="2"/>
  <c r="N220" i="2"/>
  <c r="H230" i="2"/>
  <c r="W90" i="2"/>
  <c r="O118" i="2"/>
  <c r="H60" i="2"/>
  <c r="X29" i="2"/>
  <c r="AM40" i="2"/>
  <c r="N40" i="2"/>
  <c r="V60" i="2"/>
  <c r="M340" i="2"/>
  <c r="F178" i="2"/>
  <c r="N289" i="2"/>
  <c r="J130" i="2"/>
  <c r="R110" i="2"/>
  <c r="AE128" i="2"/>
  <c r="T250" i="2"/>
  <c r="G330" i="2"/>
  <c r="H340" i="2"/>
  <c r="T29" i="2"/>
  <c r="AR38" i="2"/>
  <c r="S208" i="2"/>
  <c r="F301" i="2"/>
  <c r="Y248" i="2"/>
  <c r="V350" i="2"/>
  <c r="J118" i="2"/>
  <c r="AB48" i="2"/>
  <c r="R148" i="2"/>
  <c r="P60" i="2"/>
  <c r="U48" i="2"/>
  <c r="T342" i="2"/>
  <c r="Q218" i="2"/>
  <c r="H50" i="2"/>
  <c r="Q352" i="2"/>
  <c r="S170" i="2"/>
  <c r="Z198" i="2"/>
  <c r="AD350" i="2"/>
  <c r="N148" i="2"/>
  <c r="N78" i="2"/>
  <c r="S301" i="2"/>
  <c r="P70" i="2"/>
  <c r="O240" i="2"/>
  <c r="M18" i="2"/>
  <c r="AG130" i="2"/>
  <c r="F70" i="2"/>
  <c r="U210" i="2"/>
  <c r="I27" i="2"/>
  <c r="O322" i="2"/>
  <c r="L110" i="2"/>
  <c r="O110" i="2"/>
  <c r="Q301" i="2"/>
  <c r="H88" i="2"/>
  <c r="AB120" i="2"/>
  <c r="J110" i="2"/>
  <c r="V40" i="2"/>
  <c r="AM200" i="2"/>
  <c r="T38" i="2"/>
  <c r="P322" i="2"/>
  <c r="O108" i="2"/>
  <c r="X342" i="2"/>
  <c r="AB40" i="2"/>
  <c r="K110" i="2"/>
  <c r="AG342" i="2"/>
  <c r="G130" i="2"/>
  <c r="X58" i="2"/>
  <c r="AD340" i="2"/>
  <c r="G118" i="2"/>
  <c r="Q228" i="2"/>
  <c r="F320" i="2"/>
  <c r="H289" i="2"/>
  <c r="L299" i="2"/>
  <c r="N150" i="2"/>
  <c r="F299" i="2"/>
  <c r="M299" i="2"/>
  <c r="O140" i="2"/>
  <c r="O150" i="2"/>
  <c r="V248" i="2"/>
  <c r="J268" i="2"/>
  <c r="K279" i="2"/>
  <c r="F60" i="2"/>
  <c r="N350" i="2"/>
  <c r="P268" i="2"/>
  <c r="AM198" i="2"/>
  <c r="R268" i="2"/>
  <c r="I29" i="2"/>
  <c r="F38" i="2"/>
  <c r="AJ340" i="2"/>
  <c r="H240" i="2"/>
  <c r="L230" i="2"/>
  <c r="N340" i="2"/>
  <c r="H160" i="2"/>
  <c r="H150" i="2"/>
  <c r="T120" i="2"/>
  <c r="AH38" i="2"/>
  <c r="U342" i="2"/>
  <c r="AI200" i="2"/>
  <c r="O60" i="2"/>
  <c r="W320" i="2"/>
  <c r="R140" i="2"/>
  <c r="AP40" i="2"/>
  <c r="I311" i="2"/>
  <c r="V148" i="2"/>
  <c r="R350" i="2"/>
  <c r="M148" i="2"/>
  <c r="H68" i="2"/>
  <c r="S100" i="2"/>
  <c r="W68" i="2"/>
  <c r="O210" i="2"/>
  <c r="M291" i="2"/>
  <c r="P309" i="2"/>
  <c r="M289" i="2"/>
  <c r="F90" i="2"/>
  <c r="I279" i="2"/>
  <c r="M118" i="2"/>
  <c r="Q309" i="2"/>
  <c r="K120" i="2"/>
  <c r="O238" i="2"/>
  <c r="O291" i="2"/>
  <c r="K301" i="2"/>
  <c r="H200" i="2"/>
  <c r="H78" i="2"/>
  <c r="W322" i="2"/>
  <c r="P311" i="2"/>
  <c r="Y352" i="2"/>
  <c r="Z130" i="2"/>
  <c r="V100" i="2"/>
  <c r="V27" i="2"/>
  <c r="O50" i="2"/>
  <c r="AJ38" i="2"/>
  <c r="O320" i="2"/>
  <c r="W70" i="2"/>
  <c r="L330" i="2"/>
  <c r="L118" i="2"/>
  <c r="AA200" i="2"/>
  <c r="AB118" i="2"/>
  <c r="U27" i="2"/>
  <c r="M332" i="2"/>
  <c r="U70" i="2"/>
  <c r="G240" i="2"/>
  <c r="Z120" i="2"/>
  <c r="T320" i="2"/>
  <c r="S60" i="2"/>
  <c r="S299" i="2"/>
  <c r="AF60" i="2"/>
  <c r="Z352" i="2"/>
  <c r="J210" i="2"/>
  <c r="L108" i="2"/>
  <c r="P27" i="2"/>
  <c r="N250" i="2"/>
  <c r="V250" i="2"/>
  <c r="AA60" i="2"/>
  <c r="AA58" i="2"/>
  <c r="S352" i="2"/>
  <c r="AH198" i="2"/>
  <c r="S250" i="2"/>
  <c r="G68" i="2"/>
  <c r="R270" i="2"/>
  <c r="AJ342" i="2"/>
  <c r="H18" i="2"/>
  <c r="X340" i="2"/>
  <c r="Z118" i="2"/>
  <c r="G128" i="2"/>
  <c r="J120" i="2"/>
  <c r="AE38" i="2"/>
  <c r="U340" i="2"/>
  <c r="T238" i="2"/>
  <c r="H90" i="2"/>
  <c r="V98" i="2"/>
  <c r="G258" i="2"/>
  <c r="X38" i="2"/>
  <c r="I40" i="2"/>
  <c r="G352" i="2"/>
  <c r="I238" i="2"/>
  <c r="I240" i="2"/>
  <c r="AK340" i="2"/>
  <c r="AK342" i="2"/>
  <c r="Q340" i="2"/>
  <c r="I158" i="2"/>
  <c r="H110" i="2"/>
  <c r="V29" i="2"/>
  <c r="H220" i="2"/>
  <c r="N58" i="2"/>
  <c r="L98" i="2"/>
  <c r="I168" i="2"/>
  <c r="AD198" i="2"/>
  <c r="J80" i="2"/>
  <c r="P350" i="2"/>
  <c r="G70" i="2"/>
  <c r="L78" i="2"/>
  <c r="N140" i="2"/>
  <c r="M301" i="2"/>
  <c r="N70" i="2"/>
  <c r="AI198" i="2"/>
  <c r="I148" i="2"/>
  <c r="I281" i="2"/>
  <c r="P238" i="2"/>
  <c r="L350" i="2"/>
  <c r="N60" i="2"/>
  <c r="M210" i="2"/>
  <c r="F188" i="2"/>
  <c r="G350" i="2"/>
  <c r="AC27" i="2"/>
  <c r="Q90" i="2"/>
  <c r="AR40" i="2"/>
  <c r="L359" i="2"/>
  <c r="O279" i="2"/>
  <c r="K270" i="2"/>
  <c r="T130" i="2"/>
  <c r="O299" i="2"/>
  <c r="M322" i="2"/>
  <c r="AO40" i="2"/>
  <c r="P270" i="2"/>
  <c r="AF128" i="2"/>
  <c r="S128" i="2"/>
  <c r="L120" i="2"/>
  <c r="U50" i="2"/>
  <c r="F218" i="2"/>
  <c r="F170" i="2"/>
  <c r="O48" i="2"/>
  <c r="Q220" i="2"/>
  <c r="P218" i="2"/>
  <c r="R138" i="2"/>
  <c r="U120" i="2"/>
  <c r="H342" i="2"/>
  <c r="Q88" i="2"/>
  <c r="P228" i="2"/>
  <c r="Y350" i="2"/>
  <c r="J180" i="2"/>
  <c r="F78" i="2"/>
  <c r="AJ200" i="2"/>
  <c r="G120" i="2"/>
  <c r="J16" i="2"/>
  <c r="O148" i="2"/>
  <c r="Y48" i="2"/>
  <c r="AG340" i="2"/>
  <c r="P279" i="2"/>
  <c r="P38" i="2"/>
  <c r="M208" i="2"/>
  <c r="L158" i="2"/>
  <c r="N68" i="2"/>
  <c r="R58" i="2"/>
  <c r="N48" i="2"/>
  <c r="P58" i="2"/>
  <c r="S309" i="2"/>
  <c r="S311" i="2"/>
  <c r="H158" i="2"/>
  <c r="R40" i="2"/>
  <c r="J140" i="2"/>
  <c r="U29" i="2"/>
  <c r="T240" i="2"/>
  <c r="Q230" i="2"/>
  <c r="AI128" i="2"/>
  <c r="Z50" i="2"/>
  <c r="AP38" i="2"/>
  <c r="G260" i="2"/>
  <c r="P98" i="2"/>
  <c r="V150" i="2"/>
  <c r="O301" i="2"/>
  <c r="I248" i="2"/>
  <c r="T60" i="2"/>
  <c r="M90" i="2"/>
  <c r="P68" i="2"/>
  <c r="J299" i="2"/>
  <c r="R218" i="2"/>
  <c r="H218" i="2"/>
  <c r="U350" i="2"/>
  <c r="M120" i="2"/>
  <c r="Z38" i="2"/>
  <c r="AE340" i="2"/>
  <c r="L100" i="2"/>
  <c r="F330" i="2"/>
  <c r="K118" i="2"/>
  <c r="P29" i="2"/>
  <c r="L260" i="2"/>
  <c r="K299" i="2"/>
  <c r="F58" i="2"/>
  <c r="Q342" i="2"/>
  <c r="T27" i="2"/>
  <c r="R220" i="2"/>
  <c r="U320" i="2"/>
  <c r="AO38" i="2"/>
  <c r="AF40" i="2"/>
  <c r="K50" i="2"/>
  <c r="K140" i="2"/>
  <c r="K198" i="2"/>
  <c r="W38" i="2"/>
  <c r="AA350" i="2"/>
  <c r="R38" i="2"/>
  <c r="K250" i="2"/>
  <c r="K268" i="2"/>
  <c r="S110" i="2"/>
  <c r="X352" i="2"/>
  <c r="L332" i="2"/>
  <c r="AB340" i="2"/>
  <c r="P240" i="2"/>
  <c r="H190" i="2"/>
  <c r="K48" i="2"/>
  <c r="AJ40" i="2"/>
  <c r="S350" i="2"/>
  <c r="K200" i="2"/>
  <c r="U68" i="2"/>
  <c r="H301" i="2"/>
  <c r="I68" i="2"/>
  <c r="R100" i="2"/>
  <c r="M158" i="2"/>
  <c r="L228" i="2"/>
  <c r="H238" i="2"/>
  <c r="F190" i="2"/>
  <c r="N342" i="2"/>
  <c r="T118" i="2"/>
  <c r="G208" i="2"/>
  <c r="O248" i="2"/>
  <c r="J150" i="2"/>
  <c r="T40" i="2"/>
  <c r="AI130" i="2"/>
  <c r="X40" i="2"/>
  <c r="AF130" i="2"/>
  <c r="AB38" i="2"/>
  <c r="P100" i="2"/>
  <c r="T58" i="2"/>
  <c r="V128" i="2"/>
  <c r="W40" i="2"/>
  <c r="Q170" i="2"/>
  <c r="O208" i="2"/>
  <c r="J301" i="2"/>
  <c r="T340" i="2"/>
  <c r="AC29" i="2"/>
  <c r="J230" i="2"/>
  <c r="S130" i="2"/>
  <c r="AE342" i="2"/>
  <c r="Z40" i="2"/>
  <c r="U352" i="2"/>
  <c r="R150" i="2"/>
  <c r="F332" i="2"/>
  <c r="AF38" i="2"/>
  <c r="S248" i="2"/>
  <c r="AB50" i="2"/>
  <c r="P40" i="2"/>
  <c r="J88" i="2"/>
  <c r="P320" i="2"/>
  <c r="AE200" i="2"/>
  <c r="U248" i="2"/>
  <c r="P110" i="2"/>
  <c r="H299" i="2"/>
  <c r="O289" i="2"/>
  <c r="T309" i="2"/>
  <c r="H27" i="2"/>
  <c r="V320" i="2"/>
  <c r="J18" i="2"/>
  <c r="N50" i="2"/>
  <c r="AH40" i="2"/>
  <c r="Q311" i="2"/>
  <c r="U250" i="2"/>
  <c r="G16" i="2"/>
  <c r="J90" i="2"/>
  <c r="J208" i="2"/>
  <c r="S98" i="2"/>
  <c r="H108" i="2"/>
  <c r="AB342" i="2"/>
  <c r="Q299" i="2"/>
  <c r="I260" i="2"/>
  <c r="M320" i="2"/>
  <c r="AK40" i="2"/>
  <c r="G361" i="2"/>
  <c r="U208" i="2"/>
  <c r="N248" i="2"/>
  <c r="H291" i="2"/>
  <c r="S210" i="2"/>
  <c r="L301" i="2"/>
  <c r="L320" i="2"/>
  <c r="AE198" i="2"/>
  <c r="U118" i="2"/>
  <c r="AJ198" i="2"/>
  <c r="L361" i="2"/>
  <c r="I128" i="2"/>
  <c r="K281" i="2"/>
  <c r="J270" i="2"/>
  <c r="N352" i="2"/>
  <c r="V352" i="2"/>
  <c r="M16" i="2"/>
  <c r="AF58" i="2"/>
  <c r="R60" i="2"/>
  <c r="Z128" i="2"/>
  <c r="H16" i="2"/>
  <c r="R98" i="2"/>
  <c r="P220" i="2"/>
  <c r="G238" i="2"/>
  <c r="AC340" i="2"/>
  <c r="AE40" i="2"/>
  <c r="H48" i="2"/>
  <c r="J148" i="2"/>
  <c r="O250" i="2"/>
  <c r="Z48" i="2"/>
  <c r="AH60" i="2"/>
  <c r="F220" i="2"/>
  <c r="J108" i="2"/>
  <c r="X60" i="2"/>
  <c r="I38" i="2"/>
  <c r="M150" i="2"/>
  <c r="I150" i="2"/>
  <c r="S58" i="2"/>
  <c r="Q168" i="2"/>
  <c r="G220" i="2"/>
  <c r="M330" i="2"/>
  <c r="H29" i="2"/>
  <c r="W200" i="2"/>
  <c r="K248" i="2"/>
  <c r="N170" i="2"/>
  <c r="AD342" i="2"/>
  <c r="F68" i="2"/>
  <c r="K108" i="2"/>
  <c r="V38" i="2"/>
  <c r="N138" i="2"/>
  <c r="I130" i="2"/>
  <c r="I70" i="2"/>
  <c r="N361" i="2"/>
  <c r="T322" i="2"/>
  <c r="M88" i="2"/>
  <c r="AK38" i="2"/>
  <c r="G18" i="2"/>
  <c r="M160" i="2"/>
  <c r="Z350" i="2"/>
  <c r="AG128" i="2"/>
  <c r="O80" i="2"/>
  <c r="U322" i="2"/>
  <c r="G301" i="2"/>
  <c r="H148" i="2"/>
  <c r="I250" i="2"/>
  <c r="AD200" i="2"/>
  <c r="H198" i="2"/>
  <c r="N359" i="2"/>
  <c r="I258" i="2"/>
  <c r="Q350" i="2"/>
  <c r="K40" i="2"/>
  <c r="H170" i="2"/>
  <c r="S108" i="2"/>
  <c r="V322" i="2"/>
  <c r="X350" i="2"/>
  <c r="P281" i="2"/>
  <c r="AH58" i="2"/>
  <c r="F88" i="2"/>
  <c r="G140" i="2"/>
  <c r="Z200" i="2"/>
  <c r="V130" i="2"/>
  <c r="P230" i="2"/>
  <c r="H188" i="2"/>
  <c r="AA198" i="2"/>
  <c r="N168" i="2"/>
  <c r="F80" i="2"/>
  <c r="R311" i="2"/>
  <c r="N80" i="2"/>
  <c r="I170" i="2"/>
  <c r="H168" i="2"/>
  <c r="G359" i="2"/>
  <c r="K38" i="2"/>
  <c r="L322" i="2"/>
  <c r="J178" i="2"/>
  <c r="S168" i="2"/>
  <c r="O138" i="2"/>
  <c r="G138" i="2"/>
  <c r="Y250" i="2"/>
  <c r="AA352" i="2"/>
  <c r="Y50" i="2"/>
  <c r="P108" i="2"/>
  <c r="AH200" i="2"/>
  <c r="L258" i="2"/>
  <c r="L160" i="2"/>
  <c r="O281" i="2"/>
  <c r="G299" i="2"/>
  <c r="R309" i="2"/>
  <c r="T128" i="2"/>
  <c r="F40" i="2"/>
  <c r="M170" i="2"/>
  <c r="M168" i="2"/>
  <c r="H80" i="2"/>
  <c r="AC342" i="2"/>
  <c r="G210" i="2"/>
  <c r="J138" i="2"/>
  <c r="T311" i="2"/>
  <c r="AD352" i="2"/>
  <c r="O58" i="2"/>
  <c r="L80" i="2"/>
  <c r="L352" i="2"/>
  <c r="I309" i="2"/>
  <c r="W342" i="2"/>
  <c r="W340" i="2"/>
  <c r="R352" i="2"/>
  <c r="G218" i="2"/>
  <c r="H70" i="2"/>
  <c r="I160" i="2"/>
  <c r="K138" i="2"/>
  <c r="W198" i="2"/>
  <c r="F322" i="2"/>
  <c r="J228" i="2"/>
  <c r="O78" i="2"/>
  <c r="P352" i="2"/>
  <c r="J78" i="2"/>
  <c r="F168" i="2"/>
  <c r="E165" i="2"/>
  <c r="P301" i="2"/>
  <c r="O170" i="2"/>
  <c r="G38" i="4"/>
  <c r="E327" i="2"/>
  <c r="E105" i="2"/>
  <c r="G39" i="4"/>
  <c r="G28" i="4"/>
  <c r="J168" i="2"/>
  <c r="F350" i="2"/>
  <c r="M240" i="2"/>
  <c r="I198" i="2"/>
  <c r="X128" i="2"/>
  <c r="AF350" i="2"/>
  <c r="AB198" i="2"/>
  <c r="AC40" i="2"/>
  <c r="AF352" i="2"/>
  <c r="E75" i="2"/>
  <c r="N279" i="2"/>
  <c r="J170" i="2"/>
  <c r="I200" i="2"/>
  <c r="K238" i="2"/>
  <c r="AL38" i="2"/>
  <c r="X130" i="2"/>
  <c r="Y27" i="2"/>
  <c r="T88" i="2"/>
  <c r="Q70" i="2"/>
  <c r="G14" i="4"/>
  <c r="L38" i="2"/>
  <c r="G24" i="4"/>
  <c r="G11" i="4"/>
  <c r="F260" i="2"/>
  <c r="E337" i="2"/>
  <c r="G33" i="4"/>
  <c r="G26" i="4"/>
  <c r="Y200" i="2"/>
  <c r="M359" i="2"/>
  <c r="AD120" i="2"/>
  <c r="G168" i="2"/>
  <c r="I361" i="2"/>
  <c r="F27" i="2"/>
  <c r="Y29" i="2"/>
  <c r="G37" i="4"/>
  <c r="M268" i="2"/>
  <c r="E356" i="2"/>
  <c r="G279" i="2"/>
  <c r="E65" i="2"/>
  <c r="E13" i="2"/>
  <c r="G27" i="4"/>
  <c r="E195" i="2"/>
  <c r="R248" i="2"/>
  <c r="G21" i="4"/>
  <c r="E145" i="2"/>
  <c r="G16" i="4"/>
  <c r="G44" i="4"/>
  <c r="G25" i="4"/>
  <c r="E296" i="2"/>
  <c r="G10" i="4"/>
  <c r="G35" i="4"/>
  <c r="E185" i="2"/>
  <c r="E205" i="2"/>
  <c r="P50" i="2"/>
  <c r="N281" i="2"/>
  <c r="G170" i="2"/>
  <c r="U200" i="2"/>
  <c r="Q128" i="2"/>
  <c r="AC38" i="2"/>
  <c r="AB200" i="2"/>
  <c r="G18" i="4"/>
  <c r="G41" i="4"/>
  <c r="F309" i="2"/>
  <c r="E286" i="2"/>
  <c r="E225" i="2"/>
  <c r="G42" i="4"/>
  <c r="AG40" i="2"/>
  <c r="AL40" i="2"/>
  <c r="G40" i="4"/>
  <c r="E45" i="2"/>
  <c r="G19" i="4"/>
  <c r="E55" i="2"/>
  <c r="F258" i="2"/>
  <c r="Y198" i="2"/>
  <c r="R238" i="2"/>
  <c r="R240" i="2"/>
  <c r="V68" i="2"/>
  <c r="Q130" i="2"/>
  <c r="O168" i="2"/>
  <c r="L40" i="2"/>
  <c r="E24" i="2"/>
  <c r="E115" i="2"/>
  <c r="E276" i="2"/>
  <c r="G17" i="4"/>
  <c r="G23" i="4"/>
  <c r="E155" i="2"/>
  <c r="E317" i="2"/>
  <c r="E245" i="2"/>
  <c r="G36" i="4"/>
  <c r="G12" i="4"/>
  <c r="E35" i="2"/>
  <c r="G20" i="4"/>
  <c r="F352" i="2"/>
  <c r="Q180" i="2"/>
  <c r="K240" i="2"/>
  <c r="U198" i="2"/>
  <c r="M238" i="2"/>
  <c r="S40" i="2"/>
  <c r="S38" i="2"/>
  <c r="U301" i="2"/>
  <c r="G178" i="2"/>
  <c r="G180" i="2"/>
  <c r="AG38" i="2"/>
  <c r="G15" i="4"/>
  <c r="E265" i="2"/>
  <c r="G30" i="4"/>
  <c r="E215" i="2"/>
  <c r="E255" i="2"/>
  <c r="G45" i="4"/>
  <c r="E306" i="2"/>
  <c r="E175" i="2"/>
  <c r="G29" i="4"/>
  <c r="M361" i="2"/>
  <c r="M270" i="2"/>
  <c r="AD118" i="2"/>
  <c r="I120" i="2"/>
  <c r="R250" i="2"/>
  <c r="I359" i="2"/>
  <c r="T90" i="2"/>
  <c r="U299" i="2"/>
  <c r="M178" i="2"/>
  <c r="E85" i="2"/>
  <c r="E125" i="2"/>
  <c r="E95" i="2"/>
  <c r="Q178" i="2"/>
  <c r="G32" i="4"/>
  <c r="G34" i="4"/>
  <c r="E347" i="2"/>
  <c r="G22" i="4"/>
  <c r="E135" i="2"/>
  <c r="G13" i="4"/>
  <c r="G31" i="4"/>
  <c r="G43" i="4"/>
  <c r="E235" i="2"/>
  <c r="G281" i="2"/>
  <c r="P48" i="2"/>
  <c r="F311" i="2"/>
  <c r="Q68" i="2"/>
  <c r="P299" i="2"/>
  <c r="I118" i="2"/>
  <c r="V70" i="2"/>
  <c r="M180" i="2"/>
  <c r="F29" i="2"/>
  <c r="G8" i="1"/>
  <c r="AB270" i="2"/>
  <c r="AE140" i="2"/>
  <c r="AE80" i="2"/>
  <c r="AF220" i="2"/>
  <c r="AG291" i="2"/>
  <c r="AH120" i="2"/>
  <c r="AI190" i="2"/>
  <c r="AI322" i="2"/>
  <c r="AJ270" i="2"/>
  <c r="AJ90" i="2"/>
  <c r="AK352" i="2"/>
  <c r="AL180" i="2"/>
  <c r="AL311" i="2"/>
  <c r="AM140" i="2"/>
  <c r="AM29" i="2"/>
  <c r="AN130" i="2"/>
  <c r="AN260" i="2"/>
  <c r="AO281" i="2"/>
  <c r="AP332" i="2"/>
  <c r="AQ210" i="2"/>
  <c r="AR140" i="2"/>
  <c r="AS130" i="2"/>
  <c r="AT281" i="2"/>
  <c r="AB160" i="2"/>
  <c r="AC70" i="2"/>
  <c r="AE260" i="2"/>
  <c r="AE90" i="2"/>
  <c r="AF230" i="2"/>
  <c r="AF361" i="2"/>
  <c r="AG18" i="2"/>
  <c r="AG301" i="2"/>
  <c r="AH140" i="2"/>
  <c r="AH260" i="2"/>
  <c r="AH70" i="2"/>
  <c r="AI210" i="2"/>
  <c r="AI332" i="2"/>
  <c r="AJ150" i="2"/>
  <c r="AJ281" i="2"/>
  <c r="AK100" i="2"/>
  <c r="AK230" i="2"/>
  <c r="AK361" i="2"/>
  <c r="AM160" i="2"/>
  <c r="AM291" i="2"/>
  <c r="AN270" i="2"/>
  <c r="AO110" i="2"/>
  <c r="AP130" i="2"/>
  <c r="AQ220" i="2"/>
  <c r="AR150" i="2"/>
  <c r="AS140" i="2"/>
  <c r="AT291" i="2"/>
  <c r="AC80" i="2"/>
  <c r="AD210" i="2"/>
  <c r="AD311" i="2"/>
  <c r="AE150" i="2"/>
  <c r="AJ29" i="2"/>
  <c r="AK110" i="2"/>
  <c r="AK50" i="2"/>
  <c r="AL190" i="2"/>
  <c r="AL322" i="2"/>
  <c r="AM301" i="2"/>
  <c r="AN140" i="2"/>
  <c r="AN29" i="2"/>
  <c r="AO29" i="2"/>
  <c r="AP150" i="2"/>
  <c r="AP342" i="2"/>
  <c r="AQ230" i="2"/>
  <c r="AR170" i="2"/>
  <c r="AS150" i="2"/>
  <c r="AT301" i="2"/>
  <c r="AC361" i="2"/>
  <c r="AE270" i="2"/>
  <c r="AF100" i="2"/>
  <c r="AF240" i="2"/>
  <c r="AF50" i="2"/>
  <c r="AG180" i="2"/>
  <c r="AG311" i="2"/>
  <c r="AH150" i="2"/>
  <c r="AH270" i="2"/>
  <c r="AH80" i="2"/>
  <c r="AI220" i="2"/>
  <c r="AI352" i="2"/>
  <c r="AJ160" i="2"/>
  <c r="AJ291" i="2"/>
  <c r="AK240" i="2"/>
  <c r="AK60" i="2"/>
  <c r="AL332" i="2"/>
  <c r="AM170" i="2"/>
  <c r="AM311" i="2"/>
  <c r="AO120" i="2"/>
  <c r="AP352" i="2"/>
  <c r="AQ250" i="2"/>
  <c r="AS160" i="2"/>
  <c r="AT40" i="2"/>
  <c r="AC140" i="2"/>
  <c r="AD322" i="2"/>
  <c r="AE160" i="2"/>
  <c r="AE281" i="2"/>
  <c r="AF110" i="2"/>
  <c r="AG190" i="2"/>
  <c r="AG322" i="2"/>
  <c r="AH90" i="2"/>
  <c r="AI230" i="2"/>
  <c r="AK120" i="2"/>
  <c r="AL210" i="2"/>
  <c r="AL342" i="2"/>
  <c r="AM322" i="2"/>
  <c r="AN150" i="2"/>
  <c r="AN291" i="2"/>
  <c r="AO130" i="2"/>
  <c r="AO291" i="2"/>
  <c r="AP160" i="2"/>
  <c r="AP361" i="2"/>
  <c r="AQ270" i="2"/>
  <c r="AR18" i="2"/>
  <c r="AS190" i="2"/>
  <c r="AT60" i="2"/>
  <c r="AF120" i="2"/>
  <c r="AF250" i="2"/>
  <c r="AF70" i="2"/>
  <c r="AG210" i="2"/>
  <c r="AG332" i="2"/>
  <c r="AH160" i="2"/>
  <c r="AH281" i="2"/>
  <c r="AI100" i="2"/>
  <c r="AI240" i="2"/>
  <c r="AI361" i="2"/>
  <c r="AJ170" i="2"/>
  <c r="AJ301" i="2"/>
  <c r="AK250" i="2"/>
  <c r="AK70" i="2"/>
  <c r="AL352" i="2"/>
  <c r="AM18" i="2"/>
  <c r="AN311" i="2"/>
  <c r="AO140" i="2"/>
  <c r="AO301" i="2"/>
  <c r="AP170" i="2"/>
  <c r="AP50" i="2"/>
  <c r="AQ281" i="2"/>
  <c r="AR180" i="2"/>
  <c r="AS220" i="2"/>
  <c r="AT70" i="2"/>
  <c r="AA311" i="2"/>
  <c r="AD230" i="2"/>
  <c r="AJ18" i="2"/>
  <c r="AJ311" i="2"/>
  <c r="AK130" i="2"/>
  <c r="AK260" i="2"/>
  <c r="AK90" i="2"/>
  <c r="AL220" i="2"/>
  <c r="AM332" i="2"/>
  <c r="AN160" i="2"/>
  <c r="AO160" i="2"/>
  <c r="AO311" i="2"/>
  <c r="AP18" i="2"/>
  <c r="AP60" i="2"/>
  <c r="AQ291" i="2"/>
  <c r="AR190" i="2"/>
  <c r="AS230" i="2"/>
  <c r="AU140" i="2"/>
  <c r="AC250" i="2"/>
  <c r="AB180" i="2"/>
  <c r="AA110" i="2"/>
  <c r="AE18" i="2"/>
  <c r="AE291" i="2"/>
  <c r="AF140" i="2"/>
  <c r="AF260" i="2"/>
  <c r="AF80" i="2"/>
  <c r="AG220" i="2"/>
  <c r="AG352" i="2"/>
  <c r="AH170" i="2"/>
  <c r="AH29" i="2"/>
  <c r="AI110" i="2"/>
  <c r="AI250" i="2"/>
  <c r="AI50" i="2"/>
  <c r="AJ180" i="2"/>
  <c r="AJ322" i="2"/>
  <c r="AK270" i="2"/>
  <c r="AL361" i="2"/>
  <c r="AM180" i="2"/>
  <c r="AM352" i="2"/>
  <c r="AN170" i="2"/>
  <c r="AN322" i="2"/>
  <c r="AO322" i="2"/>
  <c r="AP180" i="2"/>
  <c r="AP80" i="2"/>
  <c r="AR230" i="2"/>
  <c r="AS240" i="2"/>
  <c r="AU160" i="2"/>
  <c r="AA210" i="2"/>
  <c r="AE29" i="2"/>
  <c r="AD100" i="2"/>
  <c r="AB190" i="2"/>
  <c r="AD110" i="2"/>
  <c r="AD240" i="2"/>
  <c r="AD361" i="2"/>
  <c r="AE301" i="2"/>
  <c r="AF90" i="2"/>
  <c r="AG230" i="2"/>
  <c r="AH291" i="2"/>
  <c r="AI120" i="2"/>
  <c r="AJ190" i="2"/>
  <c r="AK140" i="2"/>
  <c r="AK281" i="2"/>
  <c r="AL100" i="2"/>
  <c r="AL230" i="2"/>
  <c r="AL60" i="2"/>
  <c r="AM190" i="2"/>
  <c r="AN18" i="2"/>
  <c r="AO170" i="2"/>
  <c r="AO342" i="2"/>
  <c r="AP190" i="2"/>
  <c r="AP90" i="2"/>
  <c r="AQ301" i="2"/>
  <c r="AR260" i="2"/>
  <c r="AS250" i="2"/>
  <c r="AU170" i="2"/>
  <c r="AB281" i="2"/>
  <c r="AA220" i="2"/>
  <c r="AB301" i="2"/>
  <c r="AA240" i="2"/>
  <c r="AB210" i="2"/>
  <c r="AE180" i="2"/>
  <c r="AE311" i="2"/>
  <c r="AF150" i="2"/>
  <c r="AF270" i="2"/>
  <c r="AG100" i="2"/>
  <c r="AG240" i="2"/>
  <c r="AG361" i="2"/>
  <c r="AH18" i="2"/>
  <c r="AH301" i="2"/>
  <c r="AI140" i="2"/>
  <c r="AI260" i="2"/>
  <c r="AI60" i="2"/>
  <c r="AJ332" i="2"/>
  <c r="AL240" i="2"/>
  <c r="AM210" i="2"/>
  <c r="AM361" i="2"/>
  <c r="AN180" i="2"/>
  <c r="AN332" i="2"/>
  <c r="AO180" i="2"/>
  <c r="AP210" i="2"/>
  <c r="AQ110" i="2"/>
  <c r="AQ311" i="2"/>
  <c r="AS29" i="2"/>
  <c r="AU250" i="2"/>
  <c r="AC90" i="2"/>
  <c r="AA250" i="2"/>
  <c r="AA80" i="2"/>
  <c r="AB220" i="2"/>
  <c r="AB332" i="2"/>
  <c r="AC18" i="2"/>
  <c r="AC291" i="2"/>
  <c r="AD140" i="2"/>
  <c r="AD250" i="2"/>
  <c r="AD50" i="2"/>
  <c r="AJ210" i="2"/>
  <c r="AK150" i="2"/>
  <c r="AK29" i="2"/>
  <c r="AL110" i="2"/>
  <c r="AL250" i="2"/>
  <c r="AL70" i="2"/>
  <c r="AM220" i="2"/>
  <c r="AN190" i="2"/>
  <c r="AO352" i="2"/>
  <c r="AP220" i="2"/>
  <c r="AQ322" i="2"/>
  <c r="AR270" i="2"/>
  <c r="AS311" i="2"/>
  <c r="AU260" i="2"/>
  <c r="AC110" i="2"/>
  <c r="AC150" i="2"/>
  <c r="AE170" i="2"/>
  <c r="AA90" i="2"/>
  <c r="AE190" i="2"/>
  <c r="AE322" i="2"/>
  <c r="AF160" i="2"/>
  <c r="AF281" i="2"/>
  <c r="AG110" i="2"/>
  <c r="AG250" i="2"/>
  <c r="AG50" i="2"/>
  <c r="AH180" i="2"/>
  <c r="AH311" i="2"/>
  <c r="AI150" i="2"/>
  <c r="AI270" i="2"/>
  <c r="AI70" i="2"/>
  <c r="AJ220" i="2"/>
  <c r="AJ352" i="2"/>
  <c r="AK160" i="2"/>
  <c r="AK291" i="2"/>
  <c r="AL260" i="2"/>
  <c r="AM230" i="2"/>
  <c r="AM50" i="2"/>
  <c r="AN342" i="2"/>
  <c r="AO190" i="2"/>
  <c r="AO50" i="2"/>
  <c r="AP240" i="2"/>
  <c r="AQ120" i="2"/>
  <c r="AQ342" i="2"/>
  <c r="AR281" i="2"/>
  <c r="AS322" i="2"/>
  <c r="AU352" i="2"/>
  <c r="AA322" i="2"/>
  <c r="AC270" i="2"/>
  <c r="AB100" i="2"/>
  <c r="AB230" i="2"/>
  <c r="AB361" i="2"/>
  <c r="AC180" i="2"/>
  <c r="AC301" i="2"/>
  <c r="AD150" i="2"/>
  <c r="AD260" i="2"/>
  <c r="AD70" i="2"/>
  <c r="AE210" i="2"/>
  <c r="AF29" i="2"/>
  <c r="AG120" i="2"/>
  <c r="AH190" i="2"/>
  <c r="AH322" i="2"/>
  <c r="AI80" i="2"/>
  <c r="AJ230" i="2"/>
  <c r="AK170" i="2"/>
  <c r="AK301" i="2"/>
  <c r="AL120" i="2"/>
  <c r="AL80" i="2"/>
  <c r="AN200" i="2"/>
  <c r="AN352" i="2"/>
  <c r="AQ130" i="2"/>
  <c r="AQ361" i="2"/>
  <c r="AR29" i="2"/>
  <c r="AS332" i="2"/>
  <c r="AV120" i="2"/>
  <c r="AA190" i="2"/>
  <c r="AA270" i="2"/>
  <c r="AE220" i="2"/>
  <c r="AE332" i="2"/>
  <c r="AF170" i="2"/>
  <c r="AF291" i="2"/>
  <c r="AG140" i="2"/>
  <c r="AG260" i="2"/>
  <c r="AG70" i="2"/>
  <c r="AH210" i="2"/>
  <c r="AH332" i="2"/>
  <c r="AI160" i="2"/>
  <c r="AI281" i="2"/>
  <c r="AI90" i="2"/>
  <c r="AJ361" i="2"/>
  <c r="AK18" i="2"/>
  <c r="AL270" i="2"/>
  <c r="AM240" i="2"/>
  <c r="AM60" i="2"/>
  <c r="AN220" i="2"/>
  <c r="AN361" i="2"/>
  <c r="AO200" i="2"/>
  <c r="AO60" i="2"/>
  <c r="AP250" i="2"/>
  <c r="AQ140" i="2"/>
  <c r="AQ50" i="2"/>
  <c r="AR322" i="2"/>
  <c r="AS342" i="2"/>
  <c r="AV210" i="2"/>
  <c r="AB170" i="2"/>
  <c r="AB18" i="2"/>
  <c r="AA230" i="2"/>
  <c r="AA70" i="2"/>
  <c r="AB240" i="2"/>
  <c r="AB70" i="2"/>
  <c r="AC190" i="2"/>
  <c r="AC311" i="2"/>
  <c r="AD160" i="2"/>
  <c r="AD270" i="2"/>
  <c r="AD80" i="2"/>
  <c r="AJ240" i="2"/>
  <c r="AK311" i="2"/>
  <c r="AL130" i="2"/>
  <c r="AL29" i="2"/>
  <c r="AL90" i="2"/>
  <c r="AM260" i="2"/>
  <c r="AM70" i="2"/>
  <c r="AN60" i="2"/>
  <c r="AO210" i="2"/>
  <c r="AP260" i="2"/>
  <c r="AQ150" i="2"/>
  <c r="AQ70" i="2"/>
  <c r="AR352" i="2"/>
  <c r="AS90" i="2"/>
  <c r="AV301" i="2"/>
  <c r="AC240" i="2"/>
  <c r="AD332" i="2"/>
  <c r="AA150" i="2"/>
  <c r="AD90" i="2"/>
  <c r="AE230" i="2"/>
  <c r="AE361" i="2"/>
  <c r="AF18" i="2"/>
  <c r="AF301" i="2"/>
  <c r="AG150" i="2"/>
  <c r="AG270" i="2"/>
  <c r="AG80" i="2"/>
  <c r="AH220" i="2"/>
  <c r="AH352" i="2"/>
  <c r="AI170" i="2"/>
  <c r="AI29" i="2"/>
  <c r="AJ100" i="2"/>
  <c r="AJ50" i="2"/>
  <c r="AK180" i="2"/>
  <c r="AL140" i="2"/>
  <c r="AM100" i="2"/>
  <c r="AM80" i="2"/>
  <c r="AN230" i="2"/>
  <c r="AO220" i="2"/>
  <c r="AO70" i="2"/>
  <c r="AP270" i="2"/>
  <c r="AQ160" i="2"/>
  <c r="AT110" i="2"/>
  <c r="AV70" i="2"/>
  <c r="AC230" i="2"/>
  <c r="AD220" i="2"/>
  <c r="AB322" i="2"/>
  <c r="AB110" i="2"/>
  <c r="AB80" i="2"/>
  <c r="AE100" i="2"/>
  <c r="AG90" i="2"/>
  <c r="AH230" i="2"/>
  <c r="AI291" i="2"/>
  <c r="AJ110" i="2"/>
  <c r="AJ250" i="2"/>
  <c r="AJ60" i="2"/>
  <c r="AK190" i="2"/>
  <c r="AK322" i="2"/>
  <c r="AL150" i="2"/>
  <c r="AL291" i="2"/>
  <c r="AM110" i="2"/>
  <c r="AM270" i="2"/>
  <c r="AM90" i="2"/>
  <c r="AN70" i="2"/>
  <c r="AO230" i="2"/>
  <c r="AO80" i="2"/>
  <c r="AP281" i="2"/>
  <c r="AQ18" i="2"/>
  <c r="AQ80" i="2"/>
  <c r="AR361" i="2"/>
  <c r="AT120" i="2"/>
  <c r="AW170" i="2"/>
  <c r="AD190" i="2"/>
  <c r="AA332" i="2"/>
  <c r="AC170" i="2"/>
  <c r="AA160" i="2"/>
  <c r="AA281" i="2"/>
  <c r="AA18" i="2"/>
  <c r="AB250" i="2"/>
  <c r="AD170" i="2"/>
  <c r="AF180" i="2"/>
  <c r="AD29" i="2"/>
  <c r="AE240" i="2"/>
  <c r="AE50" i="2"/>
  <c r="AF190" i="2"/>
  <c r="AF322" i="2"/>
  <c r="AG160" i="2"/>
  <c r="AG281" i="2"/>
  <c r="AH100" i="2"/>
  <c r="AH240" i="2"/>
  <c r="AH361" i="2"/>
  <c r="AI18" i="2"/>
  <c r="AI301" i="2"/>
  <c r="AJ120" i="2"/>
  <c r="AJ70" i="2"/>
  <c r="AK210" i="2"/>
  <c r="AL160" i="2"/>
  <c r="AM120" i="2"/>
  <c r="AN100" i="2"/>
  <c r="AN240" i="2"/>
  <c r="AN90" i="2"/>
  <c r="AO250" i="2"/>
  <c r="AO90" i="2"/>
  <c r="AP29" i="2"/>
  <c r="AQ180" i="2"/>
  <c r="AQ90" i="2"/>
  <c r="AR50" i="2"/>
  <c r="AT180" i="2"/>
  <c r="AW260" i="2"/>
  <c r="AC100" i="2"/>
  <c r="AC260" i="2"/>
  <c r="AA100" i="2"/>
  <c r="AA361" i="2"/>
  <c r="AC281" i="2"/>
  <c r="AA260" i="2"/>
  <c r="AB140" i="2"/>
  <c r="AC322" i="2"/>
  <c r="AF311" i="2"/>
  <c r="AA180" i="2"/>
  <c r="AA301" i="2"/>
  <c r="AB150" i="2"/>
  <c r="AB260" i="2"/>
  <c r="AB90" i="2"/>
  <c r="AC220" i="2"/>
  <c r="AC332" i="2"/>
  <c r="AD18" i="2"/>
  <c r="AD291" i="2"/>
  <c r="AE110" i="2"/>
  <c r="AJ260" i="2"/>
  <c r="AJ80" i="2"/>
  <c r="AK332" i="2"/>
  <c r="AL301" i="2"/>
  <c r="AM130" i="2"/>
  <c r="AM281" i="2"/>
  <c r="AP100" i="2"/>
  <c r="AP301" i="2"/>
  <c r="AQ200" i="2"/>
  <c r="AR100" i="2"/>
  <c r="AR60" i="2"/>
  <c r="AT200" i="2"/>
  <c r="AW352" i="2"/>
  <c r="AD301" i="2"/>
  <c r="AB291" i="2"/>
  <c r="AC160" i="2"/>
  <c r="AB311" i="2"/>
  <c r="AA140" i="2"/>
  <c r="AA170" i="2"/>
  <c r="AA291" i="2"/>
  <c r="AC210" i="2"/>
  <c r="AD281" i="2"/>
  <c r="AD180" i="2"/>
  <c r="AE250" i="2"/>
  <c r="AE70" i="2"/>
  <c r="AF210" i="2"/>
  <c r="AF332" i="2"/>
  <c r="AG170" i="2"/>
  <c r="AG29" i="2"/>
  <c r="AH110" i="2"/>
  <c r="AH250" i="2"/>
  <c r="AH50" i="2"/>
  <c r="AI180" i="2"/>
  <c r="AI311" i="2"/>
  <c r="AJ140" i="2"/>
  <c r="AK220" i="2"/>
  <c r="AL170" i="2"/>
  <c r="AN110" i="2"/>
  <c r="AN250" i="2"/>
  <c r="AO100" i="2"/>
  <c r="AO260" i="2"/>
  <c r="AP120" i="2"/>
  <c r="AP311" i="2"/>
  <c r="AR120" i="2"/>
  <c r="AS100" i="2"/>
  <c r="AT210" i="2"/>
  <c r="AX120" i="2"/>
  <c r="AU230" i="2"/>
  <c r="AU322" i="2"/>
  <c r="AU90" i="2"/>
  <c r="AV180" i="2"/>
  <c r="AV281" i="2"/>
  <c r="AV40" i="2"/>
  <c r="AW140" i="2"/>
  <c r="AW230" i="2"/>
  <c r="AW322" i="2"/>
  <c r="AW90" i="2"/>
  <c r="AX180" i="2"/>
  <c r="AX281" i="2"/>
  <c r="AX40" i="2"/>
  <c r="AY140" i="2"/>
  <c r="AY342" i="2"/>
  <c r="BA210" i="2"/>
  <c r="L190" i="2"/>
  <c r="R332" i="2"/>
  <c r="U140" i="2"/>
  <c r="V160" i="2"/>
  <c r="W140" i="2"/>
  <c r="X311" i="2"/>
  <c r="Z150" i="2"/>
  <c r="AB258" i="2"/>
  <c r="AD238" i="2"/>
  <c r="AE320" i="2"/>
  <c r="AY240" i="2"/>
  <c r="AY352" i="2"/>
  <c r="AZ130" i="2"/>
  <c r="AZ230" i="2"/>
  <c r="AZ332" i="2"/>
  <c r="BA110" i="2"/>
  <c r="BA322" i="2"/>
  <c r="M190" i="2"/>
  <c r="Q190" i="2"/>
  <c r="T140" i="2"/>
  <c r="U160" i="2"/>
  <c r="W160" i="2"/>
  <c r="X110" i="2"/>
  <c r="Y220" i="2"/>
  <c r="Z70" i="2"/>
  <c r="AA309" i="2"/>
  <c r="AB299" i="2"/>
  <c r="AC248" i="2"/>
  <c r="AD27" i="2"/>
  <c r="AE330" i="2"/>
  <c r="AT100" i="2"/>
  <c r="AT190" i="2"/>
  <c r="AT29" i="2"/>
  <c r="AT50" i="2"/>
  <c r="AU150" i="2"/>
  <c r="AU240" i="2"/>
  <c r="AU332" i="2"/>
  <c r="AV100" i="2"/>
  <c r="AV190" i="2"/>
  <c r="AV29" i="2"/>
  <c r="AV50" i="2"/>
  <c r="AW150" i="2"/>
  <c r="AW240" i="2"/>
  <c r="AW332" i="2"/>
  <c r="AX100" i="2"/>
  <c r="AX190" i="2"/>
  <c r="AX29" i="2"/>
  <c r="AX50" i="2"/>
  <c r="AY150" i="2"/>
  <c r="AY250" i="2"/>
  <c r="BA220" i="2"/>
  <c r="N190" i="2"/>
  <c r="R361" i="2"/>
  <c r="U170" i="2"/>
  <c r="V170" i="2"/>
  <c r="X322" i="2"/>
  <c r="Y230" i="2"/>
  <c r="Z160" i="2"/>
  <c r="AA320" i="2"/>
  <c r="AC268" i="2"/>
  <c r="AE48" i="2"/>
  <c r="AY260" i="2"/>
  <c r="AY361" i="2"/>
  <c r="AZ140" i="2"/>
  <c r="AZ240" i="2"/>
  <c r="AZ342" i="2"/>
  <c r="BA120" i="2"/>
  <c r="BA332" i="2"/>
  <c r="Q260" i="2"/>
  <c r="T160" i="2"/>
  <c r="W170" i="2"/>
  <c r="X140" i="2"/>
  <c r="X361" i="2"/>
  <c r="Y260" i="2"/>
  <c r="Z170" i="2"/>
  <c r="Z80" i="2"/>
  <c r="AA78" i="2"/>
  <c r="AB309" i="2"/>
  <c r="AD279" i="2"/>
  <c r="AF108" i="2"/>
  <c r="AU342" i="2"/>
  <c r="AV110" i="2"/>
  <c r="AV200" i="2"/>
  <c r="AV291" i="2"/>
  <c r="AV60" i="2"/>
  <c r="AW160" i="2"/>
  <c r="AW250" i="2"/>
  <c r="AW342" i="2"/>
  <c r="AX110" i="2"/>
  <c r="AX200" i="2"/>
  <c r="AX291" i="2"/>
  <c r="AX60" i="2"/>
  <c r="AY160" i="2"/>
  <c r="BA230" i="2"/>
  <c r="BA342" i="2"/>
  <c r="O190" i="2"/>
  <c r="Q291" i="2"/>
  <c r="R80" i="2"/>
  <c r="U18" i="2"/>
  <c r="V18" i="2"/>
  <c r="W180" i="2"/>
  <c r="X150" i="2"/>
  <c r="Y270" i="2"/>
  <c r="Z18" i="2"/>
  <c r="Z90" i="2"/>
  <c r="AB330" i="2"/>
  <c r="AC279" i="2"/>
  <c r="AD299" i="2"/>
  <c r="AF138" i="2"/>
  <c r="AY170" i="2"/>
  <c r="AY270" i="2"/>
  <c r="AY40" i="2"/>
  <c r="AZ150" i="2"/>
  <c r="AZ250" i="2"/>
  <c r="AZ352" i="2"/>
  <c r="BA130" i="2"/>
  <c r="BA352" i="2"/>
  <c r="Q332" i="2"/>
  <c r="S160" i="2"/>
  <c r="T170" i="2"/>
  <c r="U190" i="2"/>
  <c r="V180" i="2"/>
  <c r="X160" i="2"/>
  <c r="X80" i="2"/>
  <c r="Z190" i="2"/>
  <c r="AA158" i="2"/>
  <c r="AA88" i="2"/>
  <c r="AD309" i="2"/>
  <c r="AF16" i="2"/>
  <c r="AX210" i="2"/>
  <c r="AX301" i="2"/>
  <c r="AX70" i="2"/>
  <c r="BA240" i="2"/>
  <c r="O332" i="2"/>
  <c r="Q361" i="2"/>
  <c r="T18" i="2"/>
  <c r="V190" i="2"/>
  <c r="W190" i="2"/>
  <c r="X170" i="2"/>
  <c r="Y281" i="2"/>
  <c r="Z210" i="2"/>
  <c r="AB108" i="2"/>
  <c r="AB359" i="2"/>
  <c r="AC299" i="2"/>
  <c r="AD330" i="2"/>
  <c r="AF238" i="2"/>
  <c r="AY18" i="2"/>
  <c r="AY281" i="2"/>
  <c r="AY50" i="2"/>
  <c r="AZ160" i="2"/>
  <c r="AZ260" i="2"/>
  <c r="AZ361" i="2"/>
  <c r="BA140" i="2"/>
  <c r="BA250" i="2"/>
  <c r="BA361" i="2"/>
  <c r="S18" i="2"/>
  <c r="T180" i="2"/>
  <c r="U220" i="2"/>
  <c r="V210" i="2"/>
  <c r="X18" i="2"/>
  <c r="X90" i="2"/>
  <c r="Y301" i="2"/>
  <c r="AA16" i="2"/>
  <c r="AC359" i="2"/>
  <c r="AD78" i="2"/>
  <c r="AF268" i="2"/>
  <c r="AQ240" i="2"/>
  <c r="AQ332" i="2"/>
  <c r="AR110" i="2"/>
  <c r="AR200" i="2"/>
  <c r="AR291" i="2"/>
  <c r="AR70" i="2"/>
  <c r="AS170" i="2"/>
  <c r="AS260" i="2"/>
  <c r="AS352" i="2"/>
  <c r="AT130" i="2"/>
  <c r="AT220" i="2"/>
  <c r="AT311" i="2"/>
  <c r="AT80" i="2"/>
  <c r="AU18" i="2"/>
  <c r="AU270" i="2"/>
  <c r="AU361" i="2"/>
  <c r="AV130" i="2"/>
  <c r="AV220" i="2"/>
  <c r="AV311" i="2"/>
  <c r="AV80" i="2"/>
  <c r="AW18" i="2"/>
  <c r="AW270" i="2"/>
  <c r="AW361" i="2"/>
  <c r="AX130" i="2"/>
  <c r="AX220" i="2"/>
  <c r="AX311" i="2"/>
  <c r="AX80" i="2"/>
  <c r="BA260" i="2"/>
  <c r="P160" i="2"/>
  <c r="Q80" i="2"/>
  <c r="T190" i="2"/>
  <c r="V220" i="2"/>
  <c r="W210" i="2"/>
  <c r="Z220" i="2"/>
  <c r="AA178" i="2"/>
  <c r="AB138" i="2"/>
  <c r="AB68" i="2"/>
  <c r="AF68" i="2"/>
  <c r="AY180" i="2"/>
  <c r="AY29" i="2"/>
  <c r="AY60" i="2"/>
  <c r="AZ170" i="2"/>
  <c r="AZ270" i="2"/>
  <c r="AZ40" i="2"/>
  <c r="BA150" i="2"/>
  <c r="BA40" i="2"/>
  <c r="P18" i="2"/>
  <c r="S180" i="2"/>
  <c r="T220" i="2"/>
  <c r="U230" i="2"/>
  <c r="X180" i="2"/>
  <c r="Y100" i="2"/>
  <c r="Y311" i="2"/>
  <c r="Z240" i="2"/>
  <c r="AB78" i="2"/>
  <c r="AC68" i="2"/>
  <c r="AD88" i="2"/>
  <c r="AG168" i="2"/>
  <c r="AR210" i="2"/>
  <c r="AR301" i="2"/>
  <c r="AR80" i="2"/>
  <c r="AS18" i="2"/>
  <c r="AS270" i="2"/>
  <c r="AS361" i="2"/>
  <c r="AT140" i="2"/>
  <c r="AT230" i="2"/>
  <c r="AT322" i="2"/>
  <c r="AT90" i="2"/>
  <c r="AU180" i="2"/>
  <c r="AU281" i="2"/>
  <c r="AU40" i="2"/>
  <c r="AV140" i="2"/>
  <c r="AV230" i="2"/>
  <c r="AV322" i="2"/>
  <c r="AV90" i="2"/>
  <c r="AW180" i="2"/>
  <c r="AW281" i="2"/>
  <c r="AW40" i="2"/>
  <c r="AX140" i="2"/>
  <c r="AX230" i="2"/>
  <c r="AX322" i="2"/>
  <c r="AX90" i="2"/>
  <c r="BA160" i="2"/>
  <c r="BA270" i="2"/>
  <c r="P190" i="2"/>
  <c r="R160" i="2"/>
  <c r="V230" i="2"/>
  <c r="W220" i="2"/>
  <c r="X210" i="2"/>
  <c r="Y110" i="2"/>
  <c r="AA188" i="2"/>
  <c r="AB148" i="2"/>
  <c r="AC138" i="2"/>
  <c r="AC88" i="2"/>
  <c r="AE108" i="2"/>
  <c r="AG27" i="2"/>
  <c r="AY190" i="2"/>
  <c r="AY291" i="2"/>
  <c r="AY70" i="2"/>
  <c r="AZ18" i="2"/>
  <c r="AZ281" i="2"/>
  <c r="AZ50" i="2"/>
  <c r="BA170" i="2"/>
  <c r="BA50" i="2"/>
  <c r="R180" i="2"/>
  <c r="S190" i="2"/>
  <c r="T230" i="2"/>
  <c r="U260" i="2"/>
  <c r="V281" i="2"/>
  <c r="W230" i="2"/>
  <c r="Y150" i="2"/>
  <c r="Y322" i="2"/>
  <c r="Z250" i="2"/>
  <c r="AB158" i="2"/>
  <c r="AE138" i="2"/>
  <c r="AG68" i="2"/>
  <c r="AN281" i="2"/>
  <c r="AN50" i="2"/>
  <c r="AO150" i="2"/>
  <c r="AO240" i="2"/>
  <c r="AO332" i="2"/>
  <c r="AP110" i="2"/>
  <c r="AP200" i="2"/>
  <c r="AP291" i="2"/>
  <c r="AP70" i="2"/>
  <c r="AQ170" i="2"/>
  <c r="AQ260" i="2"/>
  <c r="AQ352" i="2"/>
  <c r="AR130" i="2"/>
  <c r="AR220" i="2"/>
  <c r="AR311" i="2"/>
  <c r="AR90" i="2"/>
  <c r="AS180" i="2"/>
  <c r="AS281" i="2"/>
  <c r="AS50" i="2"/>
  <c r="AT150" i="2"/>
  <c r="AT240" i="2"/>
  <c r="AT332" i="2"/>
  <c r="AU100" i="2"/>
  <c r="AU190" i="2"/>
  <c r="AU29" i="2"/>
  <c r="AU50" i="2"/>
  <c r="AV150" i="2"/>
  <c r="AV240" i="2"/>
  <c r="AV332" i="2"/>
  <c r="AW100" i="2"/>
  <c r="AW190" i="2"/>
  <c r="AW29" i="2"/>
  <c r="AW50" i="2"/>
  <c r="AX150" i="2"/>
  <c r="AX240" i="2"/>
  <c r="AX332" i="2"/>
  <c r="AY100" i="2"/>
  <c r="AZ60" i="2"/>
  <c r="BA281" i="2"/>
  <c r="P260" i="2"/>
  <c r="S230" i="2"/>
  <c r="T281" i="2"/>
  <c r="U281" i="2"/>
  <c r="W260" i="2"/>
  <c r="X220" i="2"/>
  <c r="Y160" i="2"/>
  <c r="Y332" i="2"/>
  <c r="AA208" i="2"/>
  <c r="AB188" i="2"/>
  <c r="AC148" i="2"/>
  <c r="AC98" i="2"/>
  <c r="AE158" i="2"/>
  <c r="AH168" i="2"/>
  <c r="AY200" i="2"/>
  <c r="AY301" i="2"/>
  <c r="AY80" i="2"/>
  <c r="AZ180" i="2"/>
  <c r="AZ29" i="2"/>
  <c r="AZ70" i="2"/>
  <c r="BA18" i="2"/>
  <c r="BA60" i="2"/>
  <c r="R190" i="2"/>
  <c r="S260" i="2"/>
  <c r="U291" i="2"/>
  <c r="V291" i="2"/>
  <c r="W281" i="2"/>
  <c r="Y361" i="2"/>
  <c r="Z260" i="2"/>
  <c r="AA218" i="2"/>
  <c r="AC16" i="2"/>
  <c r="AD138" i="2"/>
  <c r="AE188" i="2"/>
  <c r="AS60" i="2"/>
  <c r="AT160" i="2"/>
  <c r="AT250" i="2"/>
  <c r="AT342" i="2"/>
  <c r="AU110" i="2"/>
  <c r="AU200" i="2"/>
  <c r="AU291" i="2"/>
  <c r="AU60" i="2"/>
  <c r="AV160" i="2"/>
  <c r="AV250" i="2"/>
  <c r="AV342" i="2"/>
  <c r="AW110" i="2"/>
  <c r="AW200" i="2"/>
  <c r="AW291" i="2"/>
  <c r="AW60" i="2"/>
  <c r="AX160" i="2"/>
  <c r="AX250" i="2"/>
  <c r="AX342" i="2"/>
  <c r="AY110" i="2"/>
  <c r="AZ291" i="2"/>
  <c r="BA29" i="2"/>
  <c r="BA70" i="2"/>
  <c r="P291" i="2"/>
  <c r="S281" i="2"/>
  <c r="T291" i="2"/>
  <c r="U332" i="2"/>
  <c r="W291" i="2"/>
  <c r="X230" i="2"/>
  <c r="Y170" i="2"/>
  <c r="Y80" i="2"/>
  <c r="Z270" i="2"/>
  <c r="AA258" i="2"/>
  <c r="AB208" i="2"/>
  <c r="AD168" i="2"/>
  <c r="AE208" i="2"/>
  <c r="AH78" i="2"/>
  <c r="AY210" i="2"/>
  <c r="AY311" i="2"/>
  <c r="AY90" i="2"/>
  <c r="AZ190" i="2"/>
  <c r="AZ301" i="2"/>
  <c r="AZ80" i="2"/>
  <c r="BA180" i="2"/>
  <c r="R230" i="2"/>
  <c r="U361" i="2"/>
  <c r="V332" i="2"/>
  <c r="Y180" i="2"/>
  <c r="Y90" i="2"/>
  <c r="Z301" i="2"/>
  <c r="AB228" i="2"/>
  <c r="AC168" i="2"/>
  <c r="AE228" i="2"/>
  <c r="AI188" i="2"/>
  <c r="AR240" i="2"/>
  <c r="AR332" i="2"/>
  <c r="AS110" i="2"/>
  <c r="AS200" i="2"/>
  <c r="AS291" i="2"/>
  <c r="AS70" i="2"/>
  <c r="AT170" i="2"/>
  <c r="AT260" i="2"/>
  <c r="AT352" i="2"/>
  <c r="AU120" i="2"/>
  <c r="AU210" i="2"/>
  <c r="AU301" i="2"/>
  <c r="AU70" i="2"/>
  <c r="AV170" i="2"/>
  <c r="AV260" i="2"/>
  <c r="AV352" i="2"/>
  <c r="AW120" i="2"/>
  <c r="AW210" i="2"/>
  <c r="AW301" i="2"/>
  <c r="AW70" i="2"/>
  <c r="AX170" i="2"/>
  <c r="AX260" i="2"/>
  <c r="AX352" i="2"/>
  <c r="AY120" i="2"/>
  <c r="AZ200" i="2"/>
  <c r="BA291" i="2"/>
  <c r="BA80" i="2"/>
  <c r="P332" i="2"/>
  <c r="S291" i="2"/>
  <c r="T332" i="2"/>
  <c r="W311" i="2"/>
  <c r="X260" i="2"/>
  <c r="Z311" i="2"/>
  <c r="AA268" i="2"/>
  <c r="AD178" i="2"/>
  <c r="AE238" i="2"/>
  <c r="AY220" i="2"/>
  <c r="AY322" i="2"/>
  <c r="AZ100" i="2"/>
  <c r="AZ210" i="2"/>
  <c r="AZ311" i="2"/>
  <c r="AZ90" i="2"/>
  <c r="BA190" i="2"/>
  <c r="BA301" i="2"/>
  <c r="Q160" i="2"/>
  <c r="R260" i="2"/>
  <c r="U80" i="2"/>
  <c r="V361" i="2"/>
  <c r="W361" i="2"/>
  <c r="X270" i="2"/>
  <c r="Y190" i="2"/>
  <c r="Z100" i="2"/>
  <c r="AA289" i="2"/>
  <c r="AB238" i="2"/>
  <c r="AC178" i="2"/>
  <c r="AD208" i="2"/>
  <c r="AE258" i="2"/>
  <c r="AK80" i="2"/>
  <c r="AL18" i="2"/>
  <c r="AL281" i="2"/>
  <c r="AL50" i="2"/>
  <c r="AM150" i="2"/>
  <c r="AM250" i="2"/>
  <c r="AM342" i="2"/>
  <c r="AN120" i="2"/>
  <c r="AN210" i="2"/>
  <c r="AN301" i="2"/>
  <c r="AN80" i="2"/>
  <c r="AO18" i="2"/>
  <c r="AO270" i="2"/>
  <c r="AO361" i="2"/>
  <c r="AP140" i="2"/>
  <c r="AP230" i="2"/>
  <c r="AP322" i="2"/>
  <c r="AQ100" i="2"/>
  <c r="AQ190" i="2"/>
  <c r="AQ29" i="2"/>
  <c r="AQ60" i="2"/>
  <c r="AR160" i="2"/>
  <c r="AR250" i="2"/>
  <c r="AR342" i="2"/>
  <c r="AS120" i="2"/>
  <c r="AS210" i="2"/>
  <c r="AS301" i="2"/>
  <c r="AS80" i="2"/>
  <c r="AT18" i="2"/>
  <c r="AT270" i="2"/>
  <c r="AT361" i="2"/>
  <c r="AU130" i="2"/>
  <c r="AU220" i="2"/>
  <c r="AU311" i="2"/>
  <c r="AU80" i="2"/>
  <c r="AV18" i="2"/>
  <c r="AV270" i="2"/>
  <c r="AV361" i="2"/>
  <c r="AW130" i="2"/>
  <c r="AW220" i="2"/>
  <c r="AW311" i="2"/>
  <c r="AW80" i="2"/>
  <c r="AX18" i="2"/>
  <c r="AX270" i="2"/>
  <c r="AX361" i="2"/>
  <c r="AY130" i="2"/>
  <c r="AZ110" i="2"/>
  <c r="BA90" i="2"/>
  <c r="R281" i="2"/>
  <c r="S332" i="2"/>
  <c r="T361" i="2"/>
  <c r="V140" i="2"/>
  <c r="V80" i="2"/>
  <c r="X281" i="2"/>
  <c r="Z140" i="2"/>
  <c r="Z322" i="2"/>
  <c r="AC188" i="2"/>
  <c r="AE289" i="2"/>
  <c r="AJ228" i="2"/>
  <c r="AY230" i="2"/>
  <c r="AY332" i="2"/>
  <c r="AZ120" i="2"/>
  <c r="AZ220" i="2"/>
  <c r="AZ322" i="2"/>
  <c r="BA100" i="2"/>
  <c r="BA200" i="2"/>
  <c r="BA311" i="2"/>
  <c r="Q18" i="2"/>
  <c r="R291" i="2"/>
  <c r="S80" i="2"/>
  <c r="T80" i="2"/>
  <c r="W110" i="2"/>
  <c r="W80" i="2"/>
  <c r="X291" i="2"/>
  <c r="Y210" i="2"/>
  <c r="Z361" i="2"/>
  <c r="AA299" i="2"/>
  <c r="AB248" i="2"/>
  <c r="AC238" i="2"/>
  <c r="AD218" i="2"/>
  <c r="AE299" i="2"/>
  <c r="AF330" i="2"/>
  <c r="AG148" i="2"/>
  <c r="AG248" i="2"/>
  <c r="AG350" i="2"/>
  <c r="AH148" i="2"/>
  <c r="AH359" i="2"/>
  <c r="AI27" i="2"/>
  <c r="AI68" i="2"/>
  <c r="AJ188" i="2"/>
  <c r="AK108" i="2"/>
  <c r="AK350" i="2"/>
  <c r="AL48" i="2"/>
  <c r="AM27" i="2"/>
  <c r="AN178" i="2"/>
  <c r="AN289" i="2"/>
  <c r="AO188" i="2"/>
  <c r="AO299" i="2"/>
  <c r="AO98" i="2"/>
  <c r="AP208" i="2"/>
  <c r="AQ108" i="2"/>
  <c r="AQ218" i="2"/>
  <c r="AQ340" i="2"/>
  <c r="AR48" i="2"/>
  <c r="AS188" i="2"/>
  <c r="AS309" i="2"/>
  <c r="AT138" i="2"/>
  <c r="AT268" i="2"/>
  <c r="AT68" i="2"/>
  <c r="AU218" i="2"/>
  <c r="AU359" i="2"/>
  <c r="AV198" i="2"/>
  <c r="AW68" i="2"/>
  <c r="AX268" i="2"/>
  <c r="AY340" i="2"/>
  <c r="BA228" i="2"/>
  <c r="P289" i="2"/>
  <c r="AH258" i="2"/>
  <c r="AI16" i="2"/>
  <c r="AJ309" i="2"/>
  <c r="AK228" i="2"/>
  <c r="AL148" i="2"/>
  <c r="AL268" i="2"/>
  <c r="AM16" i="2"/>
  <c r="AM279" i="2"/>
  <c r="AM78" i="2"/>
  <c r="AN188" i="2"/>
  <c r="AN88" i="2"/>
  <c r="AO309" i="2"/>
  <c r="AP320" i="2"/>
  <c r="AQ228" i="2"/>
  <c r="AR148" i="2"/>
  <c r="AR258" i="2"/>
  <c r="AR58" i="2"/>
  <c r="AT148" i="2"/>
  <c r="AT78" i="2"/>
  <c r="AU38" i="2"/>
  <c r="AV208" i="2"/>
  <c r="AV48" i="2"/>
  <c r="AW228" i="2"/>
  <c r="AW78" i="2"/>
  <c r="AX27" i="2"/>
  <c r="AY148" i="2"/>
  <c r="AY38" i="2"/>
  <c r="AZ279" i="2"/>
  <c r="AF148" i="2"/>
  <c r="AF248" i="2"/>
  <c r="AF359" i="2"/>
  <c r="AG158" i="2"/>
  <c r="AG258" i="2"/>
  <c r="AG359" i="2"/>
  <c r="AH158" i="2"/>
  <c r="AH48" i="2"/>
  <c r="AI168" i="2"/>
  <c r="AI279" i="2"/>
  <c r="AI78" i="2"/>
  <c r="AJ208" i="2"/>
  <c r="AK118" i="2"/>
  <c r="AK238" i="2"/>
  <c r="AK359" i="2"/>
  <c r="AL158" i="2"/>
  <c r="AL58" i="2"/>
  <c r="AM289" i="2"/>
  <c r="AN299" i="2"/>
  <c r="AO198" i="2"/>
  <c r="AP108" i="2"/>
  <c r="AP218" i="2"/>
  <c r="AQ118" i="2"/>
  <c r="AQ238" i="2"/>
  <c r="AQ350" i="2"/>
  <c r="AR68" i="2"/>
  <c r="AS198" i="2"/>
  <c r="AS320" i="2"/>
  <c r="AT158" i="2"/>
  <c r="AT27" i="2"/>
  <c r="AT88" i="2"/>
  <c r="AU228" i="2"/>
  <c r="AV218" i="2"/>
  <c r="AV58" i="2"/>
  <c r="AW88" i="2"/>
  <c r="AY158" i="2"/>
  <c r="AZ289" i="2"/>
  <c r="BA238" i="2"/>
  <c r="Q289" i="2"/>
  <c r="AH268" i="2"/>
  <c r="AI88" i="2"/>
  <c r="AJ320" i="2"/>
  <c r="AK248" i="2"/>
  <c r="AL27" i="2"/>
  <c r="AM168" i="2"/>
  <c r="AM88" i="2"/>
  <c r="AN198" i="2"/>
  <c r="AN98" i="2"/>
  <c r="AO208" i="2"/>
  <c r="AO320" i="2"/>
  <c r="AP118" i="2"/>
  <c r="AP330" i="2"/>
  <c r="AQ359" i="2"/>
  <c r="AR158" i="2"/>
  <c r="AR268" i="2"/>
  <c r="AR78" i="2"/>
  <c r="AS330" i="2"/>
  <c r="AU108" i="2"/>
  <c r="AU68" i="2"/>
  <c r="AV228" i="2"/>
  <c r="AV68" i="2"/>
  <c r="AW238" i="2"/>
  <c r="AX279" i="2"/>
  <c r="AY16" i="2"/>
  <c r="AY68" i="2"/>
  <c r="BA248" i="2"/>
  <c r="Q330" i="2"/>
  <c r="AC289" i="2"/>
  <c r="AD108" i="2"/>
  <c r="AD228" i="2"/>
  <c r="AD320" i="2"/>
  <c r="AE148" i="2"/>
  <c r="AE248" i="2"/>
  <c r="AE359" i="2"/>
  <c r="AF158" i="2"/>
  <c r="AF258" i="2"/>
  <c r="AF48" i="2"/>
  <c r="AG16" i="2"/>
  <c r="AG268" i="2"/>
  <c r="AG48" i="2"/>
  <c r="AH16" i="2"/>
  <c r="AH68" i="2"/>
  <c r="AI178" i="2"/>
  <c r="AI289" i="2"/>
  <c r="AJ218" i="2"/>
  <c r="AK128" i="2"/>
  <c r="AK48" i="2"/>
  <c r="AL16" i="2"/>
  <c r="AL68" i="2"/>
  <c r="AM178" i="2"/>
  <c r="AM299" i="2"/>
  <c r="AM98" i="2"/>
  <c r="AN309" i="2"/>
  <c r="AO218" i="2"/>
  <c r="AP228" i="2"/>
  <c r="AQ128" i="2"/>
  <c r="AQ248" i="2"/>
  <c r="AR27" i="2"/>
  <c r="AS208" i="2"/>
  <c r="AS340" i="2"/>
  <c r="AT16" i="2"/>
  <c r="AT279" i="2"/>
  <c r="AU238" i="2"/>
  <c r="AU78" i="2"/>
  <c r="AV78" i="2"/>
  <c r="AW248" i="2"/>
  <c r="AW98" i="2"/>
  <c r="AX289" i="2"/>
  <c r="AY178" i="2"/>
  <c r="AY78" i="2"/>
  <c r="AZ350" i="2"/>
  <c r="AH27" i="2"/>
  <c r="AI299" i="2"/>
  <c r="AI98" i="2"/>
  <c r="AJ330" i="2"/>
  <c r="AK138" i="2"/>
  <c r="AK258" i="2"/>
  <c r="AK58" i="2"/>
  <c r="AL279" i="2"/>
  <c r="AM188" i="2"/>
  <c r="AN208" i="2"/>
  <c r="AO108" i="2"/>
  <c r="AO330" i="2"/>
  <c r="AP128" i="2"/>
  <c r="AP340" i="2"/>
  <c r="AQ138" i="2"/>
  <c r="AQ48" i="2"/>
  <c r="AR16" i="2"/>
  <c r="AR279" i="2"/>
  <c r="AR88" i="2"/>
  <c r="AS350" i="2"/>
  <c r="AT289" i="2"/>
  <c r="AU118" i="2"/>
  <c r="AU248" i="2"/>
  <c r="AV258" i="2"/>
  <c r="AV88" i="2"/>
  <c r="AW258" i="2"/>
  <c r="AX108" i="2"/>
  <c r="AX299" i="2"/>
  <c r="AY88" i="2"/>
  <c r="AZ359" i="2"/>
  <c r="BA299" i="2"/>
  <c r="R279" i="2"/>
  <c r="AK148" i="2"/>
  <c r="AL168" i="2"/>
  <c r="AL78" i="2"/>
  <c r="AM309" i="2"/>
  <c r="AN108" i="2"/>
  <c r="AN320" i="2"/>
  <c r="AO118" i="2"/>
  <c r="AO228" i="2"/>
  <c r="AO340" i="2"/>
  <c r="AP238" i="2"/>
  <c r="AQ148" i="2"/>
  <c r="AQ258" i="2"/>
  <c r="AR289" i="2"/>
  <c r="AR98" i="2"/>
  <c r="AS218" i="2"/>
  <c r="AS359" i="2"/>
  <c r="AT168" i="2"/>
  <c r="AT299" i="2"/>
  <c r="AU258" i="2"/>
  <c r="AU88" i="2"/>
  <c r="AV268" i="2"/>
  <c r="AW268" i="2"/>
  <c r="AX118" i="2"/>
  <c r="AX320" i="2"/>
  <c r="AY208" i="2"/>
  <c r="AZ38" i="2"/>
  <c r="BA309" i="2"/>
  <c r="AH279" i="2"/>
  <c r="AI208" i="2"/>
  <c r="AI309" i="2"/>
  <c r="AJ108" i="2"/>
  <c r="AJ350" i="2"/>
  <c r="AK268" i="2"/>
  <c r="AK68" i="2"/>
  <c r="AL289" i="2"/>
  <c r="AL88" i="2"/>
  <c r="AM208" i="2"/>
  <c r="AM320" i="2"/>
  <c r="AN218" i="2"/>
  <c r="AO128" i="2"/>
  <c r="AP138" i="2"/>
  <c r="AP350" i="2"/>
  <c r="AQ268" i="2"/>
  <c r="AQ58" i="2"/>
  <c r="AR168" i="2"/>
  <c r="AS48" i="2"/>
  <c r="AT309" i="2"/>
  <c r="AU128" i="2"/>
  <c r="AU268" i="2"/>
  <c r="AW118" i="2"/>
  <c r="AW27" i="2"/>
  <c r="AX128" i="2"/>
  <c r="AY218" i="2"/>
  <c r="AY98" i="2"/>
  <c r="BA320" i="2"/>
  <c r="Z281" i="2"/>
  <c r="AA108" i="2"/>
  <c r="AA228" i="2"/>
  <c r="AA330" i="2"/>
  <c r="AB16" i="2"/>
  <c r="AB268" i="2"/>
  <c r="AB88" i="2"/>
  <c r="AC208" i="2"/>
  <c r="AC309" i="2"/>
  <c r="AD148" i="2"/>
  <c r="AD248" i="2"/>
  <c r="AD359" i="2"/>
  <c r="AE16" i="2"/>
  <c r="AE268" i="2"/>
  <c r="AE68" i="2"/>
  <c r="AF168" i="2"/>
  <c r="AF27" i="2"/>
  <c r="AF78" i="2"/>
  <c r="AG178" i="2"/>
  <c r="AG279" i="2"/>
  <c r="AG78" i="2"/>
  <c r="AH178" i="2"/>
  <c r="AH88" i="2"/>
  <c r="AJ238" i="2"/>
  <c r="AJ359" i="2"/>
  <c r="AK158" i="2"/>
  <c r="AK27" i="2"/>
  <c r="AL178" i="2"/>
  <c r="AL98" i="2"/>
  <c r="AN118" i="2"/>
  <c r="AN330" i="2"/>
  <c r="AO238" i="2"/>
  <c r="AO350" i="2"/>
  <c r="AP248" i="2"/>
  <c r="AP359" i="2"/>
  <c r="AQ158" i="2"/>
  <c r="AR178" i="2"/>
  <c r="AR299" i="2"/>
  <c r="AS108" i="2"/>
  <c r="AS228" i="2"/>
  <c r="AS58" i="2"/>
  <c r="AT178" i="2"/>
  <c r="AT320" i="2"/>
  <c r="AU27" i="2"/>
  <c r="AU98" i="2"/>
  <c r="AV27" i="2"/>
  <c r="AW128" i="2"/>
  <c r="AX138" i="2"/>
  <c r="AX350" i="2"/>
  <c r="AY228" i="2"/>
  <c r="AZ108" i="2"/>
  <c r="AZ48" i="2"/>
  <c r="AH289" i="2"/>
  <c r="AH98" i="2"/>
  <c r="AI218" i="2"/>
  <c r="AI320" i="2"/>
  <c r="AJ118" i="2"/>
  <c r="AJ48" i="2"/>
  <c r="AK78" i="2"/>
  <c r="AL299" i="2"/>
  <c r="AM218" i="2"/>
  <c r="AM330" i="2"/>
  <c r="AN228" i="2"/>
  <c r="AN340" i="2"/>
  <c r="AO138" i="2"/>
  <c r="AO248" i="2"/>
  <c r="AP148" i="2"/>
  <c r="AP48" i="2"/>
  <c r="AQ27" i="2"/>
  <c r="AQ68" i="2"/>
  <c r="AR188" i="2"/>
  <c r="AS238" i="2"/>
  <c r="AT330" i="2"/>
  <c r="AU138" i="2"/>
  <c r="AU289" i="2"/>
  <c r="AV108" i="2"/>
  <c r="AW299" i="2"/>
  <c r="AX359" i="2"/>
  <c r="AZ58" i="2"/>
  <c r="BA330" i="2"/>
  <c r="Y140" i="2"/>
  <c r="Y240" i="2"/>
  <c r="Y70" i="2"/>
  <c r="Z180" i="2"/>
  <c r="Z291" i="2"/>
  <c r="AA138" i="2"/>
  <c r="AA238" i="2"/>
  <c r="AA359" i="2"/>
  <c r="AB168" i="2"/>
  <c r="AB279" i="2"/>
  <c r="AB98" i="2"/>
  <c r="AC218" i="2"/>
  <c r="AC320" i="2"/>
  <c r="AD158" i="2"/>
  <c r="AD258" i="2"/>
  <c r="AD48" i="2"/>
  <c r="AE168" i="2"/>
  <c r="AE27" i="2"/>
  <c r="AE78" i="2"/>
  <c r="AF178" i="2"/>
  <c r="AF279" i="2"/>
  <c r="AF88" i="2"/>
  <c r="AG188" i="2"/>
  <c r="AG289" i="2"/>
  <c r="AG88" i="2"/>
  <c r="AH188" i="2"/>
  <c r="AH299" i="2"/>
  <c r="AJ248" i="2"/>
  <c r="AK16" i="2"/>
  <c r="AK279" i="2"/>
  <c r="AL188" i="2"/>
  <c r="AL309" i="2"/>
  <c r="AM108" i="2"/>
  <c r="AM228" i="2"/>
  <c r="AN128" i="2"/>
  <c r="AN350" i="2"/>
  <c r="AO359" i="2"/>
  <c r="AP258" i="2"/>
  <c r="AQ16" i="2"/>
  <c r="AR198" i="2"/>
  <c r="AR309" i="2"/>
  <c r="AS118" i="2"/>
  <c r="AS248" i="2"/>
  <c r="AS68" i="2"/>
  <c r="AT188" i="2"/>
  <c r="AT340" i="2"/>
  <c r="AV118" i="2"/>
  <c r="AV279" i="2"/>
  <c r="AW138" i="2"/>
  <c r="AW309" i="2"/>
  <c r="AX16" i="2"/>
  <c r="AX38" i="2"/>
  <c r="AY238" i="2"/>
  <c r="AZ16" i="2"/>
  <c r="AH208" i="2"/>
  <c r="AI108" i="2"/>
  <c r="AI228" i="2"/>
  <c r="AI330" i="2"/>
  <c r="AJ138" i="2"/>
  <c r="AJ258" i="2"/>
  <c r="AJ58" i="2"/>
  <c r="AK168" i="2"/>
  <c r="AK88" i="2"/>
  <c r="AL320" i="2"/>
  <c r="AM340" i="2"/>
  <c r="AN238" i="2"/>
  <c r="AO148" i="2"/>
  <c r="AO258" i="2"/>
  <c r="AP158" i="2"/>
  <c r="AP268" i="2"/>
  <c r="AP58" i="2"/>
  <c r="AQ168" i="2"/>
  <c r="AQ279" i="2"/>
  <c r="AQ78" i="2"/>
  <c r="AR320" i="2"/>
  <c r="AS258" i="2"/>
  <c r="AT198" i="2"/>
  <c r="AU148" i="2"/>
  <c r="AU299" i="2"/>
  <c r="AV128" i="2"/>
  <c r="AV289" i="2"/>
  <c r="AX168" i="2"/>
  <c r="AY248" i="2"/>
  <c r="AZ168" i="2"/>
  <c r="BA118" i="2"/>
  <c r="BA68" i="2"/>
  <c r="AA148" i="2"/>
  <c r="AA248" i="2"/>
  <c r="AA68" i="2"/>
  <c r="AB178" i="2"/>
  <c r="AB289" i="2"/>
  <c r="AC108" i="2"/>
  <c r="AC228" i="2"/>
  <c r="AC330" i="2"/>
  <c r="AD16" i="2"/>
  <c r="AD268" i="2"/>
  <c r="AD68" i="2"/>
  <c r="AE178" i="2"/>
  <c r="AE279" i="2"/>
  <c r="AE88" i="2"/>
  <c r="AF188" i="2"/>
  <c r="AF289" i="2"/>
  <c r="AF98" i="2"/>
  <c r="AG208" i="2"/>
  <c r="AG299" i="2"/>
  <c r="AG98" i="2"/>
  <c r="AH309" i="2"/>
  <c r="AJ268" i="2"/>
  <c r="AK289" i="2"/>
  <c r="AL208" i="2"/>
  <c r="AM118" i="2"/>
  <c r="AM238" i="2"/>
  <c r="AN138" i="2"/>
  <c r="AN248" i="2"/>
  <c r="AN359" i="2"/>
  <c r="AO158" i="2"/>
  <c r="AO48" i="2"/>
  <c r="AP27" i="2"/>
  <c r="AQ88" i="2"/>
  <c r="AR208" i="2"/>
  <c r="AS128" i="2"/>
  <c r="AS268" i="2"/>
  <c r="AS78" i="2"/>
  <c r="AT208" i="2"/>
  <c r="AT350" i="2"/>
  <c r="AU158" i="2"/>
  <c r="AV138" i="2"/>
  <c r="AV299" i="2"/>
  <c r="AW148" i="2"/>
  <c r="AW320" i="2"/>
  <c r="AX178" i="2"/>
  <c r="AX48" i="2"/>
  <c r="AY258" i="2"/>
  <c r="AZ178" i="2"/>
  <c r="BA128" i="2"/>
  <c r="BA78" i="2"/>
  <c r="AH218" i="2"/>
  <c r="AI118" i="2"/>
  <c r="AI238" i="2"/>
  <c r="AI350" i="2"/>
  <c r="AJ148" i="2"/>
  <c r="AJ68" i="2"/>
  <c r="AK178" i="2"/>
  <c r="AK98" i="2"/>
  <c r="AL218" i="2"/>
  <c r="AL330" i="2"/>
  <c r="AM128" i="2"/>
  <c r="AM350" i="2"/>
  <c r="AN258" i="2"/>
  <c r="AO268" i="2"/>
  <c r="AP16" i="2"/>
  <c r="AP68" i="2"/>
  <c r="AQ178" i="2"/>
  <c r="AQ289" i="2"/>
  <c r="AQ98" i="2"/>
  <c r="AR330" i="2"/>
  <c r="AS27" i="2"/>
  <c r="AT218" i="2"/>
  <c r="AU16" i="2"/>
  <c r="AU309" i="2"/>
  <c r="AV309" i="2"/>
  <c r="AW158" i="2"/>
  <c r="AX58" i="2"/>
  <c r="AY27" i="2"/>
  <c r="BA138" i="2"/>
  <c r="BA88" i="2"/>
  <c r="AE98" i="2"/>
  <c r="AF208" i="2"/>
  <c r="AF299" i="2"/>
  <c r="AG108" i="2"/>
  <c r="AG218" i="2"/>
  <c r="AG309" i="2"/>
  <c r="AH108" i="2"/>
  <c r="AH320" i="2"/>
  <c r="AJ158" i="2"/>
  <c r="AJ27" i="2"/>
  <c r="AJ78" i="2"/>
  <c r="AK299" i="2"/>
  <c r="AL228" i="2"/>
  <c r="AM248" i="2"/>
  <c r="AN148" i="2"/>
  <c r="AN48" i="2"/>
  <c r="AO16" i="2"/>
  <c r="AO58" i="2"/>
  <c r="AP168" i="2"/>
  <c r="AP279" i="2"/>
  <c r="AP78" i="2"/>
  <c r="AR108" i="2"/>
  <c r="AR218" i="2"/>
  <c r="AS138" i="2"/>
  <c r="AS279" i="2"/>
  <c r="AS88" i="2"/>
  <c r="AT228" i="2"/>
  <c r="AT359" i="2"/>
  <c r="AU168" i="2"/>
  <c r="AV16" i="2"/>
  <c r="AV320" i="2"/>
  <c r="AW16" i="2"/>
  <c r="AW330" i="2"/>
  <c r="AX188" i="2"/>
  <c r="AX68" i="2"/>
  <c r="AZ188" i="2"/>
  <c r="AH228" i="2"/>
  <c r="AI138" i="2"/>
  <c r="AI248" i="2"/>
  <c r="AI359" i="2"/>
  <c r="AJ16" i="2"/>
  <c r="AK188" i="2"/>
  <c r="AL108" i="2"/>
  <c r="AL340" i="2"/>
  <c r="AM138" i="2"/>
  <c r="AM359" i="2"/>
  <c r="AN158" i="2"/>
  <c r="AN268" i="2"/>
  <c r="AN58" i="2"/>
  <c r="AO27" i="2"/>
  <c r="AP178" i="2"/>
  <c r="AQ188" i="2"/>
  <c r="AQ299" i="2"/>
  <c r="AR228" i="2"/>
  <c r="AR340" i="2"/>
  <c r="AS148" i="2"/>
  <c r="AT238" i="2"/>
  <c r="AU178" i="2"/>
  <c r="AU320" i="2"/>
  <c r="AV168" i="2"/>
  <c r="AW168" i="2"/>
  <c r="AW340" i="2"/>
  <c r="AX198" i="2"/>
  <c r="AX88" i="2"/>
  <c r="AY299" i="2"/>
  <c r="AZ198" i="2"/>
  <c r="BA148" i="2"/>
  <c r="BA98" i="2"/>
  <c r="AF218" i="2"/>
  <c r="AF309" i="2"/>
  <c r="AG118" i="2"/>
  <c r="AG228" i="2"/>
  <c r="AG320" i="2"/>
  <c r="AH118" i="2"/>
  <c r="AH330" i="2"/>
  <c r="AJ279" i="2"/>
  <c r="AJ88" i="2"/>
  <c r="AK309" i="2"/>
  <c r="AL118" i="2"/>
  <c r="AL238" i="2"/>
  <c r="AL350" i="2"/>
  <c r="AM258" i="2"/>
  <c r="AN16" i="2"/>
  <c r="AO168" i="2"/>
  <c r="AO68" i="2"/>
  <c r="AP289" i="2"/>
  <c r="AP88" i="2"/>
  <c r="AQ309" i="2"/>
  <c r="AR118" i="2"/>
  <c r="AS158" i="2"/>
  <c r="AS289" i="2"/>
  <c r="AS98" i="2"/>
  <c r="AT248" i="2"/>
  <c r="AT38" i="2"/>
  <c r="AU198" i="2"/>
  <c r="AV350" i="2"/>
  <c r="AW178" i="2"/>
  <c r="AW350" i="2"/>
  <c r="AX208" i="2"/>
  <c r="AY309" i="2"/>
  <c r="BA158" i="2"/>
  <c r="AH238" i="2"/>
  <c r="AI148" i="2"/>
  <c r="AI258" i="2"/>
  <c r="AI48" i="2"/>
  <c r="AJ168" i="2"/>
  <c r="AJ289" i="2"/>
  <c r="AK208" i="2"/>
  <c r="AL128" i="2"/>
  <c r="AM148" i="2"/>
  <c r="AM48" i="2"/>
  <c r="AN27" i="2"/>
  <c r="AN68" i="2"/>
  <c r="AO279" i="2"/>
  <c r="AO78" i="2"/>
  <c r="AP188" i="2"/>
  <c r="AP299" i="2"/>
  <c r="AQ198" i="2"/>
  <c r="AQ320" i="2"/>
  <c r="AR238" i="2"/>
  <c r="AR350" i="2"/>
  <c r="AS16" i="2"/>
  <c r="AT108" i="2"/>
  <c r="AU330" i="2"/>
  <c r="AV178" i="2"/>
  <c r="AV359" i="2"/>
  <c r="AW359" i="2"/>
  <c r="AX228" i="2"/>
  <c r="AY118" i="2"/>
  <c r="AY320" i="2"/>
  <c r="AZ258" i="2"/>
  <c r="P16" i="2"/>
  <c r="P361" i="2"/>
  <c r="R18" i="2"/>
  <c r="S140" i="2"/>
  <c r="S361" i="2"/>
  <c r="T260" i="2"/>
  <c r="U180" i="2"/>
  <c r="V110" i="2"/>
  <c r="V260" i="2"/>
  <c r="W18" i="2"/>
  <c r="W332" i="2"/>
  <c r="X190" i="2"/>
  <c r="X332" i="2"/>
  <c r="Y18" i="2"/>
  <c r="Y291" i="2"/>
  <c r="Z110" i="2"/>
  <c r="Z230" i="2"/>
  <c r="Z332" i="2"/>
  <c r="AA168" i="2"/>
  <c r="AA279" i="2"/>
  <c r="AA98" i="2"/>
  <c r="AB218" i="2"/>
  <c r="AB320" i="2"/>
  <c r="AC158" i="2"/>
  <c r="AC258" i="2"/>
  <c r="AC78" i="2"/>
  <c r="AD188" i="2"/>
  <c r="AD289" i="2"/>
  <c r="AD98" i="2"/>
  <c r="AE218" i="2"/>
  <c r="AE309" i="2"/>
  <c r="AF118" i="2"/>
  <c r="AF228" i="2"/>
  <c r="AF320" i="2"/>
  <c r="AG138" i="2"/>
  <c r="AG238" i="2"/>
  <c r="AG330" i="2"/>
  <c r="AH138" i="2"/>
  <c r="AH350" i="2"/>
  <c r="AI58" i="2"/>
  <c r="AJ98" i="2"/>
  <c r="AK320" i="2"/>
  <c r="AL248" i="2"/>
  <c r="AL359" i="2"/>
  <c r="AM268" i="2"/>
  <c r="AM58" i="2"/>
  <c r="AN168" i="2"/>
  <c r="AN279" i="2"/>
  <c r="AO178" i="2"/>
  <c r="AO88" i="2"/>
  <c r="AP98" i="2"/>
  <c r="AQ330" i="2"/>
  <c r="AR128" i="2"/>
  <c r="AS168" i="2"/>
  <c r="AS299" i="2"/>
  <c r="AT118" i="2"/>
  <c r="AT258" i="2"/>
  <c r="AT48" i="2"/>
  <c r="AU208" i="2"/>
  <c r="AU340" i="2"/>
  <c r="AW208" i="2"/>
  <c r="AW38" i="2"/>
  <c r="AY128" i="2"/>
  <c r="AZ268" i="2"/>
  <c r="BA208" i="2"/>
  <c r="P188" i="2"/>
  <c r="AH248" i="2"/>
  <c r="AI158" i="2"/>
  <c r="AI268" i="2"/>
  <c r="AJ178" i="2"/>
  <c r="AJ299" i="2"/>
  <c r="AK218" i="2"/>
  <c r="AK330" i="2"/>
  <c r="AL138" i="2"/>
  <c r="AL258" i="2"/>
  <c r="AM158" i="2"/>
  <c r="AM68" i="2"/>
  <c r="AN78" i="2"/>
  <c r="AO289" i="2"/>
  <c r="AP198" i="2"/>
  <c r="AP309" i="2"/>
  <c r="AQ208" i="2"/>
  <c r="AR138" i="2"/>
  <c r="AR248" i="2"/>
  <c r="AR359" i="2"/>
  <c r="AS178" i="2"/>
  <c r="AT128" i="2"/>
  <c r="AT58" i="2"/>
  <c r="AU350" i="2"/>
  <c r="AV188" i="2"/>
  <c r="AV38" i="2"/>
  <c r="AW218" i="2"/>
  <c r="AX258" i="2"/>
  <c r="AY138" i="2"/>
  <c r="AY330" i="2"/>
  <c r="AZ27" i="2"/>
  <c r="BA218" i="2"/>
  <c r="P258" i="2"/>
  <c r="S228" i="2"/>
  <c r="T168" i="2"/>
  <c r="T78" i="2"/>
  <c r="U279" i="2"/>
  <c r="V178" i="2"/>
  <c r="V78" i="2"/>
  <c r="W228" i="2"/>
  <c r="X148" i="2"/>
  <c r="X268" i="2"/>
  <c r="Y138" i="2"/>
  <c r="Y238" i="2"/>
  <c r="Y68" i="2"/>
  <c r="Z178" i="2"/>
  <c r="Z289" i="2"/>
  <c r="R289" i="2"/>
  <c r="S258" i="2"/>
  <c r="T178" i="2"/>
  <c r="U138" i="2"/>
  <c r="U289" i="2"/>
  <c r="V188" i="2"/>
  <c r="W108" i="2"/>
  <c r="W258" i="2"/>
  <c r="X158" i="2"/>
  <c r="X279" i="2"/>
  <c r="Y148" i="2"/>
  <c r="Y258" i="2"/>
  <c r="Y78" i="2"/>
  <c r="Z188" i="2"/>
  <c r="Z299" i="2"/>
  <c r="Q359" i="2"/>
  <c r="R330" i="2"/>
  <c r="S279" i="2"/>
  <c r="T188" i="2"/>
  <c r="U158" i="2"/>
  <c r="U330" i="2"/>
  <c r="V208" i="2"/>
  <c r="W138" i="2"/>
  <c r="W279" i="2"/>
  <c r="X16" i="2"/>
  <c r="X289" i="2"/>
  <c r="Y158" i="2"/>
  <c r="Y268" i="2"/>
  <c r="Y88" i="2"/>
  <c r="Z208" i="2"/>
  <c r="Z309" i="2"/>
  <c r="Q78" i="2"/>
  <c r="R359" i="2"/>
  <c r="S289" i="2"/>
  <c r="T218" i="2"/>
  <c r="U16" i="2"/>
  <c r="U359" i="2"/>
  <c r="V218" i="2"/>
  <c r="W158" i="2"/>
  <c r="W289" i="2"/>
  <c r="X168" i="2"/>
  <c r="X309" i="2"/>
  <c r="Y16" i="2"/>
  <c r="Y279" i="2"/>
  <c r="Y98" i="2"/>
  <c r="Z218" i="2"/>
  <c r="Z320" i="2"/>
  <c r="BA340" i="2"/>
  <c r="L188" i="2"/>
  <c r="P330" i="2"/>
  <c r="R158" i="2"/>
  <c r="R78" i="2"/>
  <c r="S330" i="2"/>
  <c r="T228" i="2"/>
  <c r="U168" i="2"/>
  <c r="U78" i="2"/>
  <c r="V228" i="2"/>
  <c r="W16" i="2"/>
  <c r="W309" i="2"/>
  <c r="X178" i="2"/>
  <c r="X320" i="2"/>
  <c r="Y168" i="2"/>
  <c r="Y289" i="2"/>
  <c r="Z108" i="2"/>
  <c r="Z228" i="2"/>
  <c r="Z330" i="2"/>
  <c r="AY350" i="2"/>
  <c r="AZ118" i="2"/>
  <c r="AZ208" i="2"/>
  <c r="AZ299" i="2"/>
  <c r="AZ68" i="2"/>
  <c r="BA16" i="2"/>
  <c r="BA258" i="2"/>
  <c r="BA350" i="2"/>
  <c r="M188" i="2"/>
  <c r="P359" i="2"/>
  <c r="R16" i="2"/>
  <c r="S138" i="2"/>
  <c r="S359" i="2"/>
  <c r="T258" i="2"/>
  <c r="U178" i="2"/>
  <c r="V108" i="2"/>
  <c r="V258" i="2"/>
  <c r="W168" i="2"/>
  <c r="W330" i="2"/>
  <c r="X188" i="2"/>
  <c r="X330" i="2"/>
  <c r="Y178" i="2"/>
  <c r="Y299" i="2"/>
  <c r="Z138" i="2"/>
  <c r="Z238" i="2"/>
  <c r="Z359" i="2"/>
  <c r="AX218" i="2"/>
  <c r="AX309" i="2"/>
  <c r="AX78" i="2"/>
  <c r="AY168" i="2"/>
  <c r="AY268" i="2"/>
  <c r="AY359" i="2"/>
  <c r="AZ128" i="2"/>
  <c r="AZ218" i="2"/>
  <c r="AZ309" i="2"/>
  <c r="AZ78" i="2"/>
  <c r="BA168" i="2"/>
  <c r="BA268" i="2"/>
  <c r="BA359" i="2"/>
  <c r="N188" i="2"/>
  <c r="Q158" i="2"/>
  <c r="R178" i="2"/>
  <c r="S158" i="2"/>
  <c r="S78" i="2"/>
  <c r="T279" i="2"/>
  <c r="U188" i="2"/>
  <c r="V138" i="2"/>
  <c r="V279" i="2"/>
  <c r="W178" i="2"/>
  <c r="W359" i="2"/>
  <c r="X208" i="2"/>
  <c r="X359" i="2"/>
  <c r="Y188" i="2"/>
  <c r="Y309" i="2"/>
  <c r="Z148" i="2"/>
  <c r="Z248" i="2"/>
  <c r="Z68" i="2"/>
  <c r="AZ138" i="2"/>
  <c r="AZ228" i="2"/>
  <c r="AZ320" i="2"/>
  <c r="AZ88" i="2"/>
  <c r="BA178" i="2"/>
  <c r="BA27" i="2"/>
  <c r="BA38" i="2"/>
  <c r="O188" i="2"/>
  <c r="Q16" i="2"/>
  <c r="R188" i="2"/>
  <c r="S16" i="2"/>
  <c r="T138" i="2"/>
  <c r="T289" i="2"/>
  <c r="U218" i="2"/>
  <c r="V158" i="2"/>
  <c r="V289" i="2"/>
  <c r="W188" i="2"/>
  <c r="W78" i="2"/>
  <c r="X218" i="2"/>
  <c r="X78" i="2"/>
  <c r="Y208" i="2"/>
  <c r="Y320" i="2"/>
  <c r="Z158" i="2"/>
  <c r="Z258" i="2"/>
  <c r="Z78" i="2"/>
  <c r="AT98" i="2"/>
  <c r="AU188" i="2"/>
  <c r="AU279" i="2"/>
  <c r="AU48" i="2"/>
  <c r="AV148" i="2"/>
  <c r="AV238" i="2"/>
  <c r="AV330" i="2"/>
  <c r="AV98" i="2"/>
  <c r="AW188" i="2"/>
  <c r="AW279" i="2"/>
  <c r="AW48" i="2"/>
  <c r="AX148" i="2"/>
  <c r="AX238" i="2"/>
  <c r="AX330" i="2"/>
  <c r="AX98" i="2"/>
  <c r="AY188" i="2"/>
  <c r="AY279" i="2"/>
  <c r="AY48" i="2"/>
  <c r="AZ148" i="2"/>
  <c r="AZ238" i="2"/>
  <c r="AZ330" i="2"/>
  <c r="AZ98" i="2"/>
  <c r="BA188" i="2"/>
  <c r="BA279" i="2"/>
  <c r="BA48" i="2"/>
  <c r="O330" i="2"/>
  <c r="Q188" i="2"/>
  <c r="R228" i="2"/>
  <c r="S178" i="2"/>
  <c r="T158" i="2"/>
  <c r="T330" i="2"/>
  <c r="U228" i="2"/>
  <c r="V16" i="2"/>
  <c r="V330" i="2"/>
  <c r="W208" i="2"/>
  <c r="X108" i="2"/>
  <c r="X228" i="2"/>
  <c r="X88" i="2"/>
  <c r="Y218" i="2"/>
  <c r="Y330" i="2"/>
  <c r="Z16" i="2"/>
  <c r="Z268" i="2"/>
  <c r="Z88" i="2"/>
  <c r="AU58" i="2"/>
  <c r="AV158" i="2"/>
  <c r="AV248" i="2"/>
  <c r="AV340" i="2"/>
  <c r="AW108" i="2"/>
  <c r="AW198" i="2"/>
  <c r="AW289" i="2"/>
  <c r="AW58" i="2"/>
  <c r="AX158" i="2"/>
  <c r="AX248" i="2"/>
  <c r="AX340" i="2"/>
  <c r="AY108" i="2"/>
  <c r="AY198" i="2"/>
  <c r="AY289" i="2"/>
  <c r="AY58" i="2"/>
  <c r="AZ158" i="2"/>
  <c r="AZ248" i="2"/>
  <c r="AZ340" i="2"/>
  <c r="BA108" i="2"/>
  <c r="BA198" i="2"/>
  <c r="BA289" i="2"/>
  <c r="BA58" i="2"/>
  <c r="P158" i="2"/>
  <c r="Q258" i="2"/>
  <c r="R258" i="2"/>
  <c r="S188" i="2"/>
  <c r="T16" i="2"/>
  <c r="T359" i="2"/>
  <c r="U258" i="2"/>
  <c r="V168" i="2"/>
  <c r="V359" i="2"/>
  <c r="W218" i="2"/>
  <c r="X138" i="2"/>
  <c r="X258" i="2"/>
  <c r="Y108" i="2"/>
  <c r="Y228" i="2"/>
  <c r="Y359" i="2"/>
  <c r="Z168" i="2"/>
  <c r="Z279" i="2"/>
  <c r="Z98" i="2"/>
  <c r="BA349" i="2"/>
  <c r="AZ349" i="2"/>
  <c r="AY349" i="2"/>
  <c r="AX349" i="2"/>
  <c r="AW349" i="2"/>
  <c r="AV349" i="2"/>
  <c r="AU349" i="2"/>
  <c r="AT349" i="2"/>
  <c r="AS349" i="2"/>
  <c r="AR349" i="2"/>
  <c r="AQ349" i="2"/>
  <c r="AP349" i="2"/>
  <c r="AO349" i="2"/>
  <c r="AN349" i="2"/>
  <c r="AM349" i="2"/>
  <c r="AL349" i="2"/>
  <c r="AK349" i="2"/>
  <c r="AJ349" i="2"/>
  <c r="AI349" i="2"/>
  <c r="AH349" i="2"/>
  <c r="AG349" i="2"/>
  <c r="C351" i="2"/>
  <c r="C345" i="2"/>
  <c r="C348" i="2"/>
  <c r="C352" i="2"/>
  <c r="C350" i="2"/>
  <c r="C347" i="2"/>
  <c r="C346" i="2"/>
  <c r="G22" i="1" l="1" a="1"/>
  <c r="G22" i="1" s="1"/>
  <c r="R22" i="1" a="1"/>
  <c r="R22" i="1" s="1"/>
  <c r="AN23" i="1" a="1"/>
  <c r="AN23" i="1" s="1"/>
  <c r="G21" i="1" a="1"/>
  <c r="G21" i="1" s="1"/>
  <c r="AN19" i="1" a="1"/>
  <c r="AN19" i="1" s="1"/>
  <c r="R21" i="1" a="1"/>
  <c r="R21" i="1" s="1"/>
  <c r="AC27" i="1" a="1"/>
  <c r="AC27" i="1" s="1"/>
  <c r="AN20" i="1" a="1"/>
  <c r="AN20" i="1" s="1"/>
  <c r="AN24" i="1" a="1"/>
  <c r="AN24" i="1" s="1"/>
  <c r="R27" i="1" a="1"/>
  <c r="R27" i="1" s="1"/>
  <c r="R19" i="1" a="1"/>
  <c r="R19" i="1" s="1"/>
  <c r="AC18" i="1" a="1"/>
  <c r="AC18" i="1" s="1"/>
  <c r="AC25" i="1" a="1"/>
  <c r="AC25" i="1" s="1"/>
  <c r="AC17" i="1" a="1"/>
  <c r="AC17" i="1" s="1"/>
  <c r="R18" i="1" a="1"/>
  <c r="R18" i="1" s="1"/>
  <c r="G16" i="1" a="1"/>
  <c r="G16" i="1" s="1"/>
  <c r="AC19" i="1" a="1"/>
  <c r="AC19" i="1" s="1"/>
  <c r="AN26" i="1" a="1"/>
  <c r="AN26" i="1" s="1"/>
  <c r="AC21" i="1" a="1"/>
  <c r="AC21" i="1" s="1"/>
  <c r="AN18" i="1" a="1"/>
  <c r="AN18" i="1" s="1"/>
  <c r="R25" i="1" a="1"/>
  <c r="R25" i="1" s="1"/>
  <c r="R16" i="1" a="1"/>
  <c r="R16" i="1" s="1"/>
  <c r="G19" i="1" a="1"/>
  <c r="G19" i="1" s="1"/>
  <c r="AC22" i="1" a="1"/>
  <c r="AC22" i="1" s="1"/>
  <c r="G17" i="1" a="1"/>
  <c r="G17" i="1" s="1"/>
  <c r="AN25" i="1" a="1"/>
  <c r="AN25" i="1" s="1"/>
  <c r="AC20" i="1" a="1"/>
  <c r="AC20" i="1" s="1"/>
  <c r="AC23" i="1" a="1"/>
  <c r="AC23" i="1" s="1"/>
  <c r="G25" i="1" a="1"/>
  <c r="G25" i="1" s="1"/>
  <c r="R20" i="1" a="1"/>
  <c r="R20" i="1" s="1"/>
  <c r="G26" i="1" a="1"/>
  <c r="G26" i="1" s="1"/>
  <c r="R23" i="1" a="1"/>
  <c r="R23" i="1" s="1"/>
  <c r="G24" i="1" a="1"/>
  <c r="G24" i="1" s="1"/>
  <c r="G20" i="1" a="1"/>
  <c r="G20" i="1" s="1"/>
  <c r="R26" i="1" a="1"/>
  <c r="R26" i="1" s="1"/>
  <c r="G18" i="1" a="1"/>
  <c r="G18" i="1" s="1"/>
  <c r="G27" i="1" a="1"/>
  <c r="G27" i="1" s="1"/>
  <c r="AN16" i="1" a="1"/>
  <c r="AN16" i="1" s="1"/>
  <c r="AN21" i="1" a="1"/>
  <c r="AN21" i="1" s="1"/>
  <c r="AN17" i="1" a="1"/>
  <c r="AN17" i="1" s="1"/>
  <c r="AC26" i="1" a="1"/>
  <c r="AC26" i="1" s="1"/>
  <c r="AN22" i="1" a="1"/>
  <c r="AN22" i="1" s="1"/>
  <c r="AN27" i="1" a="1"/>
  <c r="AN27" i="1" s="1"/>
  <c r="R17" i="1" a="1"/>
  <c r="R17" i="1" s="1"/>
  <c r="R24" i="1" a="1"/>
  <c r="R24" i="1" s="1"/>
  <c r="AC24" i="1" a="1"/>
  <c r="AC24" i="1" s="1"/>
  <c r="AC16" i="1" a="1"/>
  <c r="AC16" i="1" s="1"/>
  <c r="G23" i="1" a="1"/>
  <c r="G23" i="1" s="1"/>
  <c r="BA339" i="2"/>
  <c r="AZ339" i="2"/>
  <c r="AY339" i="2"/>
  <c r="AX339" i="2"/>
  <c r="AW339" i="2"/>
  <c r="AV339" i="2"/>
  <c r="AU339" i="2"/>
  <c r="AT339" i="2"/>
  <c r="AS339" i="2"/>
  <c r="AR339" i="2"/>
  <c r="AQ339" i="2"/>
  <c r="AP339" i="2"/>
  <c r="AO339" i="2"/>
  <c r="AN339" i="2"/>
  <c r="AM339" i="2"/>
  <c r="AL339" i="2"/>
  <c r="C342" i="2"/>
  <c r="C337" i="2"/>
  <c r="C340" i="2"/>
  <c r="C341" i="2"/>
  <c r="C335" i="2"/>
  <c r="C336" i="2"/>
  <c r="C338" i="2"/>
  <c r="BA329" i="2" l="1"/>
  <c r="AZ329" i="2"/>
  <c r="AY329" i="2"/>
  <c r="AX329" i="2"/>
  <c r="AW329" i="2"/>
  <c r="AV329" i="2"/>
  <c r="AU329" i="2"/>
  <c r="AT329" i="2"/>
  <c r="AS329" i="2"/>
  <c r="AR329" i="2"/>
  <c r="AQ329" i="2"/>
  <c r="AP329" i="2"/>
  <c r="AO329" i="2"/>
  <c r="AN329" i="2"/>
  <c r="AM329" i="2"/>
  <c r="AL329" i="2"/>
  <c r="AK329" i="2"/>
  <c r="AJ329" i="2"/>
  <c r="AI329" i="2"/>
  <c r="AH329" i="2"/>
  <c r="AG329" i="2"/>
  <c r="AF329" i="2"/>
  <c r="AE329" i="2"/>
  <c r="AD329" i="2"/>
  <c r="AC329" i="2"/>
  <c r="AB329" i="2"/>
  <c r="AA329" i="2"/>
  <c r="Z329" i="2"/>
  <c r="Y329" i="2"/>
  <c r="X329" i="2"/>
  <c r="W329" i="2"/>
  <c r="V329" i="2"/>
  <c r="U329" i="2"/>
  <c r="T329" i="2"/>
  <c r="S329" i="2"/>
  <c r="C331" i="2"/>
  <c r="C327" i="2"/>
  <c r="C326" i="2"/>
  <c r="C330" i="2"/>
  <c r="C328" i="2"/>
  <c r="C325" i="2"/>
  <c r="C332" i="2"/>
  <c r="BA319" i="2" l="1"/>
  <c r="AZ319" i="2"/>
  <c r="AY319" i="2"/>
  <c r="AX319" i="2"/>
  <c r="AW319" i="2"/>
  <c r="AV319" i="2"/>
  <c r="AU319" i="2"/>
  <c r="AT319" i="2"/>
  <c r="AS319" i="2"/>
  <c r="AR319" i="2"/>
  <c r="AQ319" i="2"/>
  <c r="AP319" i="2"/>
  <c r="AO319" i="2"/>
  <c r="AN319" i="2"/>
  <c r="AM319" i="2"/>
  <c r="AL319" i="2"/>
  <c r="AK319" i="2"/>
  <c r="AJ319" i="2"/>
  <c r="AI319" i="2"/>
  <c r="AH319" i="2"/>
  <c r="AG319" i="2"/>
  <c r="AF319" i="2"/>
  <c r="AE319" i="2"/>
  <c r="AD319" i="2"/>
  <c r="AC319" i="2"/>
  <c r="AB319" i="2"/>
  <c r="AA319" i="2"/>
  <c r="Z319" i="2"/>
  <c r="Y319" i="2"/>
  <c r="X319" i="2"/>
  <c r="C320" i="2"/>
  <c r="C316" i="2"/>
  <c r="C317" i="2"/>
  <c r="C322" i="2"/>
  <c r="C318" i="2"/>
  <c r="C321" i="2"/>
  <c r="C315" i="2"/>
  <c r="BA308" i="2" l="1"/>
  <c r="AZ308" i="2"/>
  <c r="AY308" i="2"/>
  <c r="AX308" i="2"/>
  <c r="AW308" i="2"/>
  <c r="AV308" i="2"/>
  <c r="AU308" i="2"/>
  <c r="AT308" i="2"/>
  <c r="AS308" i="2"/>
  <c r="AR308" i="2"/>
  <c r="AQ308" i="2"/>
  <c r="AP308" i="2"/>
  <c r="AO308" i="2"/>
  <c r="AN308" i="2"/>
  <c r="AM308" i="2"/>
  <c r="AL308" i="2"/>
  <c r="AK308" i="2"/>
  <c r="AJ308" i="2"/>
  <c r="AI308" i="2"/>
  <c r="AH308" i="2"/>
  <c r="AG308" i="2"/>
  <c r="AF308" i="2"/>
  <c r="AE308" i="2"/>
  <c r="AD308" i="2"/>
  <c r="AC308" i="2"/>
  <c r="AB308" i="2"/>
  <c r="AA308" i="2"/>
  <c r="Z308" i="2"/>
  <c r="Y308" i="2"/>
  <c r="X308" i="2"/>
  <c r="W308" i="2"/>
  <c r="C310" i="2"/>
  <c r="C309" i="2"/>
  <c r="C306" i="2"/>
  <c r="C311" i="2"/>
  <c r="C305" i="2"/>
  <c r="C304" i="2"/>
  <c r="C307" i="2"/>
  <c r="BA298" i="2" l="1"/>
  <c r="AZ298" i="2"/>
  <c r="AY298" i="2"/>
  <c r="AX298" i="2"/>
  <c r="AW298" i="2"/>
  <c r="AV298" i="2"/>
  <c r="AU298" i="2"/>
  <c r="AT298" i="2"/>
  <c r="AS298" i="2"/>
  <c r="AR298" i="2"/>
  <c r="AQ298" i="2"/>
  <c r="AP298" i="2"/>
  <c r="AO298" i="2"/>
  <c r="AN298" i="2"/>
  <c r="AM298" i="2"/>
  <c r="AL298" i="2"/>
  <c r="AK298" i="2"/>
  <c r="AJ298" i="2"/>
  <c r="AI298" i="2"/>
  <c r="AH298" i="2"/>
  <c r="AG298" i="2"/>
  <c r="AF298" i="2"/>
  <c r="AE298" i="2"/>
  <c r="AD298" i="2"/>
  <c r="AC298" i="2"/>
  <c r="AB298" i="2"/>
  <c r="AA298" i="2"/>
  <c r="Z298" i="2"/>
  <c r="Y298" i="2"/>
  <c r="C297" i="2"/>
  <c r="C295" i="2"/>
  <c r="C300" i="2"/>
  <c r="C299" i="2"/>
  <c r="C301" i="2"/>
  <c r="C294" i="2"/>
  <c r="C296" i="2"/>
  <c r="BA288" i="2" l="1"/>
  <c r="AZ288" i="2"/>
  <c r="AY288" i="2"/>
  <c r="AX288" i="2"/>
  <c r="AW288" i="2"/>
  <c r="AV288" i="2"/>
  <c r="AU288" i="2"/>
  <c r="AT288" i="2"/>
  <c r="AS288" i="2"/>
  <c r="AR288" i="2"/>
  <c r="AQ288" i="2"/>
  <c r="AP288" i="2"/>
  <c r="AO288" i="2"/>
  <c r="AN288" i="2"/>
  <c r="AM288" i="2"/>
  <c r="AL288" i="2"/>
  <c r="AK288" i="2"/>
  <c r="AJ288" i="2"/>
  <c r="AI288" i="2"/>
  <c r="AH288" i="2"/>
  <c r="AG288" i="2"/>
  <c r="AF288" i="2"/>
  <c r="AE288" i="2"/>
  <c r="AD288" i="2"/>
  <c r="AC288" i="2"/>
  <c r="AB288" i="2"/>
  <c r="AA288" i="2"/>
  <c r="Z288" i="2"/>
  <c r="Y288" i="2"/>
  <c r="X288" i="2"/>
  <c r="W288" i="2"/>
  <c r="V288" i="2"/>
  <c r="U288" i="2"/>
  <c r="T288" i="2"/>
  <c r="S288" i="2"/>
  <c r="R288" i="2"/>
  <c r="Q288" i="2"/>
  <c r="P288" i="2"/>
  <c r="C289" i="2"/>
  <c r="C286" i="2"/>
  <c r="C287" i="2"/>
  <c r="C291" i="2"/>
  <c r="C284" i="2"/>
  <c r="C290" i="2"/>
  <c r="C285" i="2"/>
  <c r="BA278" i="2" l="1"/>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Y278" i="2"/>
  <c r="X278" i="2"/>
  <c r="W278" i="2"/>
  <c r="V278" i="2"/>
  <c r="U278" i="2"/>
  <c r="T278" i="2"/>
  <c r="C279" i="2"/>
  <c r="C274" i="2"/>
  <c r="C276" i="2"/>
  <c r="C281" i="2"/>
  <c r="C277" i="2"/>
  <c r="C280" i="2"/>
  <c r="C275" i="2"/>
  <c r="BA267" i="2" l="1"/>
  <c r="AZ267" i="2"/>
  <c r="AY267" i="2"/>
  <c r="AX267" i="2"/>
  <c r="AW267" i="2"/>
  <c r="AV267" i="2"/>
  <c r="AU267" i="2"/>
  <c r="AT267" i="2"/>
  <c r="AS267" i="2"/>
  <c r="AR267" i="2"/>
  <c r="AQ267" i="2"/>
  <c r="AP267" i="2"/>
  <c r="AO267" i="2"/>
  <c r="AN267" i="2"/>
  <c r="AM267" i="2"/>
  <c r="AL267" i="2"/>
  <c r="AK267" i="2"/>
  <c r="AJ267" i="2"/>
  <c r="AI267" i="2"/>
  <c r="AH267" i="2"/>
  <c r="AG267" i="2"/>
  <c r="AF267" i="2"/>
  <c r="AE267" i="2"/>
  <c r="AD267" i="2"/>
  <c r="AC267" i="2"/>
  <c r="AB267" i="2"/>
  <c r="AA267" i="2"/>
  <c r="Z267" i="2"/>
  <c r="Y267" i="2"/>
  <c r="X267" i="2"/>
  <c r="C268" i="2"/>
  <c r="C265" i="2"/>
  <c r="C264" i="2"/>
  <c r="C270" i="2"/>
  <c r="C266" i="2"/>
  <c r="C269" i="2"/>
  <c r="C263" i="2"/>
  <c r="BA257" i="2" l="1"/>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Z257" i="2"/>
  <c r="Y257" i="2"/>
  <c r="X257" i="2"/>
  <c r="W257" i="2"/>
  <c r="V257" i="2"/>
  <c r="U257" i="2"/>
  <c r="T257" i="2"/>
  <c r="S257" i="2"/>
  <c r="R257" i="2"/>
  <c r="Q257" i="2"/>
  <c r="P257" i="2"/>
  <c r="C259" i="2"/>
  <c r="C254" i="2"/>
  <c r="C260" i="2"/>
  <c r="C256" i="2"/>
  <c r="C258" i="2"/>
  <c r="C253" i="2"/>
  <c r="C255" i="2"/>
  <c r="BA247" i="2" l="1"/>
  <c r="AZ247" i="2"/>
  <c r="AY247" i="2"/>
  <c r="AX247" i="2"/>
  <c r="AW247" i="2"/>
  <c r="AV247" i="2"/>
  <c r="AU247" i="2"/>
  <c r="AT247" i="2"/>
  <c r="AS247" i="2"/>
  <c r="AR247" i="2"/>
  <c r="AQ247" i="2"/>
  <c r="AP247" i="2"/>
  <c r="AO247" i="2"/>
  <c r="AN247" i="2"/>
  <c r="AM247" i="2"/>
  <c r="AL247" i="2"/>
  <c r="AK247" i="2"/>
  <c r="AJ247" i="2"/>
  <c r="AI247" i="2"/>
  <c r="AH247" i="2"/>
  <c r="AG247" i="2"/>
  <c r="AF247" i="2"/>
  <c r="AE247" i="2"/>
  <c r="AD247" i="2"/>
  <c r="AC247" i="2"/>
  <c r="AB247" i="2"/>
  <c r="AA247" i="2"/>
  <c r="Z247" i="2"/>
  <c r="C250" i="2"/>
  <c r="C246" i="2"/>
  <c r="C244" i="2"/>
  <c r="C249" i="2"/>
  <c r="C243" i="2"/>
  <c r="C245" i="2"/>
  <c r="C248" i="2"/>
  <c r="BA237" i="2" l="1"/>
  <c r="AZ237" i="2"/>
  <c r="AY237" i="2"/>
  <c r="AX237" i="2"/>
  <c r="AW237" i="2"/>
  <c r="AV237" i="2"/>
  <c r="AU237" i="2"/>
  <c r="AT237" i="2"/>
  <c r="AS237" i="2"/>
  <c r="AR237" i="2"/>
  <c r="AQ237" i="2"/>
  <c r="AP237" i="2"/>
  <c r="AO237" i="2"/>
  <c r="AN237" i="2"/>
  <c r="AM237" i="2"/>
  <c r="AL237" i="2"/>
  <c r="AK237" i="2"/>
  <c r="AJ237" i="2"/>
  <c r="AI237" i="2"/>
  <c r="AH237" i="2"/>
  <c r="AG237" i="2"/>
  <c r="AF237" i="2"/>
  <c r="AE237" i="2"/>
  <c r="AD237" i="2"/>
  <c r="AC237" i="2"/>
  <c r="AB237" i="2"/>
  <c r="AA237" i="2"/>
  <c r="Z237" i="2"/>
  <c r="Y237" i="2"/>
  <c r="C233" i="2"/>
  <c r="C236" i="2"/>
  <c r="C238" i="2"/>
  <c r="C240" i="2"/>
  <c r="C234" i="2"/>
  <c r="C235" i="2"/>
  <c r="C239" i="2"/>
  <c r="BA227" i="2" l="1"/>
  <c r="AZ227" i="2"/>
  <c r="AY227" i="2"/>
  <c r="AX227" i="2"/>
  <c r="AW227" i="2"/>
  <c r="AV227" i="2"/>
  <c r="AU227" i="2"/>
  <c r="AT227" i="2"/>
  <c r="AS227" i="2"/>
  <c r="AR227" i="2"/>
  <c r="AQ227" i="2"/>
  <c r="AP227" i="2"/>
  <c r="AO227" i="2"/>
  <c r="AN227" i="2"/>
  <c r="AM227" i="2"/>
  <c r="AL227" i="2"/>
  <c r="AK227" i="2"/>
  <c r="AJ227" i="2"/>
  <c r="AI227" i="2"/>
  <c r="AH227" i="2"/>
  <c r="AG227" i="2"/>
  <c r="AF227" i="2"/>
  <c r="AE227" i="2"/>
  <c r="AD227" i="2"/>
  <c r="AC227" i="2"/>
  <c r="AB227" i="2"/>
  <c r="AA227" i="2"/>
  <c r="Z227" i="2"/>
  <c r="Y227" i="2"/>
  <c r="X227" i="2"/>
  <c r="W227" i="2"/>
  <c r="V227" i="2"/>
  <c r="U227" i="2"/>
  <c r="T227" i="2"/>
  <c r="S227" i="2"/>
  <c r="R227" i="2"/>
  <c r="C230" i="2"/>
  <c r="C224" i="2"/>
  <c r="C228" i="2"/>
  <c r="C229" i="2"/>
  <c r="C226" i="2"/>
  <c r="C223" i="2"/>
  <c r="C225" i="2"/>
  <c r="BA217" i="2" l="1"/>
  <c r="AZ217" i="2"/>
  <c r="AY217" i="2"/>
  <c r="AX217" i="2"/>
  <c r="AW217" i="2"/>
  <c r="AV217" i="2"/>
  <c r="AU217" i="2"/>
  <c r="AT217" i="2"/>
  <c r="AS217" i="2"/>
  <c r="AR217" i="2"/>
  <c r="AQ217" i="2"/>
  <c r="AP217" i="2"/>
  <c r="AO217" i="2"/>
  <c r="AN217" i="2"/>
  <c r="AM217" i="2"/>
  <c r="AL217" i="2"/>
  <c r="AK217" i="2"/>
  <c r="AJ217" i="2"/>
  <c r="AI217" i="2"/>
  <c r="AH217" i="2"/>
  <c r="AG217" i="2"/>
  <c r="AF217" i="2"/>
  <c r="AE217" i="2"/>
  <c r="AD217" i="2"/>
  <c r="AC217" i="2"/>
  <c r="AB217" i="2"/>
  <c r="AA217" i="2"/>
  <c r="Z217" i="2"/>
  <c r="Y217" i="2"/>
  <c r="X217" i="2"/>
  <c r="W217" i="2"/>
  <c r="V217" i="2"/>
  <c r="U217" i="2"/>
  <c r="T217" i="2"/>
  <c r="C216" i="2"/>
  <c r="C214" i="2"/>
  <c r="C213" i="2"/>
  <c r="C220" i="2"/>
  <c r="C218" i="2"/>
  <c r="C219" i="2"/>
  <c r="C215" i="2"/>
  <c r="BA207" i="2" l="1"/>
  <c r="AZ207" i="2"/>
  <c r="AY207" i="2"/>
  <c r="AX207" i="2"/>
  <c r="AW207" i="2"/>
  <c r="AV207" i="2"/>
  <c r="AU207" i="2"/>
  <c r="AT207" i="2"/>
  <c r="AS207" i="2"/>
  <c r="AR207" i="2"/>
  <c r="AQ207" i="2"/>
  <c r="AP207" i="2"/>
  <c r="AO207" i="2"/>
  <c r="AN207" i="2"/>
  <c r="AM207" i="2"/>
  <c r="AL207" i="2"/>
  <c r="AK207" i="2"/>
  <c r="AJ207" i="2"/>
  <c r="AI207" i="2"/>
  <c r="AH207" i="2"/>
  <c r="AG207" i="2"/>
  <c r="AF207" i="2"/>
  <c r="AE207" i="2"/>
  <c r="AD207" i="2"/>
  <c r="AC207" i="2"/>
  <c r="AB207" i="2"/>
  <c r="AA207" i="2"/>
  <c r="Z207" i="2"/>
  <c r="Y207" i="2"/>
  <c r="X207" i="2"/>
  <c r="W207" i="2"/>
  <c r="V207" i="2"/>
  <c r="C210" i="2"/>
  <c r="C205" i="2"/>
  <c r="C209" i="2"/>
  <c r="C204" i="2"/>
  <c r="C208" i="2"/>
  <c r="C203" i="2"/>
  <c r="C206" i="2"/>
  <c r="BA197" i="2" l="1"/>
  <c r="AZ197" i="2"/>
  <c r="AY197" i="2"/>
  <c r="AX197" i="2"/>
  <c r="AW197" i="2"/>
  <c r="AV197" i="2"/>
  <c r="AU197" i="2"/>
  <c r="AT197" i="2"/>
  <c r="AS197" i="2"/>
  <c r="AR197" i="2"/>
  <c r="AQ197" i="2"/>
  <c r="AP197" i="2"/>
  <c r="AO197" i="2"/>
  <c r="AN197" i="2"/>
  <c r="C199" i="2"/>
  <c r="C193" i="2"/>
  <c r="C198" i="2"/>
  <c r="C195" i="2"/>
  <c r="C196" i="2"/>
  <c r="C200" i="2"/>
  <c r="C194" i="2"/>
  <c r="BA187" i="2" l="1"/>
  <c r="AZ187" i="2"/>
  <c r="AY187" i="2"/>
  <c r="AX187" i="2"/>
  <c r="AW187" i="2"/>
  <c r="AV187" i="2"/>
  <c r="AU187" i="2"/>
  <c r="AT187" i="2"/>
  <c r="AS187" i="2"/>
  <c r="AR187" i="2"/>
  <c r="AQ187" i="2"/>
  <c r="AP187" i="2"/>
  <c r="AO187" i="2"/>
  <c r="AN187" i="2"/>
  <c r="AM187" i="2"/>
  <c r="AL187" i="2"/>
  <c r="AK187" i="2"/>
  <c r="AJ187" i="2"/>
  <c r="AI187" i="2"/>
  <c r="AH187" i="2"/>
  <c r="AG187" i="2"/>
  <c r="AF187" i="2"/>
  <c r="AE187" i="2"/>
  <c r="AD187" i="2"/>
  <c r="AC187" i="2"/>
  <c r="AB187" i="2"/>
  <c r="AA187" i="2"/>
  <c r="Z187" i="2"/>
  <c r="Y187" i="2"/>
  <c r="X187" i="2"/>
  <c r="W187" i="2"/>
  <c r="V187" i="2"/>
  <c r="U187" i="2"/>
  <c r="T187" i="2"/>
  <c r="S187" i="2"/>
  <c r="R187" i="2"/>
  <c r="Q187" i="2"/>
  <c r="P187" i="2"/>
  <c r="O187" i="2"/>
  <c r="N187" i="2"/>
  <c r="M187" i="2"/>
  <c r="L187" i="2"/>
  <c r="C188" i="2"/>
  <c r="C184" i="2"/>
  <c r="C190" i="2"/>
  <c r="C189" i="2"/>
  <c r="C183" i="2"/>
  <c r="C186" i="2"/>
  <c r="C185" i="2"/>
  <c r="BA177" i="2" l="1"/>
  <c r="AZ177" i="2"/>
  <c r="AY177" i="2"/>
  <c r="AX177" i="2"/>
  <c r="AW177" i="2"/>
  <c r="AV177" i="2"/>
  <c r="AU177" i="2"/>
  <c r="AT177" i="2"/>
  <c r="AS177" i="2"/>
  <c r="AR177" i="2"/>
  <c r="AQ177" i="2"/>
  <c r="AP177" i="2"/>
  <c r="AO177" i="2"/>
  <c r="AN177" i="2"/>
  <c r="AM177" i="2"/>
  <c r="AL177" i="2"/>
  <c r="AK177" i="2"/>
  <c r="AJ177" i="2"/>
  <c r="AI177" i="2"/>
  <c r="AH177" i="2"/>
  <c r="AG177" i="2"/>
  <c r="AF177" i="2"/>
  <c r="AE177" i="2"/>
  <c r="AD177" i="2"/>
  <c r="AC177" i="2"/>
  <c r="AB177" i="2"/>
  <c r="AA177" i="2"/>
  <c r="Z177" i="2"/>
  <c r="Y177" i="2"/>
  <c r="X177" i="2"/>
  <c r="W177" i="2"/>
  <c r="V177" i="2"/>
  <c r="U177" i="2"/>
  <c r="T177" i="2"/>
  <c r="S177" i="2"/>
  <c r="C176" i="2"/>
  <c r="C175" i="2"/>
  <c r="C173" i="2"/>
  <c r="C178" i="2"/>
  <c r="C174" i="2"/>
  <c r="C179" i="2"/>
  <c r="C180" i="2"/>
  <c r="BA167" i="2" l="1"/>
  <c r="AZ167" i="2"/>
  <c r="AY167" i="2"/>
  <c r="AX167" i="2"/>
  <c r="AW167" i="2"/>
  <c r="AV167" i="2"/>
  <c r="AU167" i="2"/>
  <c r="AT167" i="2"/>
  <c r="AS167" i="2"/>
  <c r="AR167" i="2"/>
  <c r="AQ167" i="2"/>
  <c r="AP167" i="2"/>
  <c r="AO167" i="2"/>
  <c r="AN167" i="2"/>
  <c r="AM167" i="2"/>
  <c r="AL167" i="2"/>
  <c r="AK167" i="2"/>
  <c r="AJ167" i="2"/>
  <c r="AI167" i="2"/>
  <c r="AH167" i="2"/>
  <c r="AG167" i="2"/>
  <c r="AF167" i="2"/>
  <c r="AE167" i="2"/>
  <c r="AD167" i="2"/>
  <c r="AC167" i="2"/>
  <c r="AB167" i="2"/>
  <c r="AA167" i="2"/>
  <c r="Z167" i="2"/>
  <c r="Y167" i="2"/>
  <c r="X167" i="2"/>
  <c r="W167" i="2"/>
  <c r="V167" i="2"/>
  <c r="U167" i="2"/>
  <c r="T167" i="2"/>
  <c r="C163" i="2"/>
  <c r="C165" i="2"/>
  <c r="C164" i="2"/>
  <c r="C168" i="2"/>
  <c r="C166" i="2"/>
  <c r="C170" i="2"/>
  <c r="C169" i="2"/>
  <c r="BA157" i="2" l="1"/>
  <c r="AZ157" i="2"/>
  <c r="AY157" i="2"/>
  <c r="AX157" i="2"/>
  <c r="AW157" i="2"/>
  <c r="AV157" i="2"/>
  <c r="AU157" i="2"/>
  <c r="AT157" i="2"/>
  <c r="AS157" i="2"/>
  <c r="AR157" i="2"/>
  <c r="AQ157" i="2"/>
  <c r="AP157"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C158" i="2"/>
  <c r="C154" i="2"/>
  <c r="C156" i="2"/>
  <c r="C160" i="2"/>
  <c r="C155" i="2"/>
  <c r="C159" i="2"/>
  <c r="C153" i="2"/>
  <c r="BA147" i="2" l="1"/>
  <c r="AZ147" i="2"/>
  <c r="AY147" i="2"/>
  <c r="AX147" i="2"/>
  <c r="AW147" i="2"/>
  <c r="AV147" i="2"/>
  <c r="AU147" i="2"/>
  <c r="AT147" i="2"/>
  <c r="AS147" i="2"/>
  <c r="AR147" i="2"/>
  <c r="AQ147" i="2"/>
  <c r="AP147" i="2"/>
  <c r="AO147" i="2"/>
  <c r="AN147" i="2"/>
  <c r="AM147" i="2"/>
  <c r="AL147" i="2"/>
  <c r="AK147" i="2"/>
  <c r="AJ147" i="2"/>
  <c r="AI147" i="2"/>
  <c r="AH147" i="2"/>
  <c r="AG147" i="2"/>
  <c r="AF147" i="2"/>
  <c r="AE147" i="2"/>
  <c r="AD147" i="2"/>
  <c r="AC147" i="2"/>
  <c r="AB147" i="2"/>
  <c r="AA147" i="2"/>
  <c r="Z147" i="2"/>
  <c r="Y147" i="2"/>
  <c r="X147" i="2"/>
  <c r="C148" i="2"/>
  <c r="C144" i="2"/>
  <c r="C145" i="2"/>
  <c r="C150" i="2"/>
  <c r="C143" i="2"/>
  <c r="C149" i="2"/>
  <c r="C146" i="2"/>
  <c r="BA137" i="2" l="1"/>
  <c r="AZ137" i="2"/>
  <c r="AY137" i="2"/>
  <c r="AX137" i="2"/>
  <c r="AW137" i="2"/>
  <c r="AV137" i="2"/>
  <c r="AU137" i="2"/>
  <c r="AT137" i="2"/>
  <c r="AS137" i="2"/>
  <c r="AR137" i="2"/>
  <c r="AQ137" i="2"/>
  <c r="AP137" i="2"/>
  <c r="AO137" i="2"/>
  <c r="AN137" i="2"/>
  <c r="AM137" i="2"/>
  <c r="AL137" i="2"/>
  <c r="AK137" i="2"/>
  <c r="AJ137" i="2"/>
  <c r="AI137" i="2"/>
  <c r="AH137" i="2"/>
  <c r="AG137" i="2"/>
  <c r="AF137" i="2"/>
  <c r="AE137" i="2"/>
  <c r="AD137" i="2"/>
  <c r="AC137" i="2"/>
  <c r="AB137" i="2"/>
  <c r="AA137" i="2"/>
  <c r="Z137" i="2"/>
  <c r="Y137" i="2"/>
  <c r="X137" i="2"/>
  <c r="W137" i="2"/>
  <c r="V137" i="2"/>
  <c r="U137" i="2"/>
  <c r="T137" i="2"/>
  <c r="S137" i="2"/>
  <c r="C139" i="2"/>
  <c r="C136" i="2"/>
  <c r="C138" i="2"/>
  <c r="C134" i="2"/>
  <c r="C133" i="2"/>
  <c r="C140" i="2"/>
  <c r="C135" i="2"/>
  <c r="BA127" i="2" l="1"/>
  <c r="AZ127" i="2"/>
  <c r="AY127" i="2"/>
  <c r="AX127" i="2"/>
  <c r="AW127" i="2"/>
  <c r="AV127" i="2"/>
  <c r="AU127" i="2"/>
  <c r="AT127" i="2"/>
  <c r="AS127" i="2"/>
  <c r="AR127" i="2"/>
  <c r="AQ127" i="2"/>
  <c r="AP127" i="2"/>
  <c r="AO127" i="2"/>
  <c r="AN127" i="2"/>
  <c r="AM127" i="2"/>
  <c r="AL127" i="2"/>
  <c r="AK127" i="2"/>
  <c r="C123" i="2"/>
  <c r="C130" i="2"/>
  <c r="C124" i="2"/>
  <c r="C129" i="2"/>
  <c r="C128" i="2"/>
  <c r="C126" i="2"/>
  <c r="C125" i="2"/>
  <c r="BA117" i="2" l="1"/>
  <c r="AZ117" i="2"/>
  <c r="AY117" i="2"/>
  <c r="AX117" i="2"/>
  <c r="AW117" i="2"/>
  <c r="AV117" i="2"/>
  <c r="AU117" i="2"/>
  <c r="AT117" i="2"/>
  <c r="AS117" i="2"/>
  <c r="AR117" i="2"/>
  <c r="AQ117" i="2"/>
  <c r="AP117" i="2"/>
  <c r="AO117" i="2"/>
  <c r="AN117" i="2"/>
  <c r="AM117" i="2"/>
  <c r="AL117" i="2"/>
  <c r="AK117" i="2"/>
  <c r="AJ117" i="2"/>
  <c r="AI117" i="2"/>
  <c r="AH117" i="2"/>
  <c r="AG117" i="2"/>
  <c r="AF117" i="2"/>
  <c r="C116" i="2"/>
  <c r="C120" i="2"/>
  <c r="C115" i="2"/>
  <c r="C114" i="2"/>
  <c r="C113" i="2"/>
  <c r="C119" i="2"/>
  <c r="C118" i="2"/>
  <c r="BA107" i="2" l="1"/>
  <c r="AZ107" i="2"/>
  <c r="AY107" i="2"/>
  <c r="AX107" i="2"/>
  <c r="AW107" i="2"/>
  <c r="AV107" i="2"/>
  <c r="AU107" i="2"/>
  <c r="AT107" i="2"/>
  <c r="AS107" i="2"/>
  <c r="AR107" i="2"/>
  <c r="AQ107" i="2"/>
  <c r="AP107" i="2"/>
  <c r="AO107" i="2"/>
  <c r="AN107" i="2"/>
  <c r="AM107" i="2"/>
  <c r="AL107" i="2"/>
  <c r="AK107" i="2"/>
  <c r="AJ107" i="2"/>
  <c r="AI107" i="2"/>
  <c r="AH107" i="2"/>
  <c r="AG107" i="2"/>
  <c r="AF107" i="2"/>
  <c r="AE107" i="2"/>
  <c r="AD107" i="2"/>
  <c r="AC107" i="2"/>
  <c r="AB107" i="2"/>
  <c r="AA107" i="2"/>
  <c r="Z107" i="2"/>
  <c r="Y107" i="2"/>
  <c r="X107" i="2"/>
  <c r="W107" i="2"/>
  <c r="V107" i="2"/>
  <c r="C110" i="2"/>
  <c r="C105" i="2"/>
  <c r="C106" i="2"/>
  <c r="C108" i="2"/>
  <c r="C104" i="2"/>
  <c r="C103" i="2"/>
  <c r="C109" i="2"/>
  <c r="BA97" i="2" l="1"/>
  <c r="AZ97" i="2"/>
  <c r="AY97" i="2"/>
  <c r="AX97" i="2"/>
  <c r="AW97" i="2"/>
  <c r="AV97" i="2"/>
  <c r="AU97" i="2"/>
  <c r="AT97" i="2"/>
  <c r="AS97" i="2"/>
  <c r="AR97" i="2"/>
  <c r="AQ97" i="2"/>
  <c r="AP97" i="2"/>
  <c r="AO97" i="2"/>
  <c r="AN97" i="2"/>
  <c r="AM97" i="2"/>
  <c r="AL97" i="2"/>
  <c r="AK97" i="2"/>
  <c r="AJ97" i="2"/>
  <c r="AI97" i="2"/>
  <c r="AH97" i="2"/>
  <c r="AG97" i="2"/>
  <c r="AF97" i="2"/>
  <c r="AE97" i="2"/>
  <c r="AD97" i="2"/>
  <c r="AC97" i="2"/>
  <c r="AB97" i="2"/>
  <c r="AA97" i="2"/>
  <c r="Z97" i="2"/>
  <c r="Y97" i="2"/>
  <c r="C93" i="2"/>
  <c r="C99" i="2"/>
  <c r="C98" i="2"/>
  <c r="C95" i="2"/>
  <c r="C100" i="2"/>
  <c r="C96" i="2"/>
  <c r="C94" i="2"/>
  <c r="BA87" i="2" l="1"/>
  <c r="AZ87" i="2"/>
  <c r="AY87" i="2"/>
  <c r="AX87" i="2"/>
  <c r="AW87" i="2"/>
  <c r="AV87" i="2"/>
  <c r="AU87" i="2"/>
  <c r="AT87" i="2"/>
  <c r="AS87" i="2"/>
  <c r="AR87" i="2"/>
  <c r="AQ87" i="2"/>
  <c r="AP87" i="2"/>
  <c r="AO87" i="2"/>
  <c r="AN87" i="2"/>
  <c r="AM87" i="2"/>
  <c r="AL87" i="2"/>
  <c r="AK87" i="2"/>
  <c r="AJ87" i="2"/>
  <c r="AI87" i="2"/>
  <c r="AH87" i="2"/>
  <c r="AG87" i="2"/>
  <c r="AF87" i="2"/>
  <c r="AE87" i="2"/>
  <c r="AD87" i="2"/>
  <c r="AC87" i="2"/>
  <c r="AB87" i="2"/>
  <c r="AA87" i="2"/>
  <c r="C86" i="2"/>
  <c r="C83" i="2"/>
  <c r="C88" i="2"/>
  <c r="C90" i="2"/>
  <c r="C84" i="2"/>
  <c r="C89" i="2"/>
  <c r="C85" i="2"/>
  <c r="BA77" i="2" l="1"/>
  <c r="AZ77" i="2"/>
  <c r="AY77" i="2"/>
  <c r="AX77" i="2"/>
  <c r="AW77" i="2"/>
  <c r="AV77" i="2"/>
  <c r="AU77" i="2"/>
  <c r="AT77" i="2"/>
  <c r="AS77" i="2"/>
  <c r="AR77" i="2"/>
  <c r="AQ77" i="2"/>
  <c r="AP77" i="2"/>
  <c r="AO77" i="2"/>
  <c r="AN77" i="2"/>
  <c r="AM77" i="2"/>
  <c r="AL77" i="2"/>
  <c r="AK77" i="2"/>
  <c r="AJ77" i="2"/>
  <c r="AI77" i="2"/>
  <c r="AH77" i="2"/>
  <c r="AG77" i="2"/>
  <c r="AF77" i="2"/>
  <c r="AE77" i="2"/>
  <c r="AD77" i="2"/>
  <c r="AC77" i="2"/>
  <c r="AB77" i="2"/>
  <c r="AA77" i="2"/>
  <c r="Z77" i="2"/>
  <c r="Y77" i="2"/>
  <c r="X77" i="2"/>
  <c r="W77" i="2"/>
  <c r="V77" i="2"/>
  <c r="U77" i="2"/>
  <c r="T77" i="2"/>
  <c r="S77" i="2"/>
  <c r="R77" i="2"/>
  <c r="C80" i="2"/>
  <c r="C75" i="2"/>
  <c r="C73" i="2"/>
  <c r="C74" i="2"/>
  <c r="C79" i="2"/>
  <c r="C78" i="2"/>
  <c r="C76" i="2"/>
  <c r="BA67" i="2" l="1"/>
  <c r="AZ67" i="2"/>
  <c r="AY67" i="2"/>
  <c r="AX67" i="2"/>
  <c r="AW67" i="2"/>
  <c r="AV67" i="2"/>
  <c r="AU67" i="2"/>
  <c r="AT67" i="2"/>
  <c r="AS67" i="2"/>
  <c r="AR67" i="2"/>
  <c r="AQ67" i="2"/>
  <c r="AP67" i="2"/>
  <c r="AO67" i="2"/>
  <c r="AN67" i="2"/>
  <c r="AM67" i="2"/>
  <c r="AL67" i="2"/>
  <c r="AK67" i="2"/>
  <c r="AJ67" i="2"/>
  <c r="AI67" i="2"/>
  <c r="AH67" i="2"/>
  <c r="AG67" i="2"/>
  <c r="AF67" i="2"/>
  <c r="AE67" i="2"/>
  <c r="AD67" i="2"/>
  <c r="AC67" i="2"/>
  <c r="AB67" i="2"/>
  <c r="AA67" i="2"/>
  <c r="Z67" i="2"/>
  <c r="Y67" i="2"/>
  <c r="C64" i="2"/>
  <c r="C63" i="2"/>
  <c r="C66" i="2"/>
  <c r="C65" i="2"/>
  <c r="C68" i="2"/>
  <c r="C70" i="2"/>
  <c r="C69" i="2"/>
  <c r="BA57" i="2" l="1"/>
  <c r="AZ57" i="2"/>
  <c r="AY57" i="2"/>
  <c r="AX57" i="2"/>
  <c r="AW57" i="2"/>
  <c r="AV57" i="2"/>
  <c r="AU57" i="2"/>
  <c r="AT57" i="2"/>
  <c r="AS57" i="2"/>
  <c r="AR57" i="2"/>
  <c r="AQ57" i="2"/>
  <c r="AP57" i="2"/>
  <c r="AO57" i="2"/>
  <c r="AN57" i="2"/>
  <c r="AM57" i="2"/>
  <c r="AL57" i="2"/>
  <c r="AK57" i="2"/>
  <c r="AJ57" i="2"/>
  <c r="AI57" i="2"/>
  <c r="C59" i="2"/>
  <c r="C54" i="2"/>
  <c r="C53" i="2"/>
  <c r="C55" i="2"/>
  <c r="C58" i="2"/>
  <c r="C60" i="2"/>
  <c r="C56" i="2"/>
  <c r="BA47" i="2" l="1"/>
  <c r="AZ47" i="2"/>
  <c r="AY47" i="2"/>
  <c r="AX47" i="2"/>
  <c r="AW47" i="2"/>
  <c r="AV47" i="2"/>
  <c r="AU47" i="2"/>
  <c r="AT47" i="2"/>
  <c r="AS47" i="2"/>
  <c r="AR47" i="2"/>
  <c r="AQ47" i="2"/>
  <c r="AP47" i="2"/>
  <c r="AO47" i="2"/>
  <c r="AN47" i="2"/>
  <c r="AM47" i="2"/>
  <c r="AL47" i="2"/>
  <c r="AK47" i="2"/>
  <c r="AJ47" i="2"/>
  <c r="AI47" i="2"/>
  <c r="AH47" i="2"/>
  <c r="AG47" i="2"/>
  <c r="AF47" i="2"/>
  <c r="AE47" i="2"/>
  <c r="AD47" i="2"/>
  <c r="C50" i="2"/>
  <c r="C44" i="2"/>
  <c r="C49" i="2"/>
  <c r="C43" i="2"/>
  <c r="C48" i="2"/>
  <c r="C45" i="2"/>
  <c r="C46" i="2"/>
  <c r="BA37" i="2" l="1"/>
  <c r="AZ37" i="2"/>
  <c r="AY37" i="2"/>
  <c r="AX37" i="2"/>
  <c r="AW37" i="2"/>
  <c r="AV37" i="2"/>
  <c r="AU37" i="2"/>
  <c r="AT37" i="2"/>
  <c r="C40" i="2"/>
  <c r="C36" i="2"/>
  <c r="C38" i="2"/>
  <c r="C34" i="2"/>
  <c r="C35" i="2"/>
  <c r="C33" i="2"/>
  <c r="C39" i="2"/>
  <c r="BA26" i="2" l="1"/>
  <c r="AZ26" i="2"/>
  <c r="AY26" i="2"/>
  <c r="AX26" i="2"/>
  <c r="AW26" i="2"/>
  <c r="AV26" i="2"/>
  <c r="AU26" i="2"/>
  <c r="AT26" i="2"/>
  <c r="AS26" i="2"/>
  <c r="AR26" i="2"/>
  <c r="AQ26" i="2"/>
  <c r="AP26" i="2"/>
  <c r="AO26" i="2"/>
  <c r="AN26" i="2"/>
  <c r="AM26" i="2"/>
  <c r="AL26" i="2"/>
  <c r="AK26" i="2"/>
  <c r="AJ26" i="2"/>
  <c r="AI26" i="2"/>
  <c r="AH26" i="2"/>
  <c r="AG26" i="2"/>
  <c r="AF26" i="2"/>
  <c r="AE26" i="2"/>
  <c r="AD26" i="2"/>
  <c r="C29" i="2"/>
  <c r="C23" i="2"/>
  <c r="C24" i="2"/>
  <c r="C22" i="2"/>
  <c r="C28" i="2"/>
  <c r="C27" i="2"/>
  <c r="C25" i="2"/>
  <c r="BA15" i="2" l="1"/>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C12" i="2"/>
  <c r="C13" i="2"/>
  <c r="C11" i="2"/>
  <c r="C18" i="2"/>
  <c r="C14" i="2"/>
  <c r="B8" i="2"/>
  <c r="C17" i="2"/>
  <c r="C16" i="2"/>
  <c r="AU273" i="3" l="1"/>
  <c r="B10" i="3" l="1"/>
  <c r="B9" i="3" s="1"/>
  <c r="AA1" i="6"/>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G9" i="4"/>
  <c r="C9" i="4"/>
  <c r="E9" i="4"/>
  <c r="C8" i="4"/>
  <c r="D9" i="4"/>
  <c r="AU253" i="3" l="1"/>
  <c r="AU233" i="3"/>
  <c r="AU213" i="3"/>
  <c r="AU193" i="3"/>
  <c r="BK198" i="1" s="1"/>
  <c r="AU173" i="3"/>
  <c r="AU153" i="3"/>
  <c r="BK158" i="1" s="1"/>
  <c r="AU133" i="3"/>
  <c r="AU113" i="3"/>
  <c r="BK118" i="1" s="1"/>
  <c r="AU93" i="3"/>
  <c r="BK98" i="1" s="1"/>
  <c r="AU73" i="3"/>
  <c r="BK78" i="1" s="1"/>
  <c r="AU53" i="3"/>
  <c r="AU33" i="3"/>
  <c r="BK38" i="1" s="1"/>
  <c r="AU13" i="3"/>
  <c r="AU82" i="3"/>
  <c r="AU61" i="3"/>
  <c r="AU200" i="3"/>
  <c r="BK205" i="1" s="1"/>
  <c r="AU20" i="3"/>
  <c r="AU218" i="3"/>
  <c r="BK223" i="1" s="1"/>
  <c r="AU117" i="3"/>
  <c r="AU196" i="3"/>
  <c r="BK201" i="1" s="1"/>
  <c r="AU272" i="3"/>
  <c r="AU252" i="3"/>
  <c r="AU232" i="3"/>
  <c r="AU212" i="3"/>
  <c r="BK217" i="1" s="1"/>
  <c r="AU192" i="3"/>
  <c r="AU172" i="3"/>
  <c r="BK177" i="1" s="1"/>
  <c r="AU152" i="3"/>
  <c r="AU132" i="3"/>
  <c r="AU112" i="3"/>
  <c r="BK117" i="1" s="1"/>
  <c r="AU92" i="3"/>
  <c r="BK97" i="1" s="1"/>
  <c r="AU72" i="3"/>
  <c r="AU52" i="3"/>
  <c r="BK57" i="1" s="1"/>
  <c r="AU32" i="3"/>
  <c r="AU83" i="3"/>
  <c r="AU260" i="3"/>
  <c r="AU38" i="3"/>
  <c r="AU217" i="3"/>
  <c r="AU96" i="3"/>
  <c r="BK101" i="1" s="1"/>
  <c r="AU271" i="3"/>
  <c r="AU251" i="3"/>
  <c r="BK256" i="1" s="1"/>
  <c r="AU231" i="3"/>
  <c r="AU211" i="3"/>
  <c r="AU191" i="3"/>
  <c r="AU171" i="3"/>
  <c r="BK176" i="1" s="1"/>
  <c r="AU151" i="3"/>
  <c r="AU131" i="3"/>
  <c r="BK136" i="1" s="1"/>
  <c r="AU111" i="3"/>
  <c r="AU91" i="3"/>
  <c r="BK96" i="1" s="1"/>
  <c r="AU71" i="3"/>
  <c r="BK76" i="1" s="1"/>
  <c r="AU51" i="3"/>
  <c r="AU31" i="3"/>
  <c r="BK36" i="1" s="1"/>
  <c r="AU42" i="3"/>
  <c r="BK47" i="1" s="1"/>
  <c r="AU21" i="3"/>
  <c r="AU220" i="3"/>
  <c r="AU58" i="3"/>
  <c r="AU197" i="3"/>
  <c r="BK202" i="1" s="1"/>
  <c r="AU16" i="3"/>
  <c r="AU270" i="3"/>
  <c r="BK275" i="1" s="1"/>
  <c r="AU250" i="3"/>
  <c r="AU230" i="3"/>
  <c r="BK235" i="1" s="1"/>
  <c r="AU210" i="3"/>
  <c r="AU190" i="3"/>
  <c r="AU170" i="3"/>
  <c r="AU150" i="3"/>
  <c r="AU130" i="3"/>
  <c r="AU110" i="3"/>
  <c r="BK115" i="1" s="1"/>
  <c r="AU90" i="3"/>
  <c r="AU70" i="3"/>
  <c r="BK75" i="1" s="1"/>
  <c r="AU50" i="3"/>
  <c r="BK55" i="1" s="1"/>
  <c r="AU30" i="3"/>
  <c r="AU62" i="3"/>
  <c r="BK67" i="1" s="1"/>
  <c r="AU140" i="3"/>
  <c r="BK145" i="1" s="1"/>
  <c r="AU19" i="3"/>
  <c r="AU98" i="3"/>
  <c r="AU77" i="3"/>
  <c r="AU176" i="3"/>
  <c r="AU269" i="3"/>
  <c r="AU249" i="3"/>
  <c r="BK254" i="1" s="1"/>
  <c r="AU229" i="3"/>
  <c r="AU209" i="3"/>
  <c r="BK214" i="1" s="1"/>
  <c r="AU189" i="3"/>
  <c r="AU169" i="3"/>
  <c r="AU149" i="3"/>
  <c r="AU129" i="3"/>
  <c r="BK134" i="1" s="1"/>
  <c r="AU109" i="3"/>
  <c r="AU89" i="3"/>
  <c r="BK94" i="1" s="1"/>
  <c r="AU69" i="3"/>
  <c r="AU49" i="3"/>
  <c r="AU29" i="3"/>
  <c r="BK34" i="1" s="1"/>
  <c r="AU63" i="3"/>
  <c r="AU121" i="3"/>
  <c r="BK126" i="1" s="1"/>
  <c r="AU100" i="3"/>
  <c r="BK105" i="1" s="1"/>
  <c r="AU59" i="3"/>
  <c r="AU118" i="3"/>
  <c r="AU237" i="3"/>
  <c r="AU134" i="3"/>
  <c r="BK139" i="1" s="1"/>
  <c r="AU268" i="3"/>
  <c r="AU248" i="3"/>
  <c r="BK253" i="1" s="1"/>
  <c r="AU228" i="3"/>
  <c r="AU208" i="3"/>
  <c r="BK213" i="1" s="1"/>
  <c r="AU188" i="3"/>
  <c r="AU168" i="3"/>
  <c r="AU148" i="3"/>
  <c r="AU128" i="3"/>
  <c r="BK133" i="1" s="1"/>
  <c r="AU108" i="3"/>
  <c r="AU88" i="3"/>
  <c r="BK93" i="1" s="1"/>
  <c r="AU68" i="3"/>
  <c r="AU48" i="3"/>
  <c r="BK53" i="1" s="1"/>
  <c r="AU28" i="3"/>
  <c r="BK32" i="1" s="1"/>
  <c r="AU23" i="3"/>
  <c r="BK27" i="1" s="1"/>
  <c r="AU181" i="3"/>
  <c r="AU60" i="3"/>
  <c r="BK65" i="1" s="1"/>
  <c r="AU39" i="3"/>
  <c r="AU178" i="3"/>
  <c r="AU17" i="3"/>
  <c r="AU236" i="3"/>
  <c r="BK241" i="1" s="1"/>
  <c r="AU267" i="3"/>
  <c r="AU247" i="3"/>
  <c r="BK252" i="1" s="1"/>
  <c r="AU227" i="3"/>
  <c r="AU207" i="3"/>
  <c r="AU187" i="3"/>
  <c r="AU167" i="3"/>
  <c r="AU147" i="3"/>
  <c r="AU127" i="3"/>
  <c r="AU107" i="3"/>
  <c r="AU87" i="3"/>
  <c r="BK92" i="1" s="1"/>
  <c r="AU67" i="3"/>
  <c r="AU47" i="3"/>
  <c r="BK52" i="1" s="1"/>
  <c r="AU27" i="3"/>
  <c r="BK31" i="1" s="1"/>
  <c r="AU119" i="3"/>
  <c r="BK124" i="1" s="1"/>
  <c r="AU266" i="3"/>
  <c r="BK271" i="1" s="1"/>
  <c r="AU246" i="3"/>
  <c r="BK251" i="1" s="1"/>
  <c r="AU226" i="3"/>
  <c r="AU206" i="3"/>
  <c r="AU186" i="3"/>
  <c r="AU166" i="3"/>
  <c r="AU146" i="3"/>
  <c r="AU126" i="3"/>
  <c r="BK131" i="1" s="1"/>
  <c r="AU106" i="3"/>
  <c r="AU86" i="3"/>
  <c r="BK91" i="1" s="1"/>
  <c r="AU66" i="3"/>
  <c r="AU46" i="3"/>
  <c r="AU26" i="3"/>
  <c r="AU43" i="3"/>
  <c r="BK48" i="1" s="1"/>
  <c r="AU101" i="3"/>
  <c r="AU120" i="3"/>
  <c r="BK125" i="1" s="1"/>
  <c r="AU99" i="3"/>
  <c r="AU198" i="3"/>
  <c r="AU97" i="3"/>
  <c r="BK102" i="1" s="1"/>
  <c r="AU256" i="3"/>
  <c r="BK261" i="1" s="1"/>
  <c r="AU36" i="3"/>
  <c r="AU265" i="3"/>
  <c r="BK270" i="1" s="1"/>
  <c r="AU245" i="3"/>
  <c r="AU225" i="3"/>
  <c r="AU205" i="3"/>
  <c r="AU185" i="3"/>
  <c r="BK190" i="1" s="1"/>
  <c r="AU165" i="3"/>
  <c r="AU145" i="3"/>
  <c r="AU125" i="3"/>
  <c r="AU105" i="3"/>
  <c r="BK110" i="1" s="1"/>
  <c r="AU85" i="3"/>
  <c r="AU65" i="3"/>
  <c r="AU45" i="3"/>
  <c r="AU25" i="3"/>
  <c r="BK29" i="1" s="1"/>
  <c r="AU103" i="3"/>
  <c r="AU141" i="3"/>
  <c r="BK146" i="1" s="1"/>
  <c r="AU80" i="3"/>
  <c r="AU159" i="3"/>
  <c r="BK164" i="1" s="1"/>
  <c r="AU138" i="3"/>
  <c r="BK143" i="1" s="1"/>
  <c r="AU177" i="3"/>
  <c r="BK182" i="1" s="1"/>
  <c r="AU76" i="3"/>
  <c r="BK81" i="1" s="1"/>
  <c r="AU264" i="3"/>
  <c r="BK269" i="1" s="1"/>
  <c r="AU244" i="3"/>
  <c r="AU224" i="3"/>
  <c r="AU204" i="3"/>
  <c r="AU184" i="3"/>
  <c r="BK189" i="1" s="1"/>
  <c r="AU164" i="3"/>
  <c r="AU144" i="3"/>
  <c r="BK149" i="1" s="1"/>
  <c r="AU124" i="3"/>
  <c r="AU104" i="3"/>
  <c r="AU84" i="3"/>
  <c r="AU64" i="3"/>
  <c r="AU44" i="3"/>
  <c r="AU24" i="3"/>
  <c r="BK28" i="1" s="1"/>
  <c r="AU143" i="3"/>
  <c r="AU41" i="3"/>
  <c r="BK46" i="1" s="1"/>
  <c r="AU180" i="3"/>
  <c r="AU40" i="3"/>
  <c r="BK45" i="1" s="1"/>
  <c r="AU238" i="3"/>
  <c r="BK243" i="1" s="1"/>
  <c r="AU137" i="3"/>
  <c r="AU216" i="3"/>
  <c r="BK221" i="1" s="1"/>
  <c r="AU263" i="3"/>
  <c r="BK268" i="1" s="1"/>
  <c r="AU243" i="3"/>
  <c r="AU223" i="3"/>
  <c r="AU203" i="3"/>
  <c r="AU183" i="3"/>
  <c r="BK188" i="1" s="1"/>
  <c r="AU163" i="3"/>
  <c r="AU123" i="3"/>
  <c r="AU81" i="3"/>
  <c r="AU160" i="3"/>
  <c r="BK165" i="1" s="1"/>
  <c r="AU258" i="3"/>
  <c r="AU157" i="3"/>
  <c r="AU116" i="3"/>
  <c r="AU34" i="3"/>
  <c r="AU262" i="3"/>
  <c r="BK267" i="1" s="1"/>
  <c r="AU242" i="3"/>
  <c r="BK247" i="1" s="1"/>
  <c r="AU222" i="3"/>
  <c r="AU202" i="3"/>
  <c r="BK207" i="1" s="1"/>
  <c r="AU182" i="3"/>
  <c r="BK187" i="1" s="1"/>
  <c r="AU162" i="3"/>
  <c r="BK167" i="1" s="1"/>
  <c r="AU142" i="3"/>
  <c r="BK147" i="1" s="1"/>
  <c r="AU122" i="3"/>
  <c r="BK127" i="1" s="1"/>
  <c r="AU102" i="3"/>
  <c r="AU22" i="3"/>
  <c r="AU240" i="3"/>
  <c r="AU158" i="3"/>
  <c r="BK163" i="1" s="1"/>
  <c r="AU18" i="3"/>
  <c r="AU57" i="3"/>
  <c r="AU136" i="3"/>
  <c r="AU54" i="3"/>
  <c r="BK59" i="1" s="1"/>
  <c r="AU261" i="3"/>
  <c r="AU241" i="3"/>
  <c r="AU221" i="3"/>
  <c r="AU201" i="3"/>
  <c r="BK206" i="1" s="1"/>
  <c r="AU161" i="3"/>
  <c r="AU79" i="3"/>
  <c r="AU78" i="3"/>
  <c r="AU37" i="3"/>
  <c r="BK42" i="1" s="1"/>
  <c r="AU156" i="3"/>
  <c r="BK161" i="1" s="1"/>
  <c r="AU14" i="3"/>
  <c r="AU259" i="3"/>
  <c r="BK264" i="1" s="1"/>
  <c r="AU239" i="3"/>
  <c r="BK244" i="1" s="1"/>
  <c r="AU219" i="3"/>
  <c r="BK224" i="1" s="1"/>
  <c r="AU199" i="3"/>
  <c r="AU179" i="3"/>
  <c r="AU139" i="3"/>
  <c r="BK144" i="1" s="1"/>
  <c r="AU257" i="3"/>
  <c r="AU56" i="3"/>
  <c r="BK61" i="1" s="1"/>
  <c r="AU114" i="3"/>
  <c r="AU255" i="3"/>
  <c r="BK260" i="1" s="1"/>
  <c r="AU235" i="3"/>
  <c r="BK240" i="1" s="1"/>
  <c r="AU215" i="3"/>
  <c r="AU195" i="3"/>
  <c r="AU175" i="3"/>
  <c r="BK180" i="1" s="1"/>
  <c r="AU155" i="3"/>
  <c r="AU135" i="3"/>
  <c r="BK140" i="1" s="1"/>
  <c r="AU115" i="3"/>
  <c r="AU95" i="3"/>
  <c r="BK100" i="1" s="1"/>
  <c r="AU75" i="3"/>
  <c r="BK80" i="1" s="1"/>
  <c r="AU55" i="3"/>
  <c r="BK60" i="1" s="1"/>
  <c r="AU35" i="3"/>
  <c r="BK40" i="1" s="1"/>
  <c r="AU15" i="3"/>
  <c r="AU94" i="3"/>
  <c r="AU254" i="3"/>
  <c r="AU234" i="3"/>
  <c r="AU214" i="3"/>
  <c r="BK219" i="1" s="1"/>
  <c r="AU194" i="3"/>
  <c r="AU174" i="3"/>
  <c r="BK179" i="1" s="1"/>
  <c r="AU154" i="3"/>
  <c r="AU74" i="3"/>
  <c r="BK79" i="1" s="1"/>
  <c r="E355" i="2"/>
  <c r="E354" i="2"/>
  <c r="E346" i="2"/>
  <c r="E345" i="2"/>
  <c r="E336" i="2"/>
  <c r="E335" i="2"/>
  <c r="E326" i="2"/>
  <c r="E325" i="2"/>
  <c r="E316" i="2"/>
  <c r="E315" i="2"/>
  <c r="E304" i="2"/>
  <c r="E305" i="2"/>
  <c r="E295" i="2"/>
  <c r="E294" i="2"/>
  <c r="E284" i="2"/>
  <c r="E285" i="2"/>
  <c r="E275" i="2"/>
  <c r="E274" i="2"/>
  <c r="E263" i="2"/>
  <c r="E264" i="2"/>
  <c r="E253" i="2"/>
  <c r="E254" i="2"/>
  <c r="E244" i="2"/>
  <c r="E243" i="2"/>
  <c r="E234" i="2"/>
  <c r="E233" i="2"/>
  <c r="E224" i="2"/>
  <c r="E223" i="2"/>
  <c r="E214" i="2"/>
  <c r="E213" i="2"/>
  <c r="E204" i="2"/>
  <c r="E203" i="2"/>
  <c r="E194" i="2"/>
  <c r="E193" i="2"/>
  <c r="E184" i="2"/>
  <c r="E183" i="2"/>
  <c r="E173" i="2"/>
  <c r="E174" i="2"/>
  <c r="E164" i="2"/>
  <c r="E163" i="2"/>
  <c r="E153" i="2"/>
  <c r="E154" i="2"/>
  <c r="E144" i="2"/>
  <c r="E143" i="2"/>
  <c r="E133" i="2"/>
  <c r="E134" i="2"/>
  <c r="E124" i="2"/>
  <c r="E123" i="2"/>
  <c r="E113" i="2"/>
  <c r="E114" i="2"/>
  <c r="E104" i="2"/>
  <c r="E103" i="2"/>
  <c r="E93" i="2"/>
  <c r="E94" i="2"/>
  <c r="E83" i="2"/>
  <c r="E84" i="2"/>
  <c r="E74" i="2"/>
  <c r="E73" i="2"/>
  <c r="E64" i="2"/>
  <c r="E63" i="2"/>
  <c r="E54" i="2"/>
  <c r="E53" i="2"/>
  <c r="E43" i="2"/>
  <c r="E44" i="2"/>
  <c r="E33" i="2"/>
  <c r="E34" i="2"/>
  <c r="E23" i="2"/>
  <c r="E22" i="2"/>
  <c r="E11" i="2"/>
  <c r="E12" i="2"/>
  <c r="BK278" i="1"/>
  <c r="BK277" i="1"/>
  <c r="BK276" i="1"/>
  <c r="BK274" i="1"/>
  <c r="BK273" i="1"/>
  <c r="BK272" i="1"/>
  <c r="BK266" i="1"/>
  <c r="BK265" i="1"/>
  <c r="BK263" i="1"/>
  <c r="BK262" i="1"/>
  <c r="BK259" i="1"/>
  <c r="BK258" i="1"/>
  <c r="BK257" i="1"/>
  <c r="BK255" i="1"/>
  <c r="BK250" i="1"/>
  <c r="BK249" i="1"/>
  <c r="BK248" i="1"/>
  <c r="BK246" i="1"/>
  <c r="BK245" i="1"/>
  <c r="BK242" i="1"/>
  <c r="BK239" i="1"/>
  <c r="BK238" i="1"/>
  <c r="BK237" i="1"/>
  <c r="BK236" i="1"/>
  <c r="BK234" i="1"/>
  <c r="BK233" i="1"/>
  <c r="BK232" i="1"/>
  <c r="BK231" i="1"/>
  <c r="BK230" i="1"/>
  <c r="BK229" i="1"/>
  <c r="BK228" i="1"/>
  <c r="BK227" i="1"/>
  <c r="BK226" i="1"/>
  <c r="BK225" i="1"/>
  <c r="BK222" i="1"/>
  <c r="BK220" i="1"/>
  <c r="BK218" i="1"/>
  <c r="BK216" i="1"/>
  <c r="BK215" i="1"/>
  <c r="BK212" i="1"/>
  <c r="BK211" i="1"/>
  <c r="BK210" i="1"/>
  <c r="BK209" i="1"/>
  <c r="BK208" i="1"/>
  <c r="BK204" i="1"/>
  <c r="BK203" i="1"/>
  <c r="BK200" i="1"/>
  <c r="BK199" i="1"/>
  <c r="BK197" i="1"/>
  <c r="BK196" i="1"/>
  <c r="BK195" i="1"/>
  <c r="BK194" i="1"/>
  <c r="BK193" i="1"/>
  <c r="BK192" i="1"/>
  <c r="BK191" i="1"/>
  <c r="BK186" i="1"/>
  <c r="BK185" i="1"/>
  <c r="BK184" i="1"/>
  <c r="BK183" i="1"/>
  <c r="BK181" i="1"/>
  <c r="BK178" i="1"/>
  <c r="BK175" i="1"/>
  <c r="BK174" i="1"/>
  <c r="BK173" i="1"/>
  <c r="BK172" i="1"/>
  <c r="BK171" i="1"/>
  <c r="BK170" i="1"/>
  <c r="BK169" i="1"/>
  <c r="BK168" i="1"/>
  <c r="BK166" i="1"/>
  <c r="BK162" i="1"/>
  <c r="BK160" i="1"/>
  <c r="BK159" i="1"/>
  <c r="BK157" i="1"/>
  <c r="BK156" i="1"/>
  <c r="BK155" i="1"/>
  <c r="BK154" i="1"/>
  <c r="BK153" i="1"/>
  <c r="BK152" i="1"/>
  <c r="BK151" i="1"/>
  <c r="BK150" i="1"/>
  <c r="BK148" i="1"/>
  <c r="BK142" i="1"/>
  <c r="BK141" i="1"/>
  <c r="BK138" i="1"/>
  <c r="BK137" i="1"/>
  <c r="BK135" i="1"/>
  <c r="BK132" i="1"/>
  <c r="BK130" i="1"/>
  <c r="BK129" i="1"/>
  <c r="BK128" i="1"/>
  <c r="BK123" i="1"/>
  <c r="BK122" i="1"/>
  <c r="BK121" i="1"/>
  <c r="BK120" i="1"/>
  <c r="BK119" i="1"/>
  <c r="BK116" i="1"/>
  <c r="BK114" i="1"/>
  <c r="BK113" i="1"/>
  <c r="BK112" i="1"/>
  <c r="BK111" i="1"/>
  <c r="BK109" i="1"/>
  <c r="BK108" i="1"/>
  <c r="BK107" i="1"/>
  <c r="BK106" i="1"/>
  <c r="BK104" i="1"/>
  <c r="BK103" i="1"/>
  <c r="BK99" i="1"/>
  <c r="BK95" i="1"/>
  <c r="BK90" i="1"/>
  <c r="BK89" i="1"/>
  <c r="BK88" i="1"/>
  <c r="BK87" i="1"/>
  <c r="BK86" i="1"/>
  <c r="BK85" i="1"/>
  <c r="BK84" i="1"/>
  <c r="BK83" i="1"/>
  <c r="BK82" i="1"/>
  <c r="BK77" i="1"/>
  <c r="BK74" i="1"/>
  <c r="BK73" i="1"/>
  <c r="BK72" i="1"/>
  <c r="BK71" i="1"/>
  <c r="BK70" i="1"/>
  <c r="BK69" i="1"/>
  <c r="BK68" i="1"/>
  <c r="BK66" i="1"/>
  <c r="BK64" i="1"/>
  <c r="BK63" i="1"/>
  <c r="BK62" i="1"/>
  <c r="BK58" i="1"/>
  <c r="BK56" i="1"/>
  <c r="BK54" i="1"/>
  <c r="BK51" i="1"/>
  <c r="BK50" i="1"/>
  <c r="BK49" i="1"/>
  <c r="BK44" i="1"/>
  <c r="BK43" i="1"/>
  <c r="BK41" i="1"/>
  <c r="BK39" i="1"/>
  <c r="BK37" i="1"/>
  <c r="BK35" i="1"/>
  <c r="H32" i="1"/>
  <c r="BK30" i="1"/>
  <c r="AE30" i="1"/>
  <c r="BG27" i="1"/>
  <c r="AY27" i="1"/>
  <c r="BG11" i="3" s="1"/>
  <c r="E27" i="1"/>
  <c r="BK26" i="1"/>
  <c r="BG26" i="1"/>
  <c r="AY26" i="1"/>
  <c r="BF11" i="3" s="1"/>
  <c r="F331" i="2" a="1"/>
  <c r="F328" i="2" a="1"/>
  <c r="F280" i="2" a="1"/>
  <c r="F277" i="2" a="1"/>
  <c r="F79" i="2" a="1"/>
  <c r="F76" i="2" a="1"/>
  <c r="F226" i="2" a="1"/>
  <c r="F229" i="2" a="1"/>
  <c r="F209" i="2" a="1"/>
  <c r="F206" i="2" a="1"/>
  <c r="F86" i="2" a="1"/>
  <c r="F89" i="2" a="1"/>
  <c r="F176" i="2" a="1"/>
  <c r="F179" i="2" a="1"/>
  <c r="F156" i="2" a="1"/>
  <c r="F159" i="2" a="1"/>
  <c r="F28" i="2" a="1"/>
  <c r="F25" i="2" a="1"/>
  <c r="F166" i="2" a="1"/>
  <c r="F169" i="2" a="1"/>
  <c r="F39" i="2" a="1"/>
  <c r="F36" i="2" a="1"/>
  <c r="F219" i="2" a="1"/>
  <c r="F216" i="2" a="1"/>
  <c r="F297" i="2" a="1"/>
  <c r="F300" i="2" a="1"/>
  <c r="F196" i="2" a="1"/>
  <c r="F199" i="2" a="1"/>
  <c r="F360" i="2" a="1"/>
  <c r="F357" i="2" a="1"/>
  <c r="F69" i="2" a="1"/>
  <c r="F66" i="2" a="1"/>
  <c r="F341" i="2" a="1"/>
  <c r="F338" i="2" a="1"/>
  <c r="F109" i="2" a="1"/>
  <c r="F106" i="2" a="1"/>
  <c r="F96" i="2" a="1"/>
  <c r="F99" i="2" a="1"/>
  <c r="F348" i="2" a="1"/>
  <c r="F351" i="2" a="1"/>
  <c r="F266" i="2" a="1"/>
  <c r="F269" i="2" a="1"/>
  <c r="F59" i="2" a="1"/>
  <c r="F56" i="2" a="1"/>
  <c r="F139" i="2" a="1"/>
  <c r="F136" i="2" a="1"/>
  <c r="F126" i="2" a="1"/>
  <c r="F129" i="2" a="1"/>
  <c r="F259" i="2" a="1"/>
  <c r="F256" i="2" a="1"/>
  <c r="F249" i="2" a="1"/>
  <c r="F246" i="2" a="1"/>
  <c r="F149" i="2" a="1"/>
  <c r="F146" i="2" a="1"/>
  <c r="F46" i="2" a="1"/>
  <c r="F49" i="2" a="1"/>
  <c r="F321" i="2" a="1"/>
  <c r="F318" i="2" a="1"/>
  <c r="F236" i="2" a="1"/>
  <c r="F239" i="2" a="1"/>
  <c r="F307" i="2" a="1"/>
  <c r="F310" i="2" a="1"/>
  <c r="F119" i="2" a="1"/>
  <c r="F116" i="2" a="1"/>
  <c r="F290" i="2" a="1"/>
  <c r="F287" i="2" a="1"/>
  <c r="F17" i="2" a="1"/>
  <c r="F14" i="2" a="1"/>
  <c r="F186" i="2" a="1"/>
  <c r="F189" i="2" a="1"/>
  <c r="D32" i="1"/>
  <c r="AC33" i="1"/>
  <c r="AC32" i="1"/>
  <c r="BK33" i="1" l="1"/>
  <c r="F328" i="2"/>
  <c r="F329" i="2" s="1"/>
  <c r="F331" i="2"/>
  <c r="F277" i="2"/>
  <c r="F278" i="2" s="1"/>
  <c r="F280" i="2"/>
  <c r="S278" i="2"/>
  <c r="R278" i="2"/>
  <c r="Q278" i="2"/>
  <c r="P278" i="2"/>
  <c r="F76" i="2"/>
  <c r="F77" i="2" s="1"/>
  <c r="F79" i="2"/>
  <c r="F229" i="2"/>
  <c r="F226" i="2"/>
  <c r="F227" i="2" s="1"/>
  <c r="Q227" i="2"/>
  <c r="F206" i="2"/>
  <c r="F207" i="2" s="1"/>
  <c r="U207" i="2"/>
  <c r="T207" i="2"/>
  <c r="S207" i="2"/>
  <c r="F209" i="2"/>
  <c r="Q77" i="2"/>
  <c r="F89" i="2"/>
  <c r="F86" i="2"/>
  <c r="F87" i="2" s="1"/>
  <c r="Z87" i="2"/>
  <c r="F179" i="2"/>
  <c r="F176" i="2"/>
  <c r="F177" i="2" s="1"/>
  <c r="F159" i="2"/>
  <c r="F156" i="2"/>
  <c r="F157" i="2" s="1"/>
  <c r="O157" i="2"/>
  <c r="N157" i="2"/>
  <c r="F25" i="2"/>
  <c r="F26" i="2" s="1"/>
  <c r="AC26" i="2"/>
  <c r="AB26" i="2"/>
  <c r="AA26" i="2"/>
  <c r="Z26" i="2"/>
  <c r="F28" i="2"/>
  <c r="F189" i="2"/>
  <c r="F186" i="2"/>
  <c r="F187" i="2" s="1"/>
  <c r="K187" i="2"/>
  <c r="J187" i="2"/>
  <c r="I187" i="2"/>
  <c r="H187" i="2"/>
  <c r="G187" i="2"/>
  <c r="F14" i="2"/>
  <c r="F15" i="2" s="1"/>
  <c r="M15" i="2"/>
  <c r="J15" i="2"/>
  <c r="L15" i="2"/>
  <c r="I15" i="2"/>
  <c r="G15" i="2"/>
  <c r="O15" i="2"/>
  <c r="K15" i="2"/>
  <c r="H15" i="2"/>
  <c r="N15" i="2"/>
  <c r="F17" i="2"/>
  <c r="F287" i="2"/>
  <c r="F288" i="2" s="1"/>
  <c r="M288" i="2"/>
  <c r="L288" i="2"/>
  <c r="J288" i="2"/>
  <c r="G288" i="2"/>
  <c r="K288" i="2"/>
  <c r="H288" i="2"/>
  <c r="O288" i="2"/>
  <c r="I288" i="2"/>
  <c r="N288" i="2"/>
  <c r="F290" i="2"/>
  <c r="M207" i="2"/>
  <c r="L207" i="2"/>
  <c r="K207" i="2"/>
  <c r="I207" i="2"/>
  <c r="H207" i="2"/>
  <c r="G207" i="2"/>
  <c r="R207" i="2"/>
  <c r="N207" i="2"/>
  <c r="J207" i="2"/>
  <c r="P207" i="2"/>
  <c r="Q207" i="2"/>
  <c r="O207" i="2"/>
  <c r="F116" i="2"/>
  <c r="F117" i="2" s="1"/>
  <c r="M117" i="2"/>
  <c r="AA117" i="2"/>
  <c r="X117" i="2"/>
  <c r="T117" i="2"/>
  <c r="P117" i="2"/>
  <c r="L117" i="2"/>
  <c r="K117" i="2"/>
  <c r="J117" i="2"/>
  <c r="I117" i="2"/>
  <c r="H117" i="2"/>
  <c r="Y117" i="2"/>
  <c r="V117" i="2"/>
  <c r="S117" i="2"/>
  <c r="Q117" i="2"/>
  <c r="AE117" i="2"/>
  <c r="AC117" i="2"/>
  <c r="AB117" i="2"/>
  <c r="Z117" i="2"/>
  <c r="U117" i="2"/>
  <c r="R117" i="2"/>
  <c r="N117" i="2"/>
  <c r="AD117" i="2"/>
  <c r="G117" i="2"/>
  <c r="W117" i="2"/>
  <c r="O117" i="2"/>
  <c r="F119" i="2"/>
  <c r="F310" i="2"/>
  <c r="F307" i="2"/>
  <c r="F308" i="2" s="1"/>
  <c r="M308" i="2"/>
  <c r="L308" i="2"/>
  <c r="K308" i="2"/>
  <c r="J308" i="2"/>
  <c r="I308" i="2"/>
  <c r="H308" i="2"/>
  <c r="V308" i="2"/>
  <c r="S308" i="2"/>
  <c r="R308" i="2"/>
  <c r="Q308" i="2"/>
  <c r="N308" i="2"/>
  <c r="U308" i="2"/>
  <c r="O308" i="2"/>
  <c r="G308" i="2"/>
  <c r="T308" i="2"/>
  <c r="P308" i="2"/>
  <c r="F239" i="2"/>
  <c r="F236" i="2"/>
  <c r="F237" i="2" s="1"/>
  <c r="M237" i="2"/>
  <c r="I237" i="2"/>
  <c r="W237" i="2"/>
  <c r="T237" i="2"/>
  <c r="Q237" i="2"/>
  <c r="N237" i="2"/>
  <c r="L237" i="2"/>
  <c r="J237" i="2"/>
  <c r="G237" i="2"/>
  <c r="U237" i="2"/>
  <c r="R237" i="2"/>
  <c r="P237" i="2"/>
  <c r="K237" i="2"/>
  <c r="H237" i="2"/>
  <c r="X237" i="2"/>
  <c r="S237" i="2"/>
  <c r="O237" i="2"/>
  <c r="V237" i="2"/>
  <c r="F318" i="2"/>
  <c r="F319" i="2" s="1"/>
  <c r="M319" i="2"/>
  <c r="L319" i="2"/>
  <c r="H319" i="2"/>
  <c r="V319" i="2"/>
  <c r="T319" i="2"/>
  <c r="R319" i="2"/>
  <c r="K319" i="2"/>
  <c r="I319" i="2"/>
  <c r="G319" i="2"/>
  <c r="W319" i="2"/>
  <c r="U319" i="2"/>
  <c r="Q319" i="2"/>
  <c r="N319" i="2"/>
  <c r="J319" i="2"/>
  <c r="S319" i="2"/>
  <c r="P319" i="2"/>
  <c r="O319" i="2"/>
  <c r="F321" i="2"/>
  <c r="F49" i="2"/>
  <c r="F46" i="2"/>
  <c r="F47" i="2" s="1"/>
  <c r="M47" i="2"/>
  <c r="J47" i="2"/>
  <c r="H47" i="2"/>
  <c r="G47" i="2"/>
  <c r="X47" i="2"/>
  <c r="U47" i="2"/>
  <c r="L47" i="2"/>
  <c r="AC47" i="2"/>
  <c r="AA47" i="2"/>
  <c r="W47" i="2"/>
  <c r="T47" i="2"/>
  <c r="Q47" i="2"/>
  <c r="N47" i="2"/>
  <c r="K47" i="2"/>
  <c r="AB47" i="2"/>
  <c r="Y47" i="2"/>
  <c r="V47" i="2"/>
  <c r="S47" i="2"/>
  <c r="P47" i="2"/>
  <c r="I47" i="2"/>
  <c r="Z47" i="2"/>
  <c r="R47" i="2"/>
  <c r="O47" i="2"/>
  <c r="F146" i="2"/>
  <c r="F147" i="2" s="1"/>
  <c r="M147" i="2"/>
  <c r="I147" i="2"/>
  <c r="W147" i="2"/>
  <c r="S147" i="2"/>
  <c r="P147" i="2"/>
  <c r="L147" i="2"/>
  <c r="J147" i="2"/>
  <c r="H147" i="2"/>
  <c r="V147" i="2"/>
  <c r="Q147" i="2"/>
  <c r="K147" i="2"/>
  <c r="T147" i="2"/>
  <c r="N147" i="2"/>
  <c r="G147" i="2"/>
  <c r="U147" i="2"/>
  <c r="R147" i="2"/>
  <c r="O147" i="2"/>
  <c r="F149" i="2"/>
  <c r="F246" i="2"/>
  <c r="F247" i="2" s="1"/>
  <c r="M247" i="2"/>
  <c r="G247" i="2"/>
  <c r="X247" i="2"/>
  <c r="U247" i="2"/>
  <c r="R247" i="2"/>
  <c r="N247" i="2"/>
  <c r="L247" i="2"/>
  <c r="I247" i="2"/>
  <c r="Y247" i="2"/>
  <c r="V247" i="2"/>
  <c r="Q247" i="2"/>
  <c r="O247" i="2"/>
  <c r="K247" i="2"/>
  <c r="J247" i="2"/>
  <c r="H247" i="2"/>
  <c r="W247" i="2"/>
  <c r="T247" i="2"/>
  <c r="P247" i="2"/>
  <c r="S247" i="2"/>
  <c r="F249" i="2"/>
  <c r="M329" i="2"/>
  <c r="L329" i="2"/>
  <c r="K329" i="2"/>
  <c r="J329" i="2"/>
  <c r="I329" i="2"/>
  <c r="H329" i="2"/>
  <c r="G329" i="2"/>
  <c r="R329" i="2"/>
  <c r="Q329" i="2"/>
  <c r="P329" i="2"/>
  <c r="O329" i="2"/>
  <c r="N329" i="2"/>
  <c r="M157" i="2"/>
  <c r="L157" i="2"/>
  <c r="K157" i="2"/>
  <c r="J157" i="2"/>
  <c r="I157" i="2"/>
  <c r="G157" i="2"/>
  <c r="H157" i="2"/>
  <c r="F256" i="2"/>
  <c r="F257" i="2" s="1"/>
  <c r="M257" i="2"/>
  <c r="L257" i="2"/>
  <c r="K257" i="2"/>
  <c r="J257" i="2"/>
  <c r="H257" i="2"/>
  <c r="G257" i="2"/>
  <c r="O257" i="2"/>
  <c r="I257" i="2"/>
  <c r="N257" i="2"/>
  <c r="F259" i="2"/>
  <c r="F129" i="2"/>
  <c r="F126" i="2"/>
  <c r="F127" i="2" s="1"/>
  <c r="AG127" i="2"/>
  <c r="M127" i="2"/>
  <c r="J127" i="2"/>
  <c r="AB127" i="2"/>
  <c r="AA127" i="2"/>
  <c r="X127" i="2"/>
  <c r="U127" i="2"/>
  <c r="Q127" i="2"/>
  <c r="AH127" i="2"/>
  <c r="AF127" i="2"/>
  <c r="L127" i="2"/>
  <c r="K127" i="2"/>
  <c r="AC127" i="2"/>
  <c r="Y127" i="2"/>
  <c r="W127" i="2"/>
  <c r="S127" i="2"/>
  <c r="P127" i="2"/>
  <c r="O127" i="2"/>
  <c r="N127" i="2"/>
  <c r="AE127" i="2"/>
  <c r="I127" i="2"/>
  <c r="H127" i="2"/>
  <c r="Z127" i="2"/>
  <c r="V127" i="2"/>
  <c r="R127" i="2"/>
  <c r="AI127" i="2"/>
  <c r="AD127" i="2"/>
  <c r="G127" i="2"/>
  <c r="T127" i="2"/>
  <c r="AJ127" i="2"/>
  <c r="F136" i="2"/>
  <c r="F137" i="2" s="1"/>
  <c r="M137" i="2"/>
  <c r="H137" i="2"/>
  <c r="P137" i="2"/>
  <c r="L137" i="2"/>
  <c r="I137" i="2"/>
  <c r="G137" i="2"/>
  <c r="K137" i="2"/>
  <c r="R137" i="2"/>
  <c r="O137" i="2"/>
  <c r="J137" i="2"/>
  <c r="Q137" i="2"/>
  <c r="N137" i="2"/>
  <c r="F139" i="2"/>
  <c r="F56" i="2"/>
  <c r="F57" i="2" s="1"/>
  <c r="AG57" i="2"/>
  <c r="M57" i="2"/>
  <c r="AC57" i="2"/>
  <c r="AA57" i="2"/>
  <c r="X57" i="2"/>
  <c r="R57" i="2"/>
  <c r="P57" i="2"/>
  <c r="AF57" i="2"/>
  <c r="L57" i="2"/>
  <c r="J57" i="2"/>
  <c r="AB57" i="2"/>
  <c r="Z57" i="2"/>
  <c r="W57" i="2"/>
  <c r="U57" i="2"/>
  <c r="O57" i="2"/>
  <c r="AE57" i="2"/>
  <c r="K57" i="2"/>
  <c r="I57" i="2"/>
  <c r="G57" i="2"/>
  <c r="T57" i="2"/>
  <c r="Q57" i="2"/>
  <c r="N57" i="2"/>
  <c r="AD57" i="2"/>
  <c r="H57" i="2"/>
  <c r="Y57" i="2"/>
  <c r="V57" i="2"/>
  <c r="S57" i="2"/>
  <c r="AH57" i="2"/>
  <c r="F59" i="2"/>
  <c r="F269" i="2"/>
  <c r="F266" i="2"/>
  <c r="F267" i="2" s="1"/>
  <c r="M267" i="2"/>
  <c r="L267" i="2"/>
  <c r="K267" i="2"/>
  <c r="J267" i="2"/>
  <c r="H267" i="2"/>
  <c r="V267" i="2"/>
  <c r="S267" i="2"/>
  <c r="P267" i="2"/>
  <c r="I267" i="2"/>
  <c r="W267" i="2"/>
  <c r="T267" i="2"/>
  <c r="Q267" i="2"/>
  <c r="O267" i="2"/>
  <c r="G267" i="2"/>
  <c r="U267" i="2"/>
  <c r="R267" i="2"/>
  <c r="N267" i="2"/>
  <c r="F351" i="2"/>
  <c r="X349" i="2"/>
  <c r="S349" i="2"/>
  <c r="R349" i="2"/>
  <c r="Q349" i="2"/>
  <c r="P349" i="2"/>
  <c r="O349" i="2"/>
  <c r="N349" i="2"/>
  <c r="M349" i="2"/>
  <c r="U349" i="2"/>
  <c r="T349" i="2"/>
  <c r="G349" i="2"/>
  <c r="L349" i="2"/>
  <c r="K349" i="2"/>
  <c r="J349" i="2"/>
  <c r="I349" i="2"/>
  <c r="H349" i="2"/>
  <c r="AF349" i="2"/>
  <c r="AE349" i="2"/>
  <c r="AD349" i="2"/>
  <c r="AC349" i="2"/>
  <c r="Z349" i="2"/>
  <c r="Y349" i="2"/>
  <c r="V349" i="2"/>
  <c r="AB349" i="2"/>
  <c r="AA349" i="2"/>
  <c r="F348" i="2"/>
  <c r="F349" i="2" s="1"/>
  <c r="W349" i="2"/>
  <c r="M177" i="2"/>
  <c r="L177" i="2"/>
  <c r="K177" i="2"/>
  <c r="J177" i="2"/>
  <c r="I177" i="2"/>
  <c r="G177" i="2"/>
  <c r="Q177" i="2"/>
  <c r="H177" i="2"/>
  <c r="P177" i="2"/>
  <c r="N177" i="2"/>
  <c r="R177" i="2"/>
  <c r="O177" i="2"/>
  <c r="F99" i="2"/>
  <c r="F96" i="2"/>
  <c r="F97" i="2" s="1"/>
  <c r="M97" i="2"/>
  <c r="L97" i="2"/>
  <c r="K97" i="2"/>
  <c r="J97" i="2"/>
  <c r="I97" i="2"/>
  <c r="H97" i="2"/>
  <c r="G97" i="2"/>
  <c r="W97" i="2"/>
  <c r="V97" i="2"/>
  <c r="S97" i="2"/>
  <c r="R97" i="2"/>
  <c r="P97" i="2"/>
  <c r="X97" i="2"/>
  <c r="O97" i="2"/>
  <c r="T97" i="2"/>
  <c r="N97" i="2"/>
  <c r="U97" i="2"/>
  <c r="Q97" i="2"/>
  <c r="F106" i="2"/>
  <c r="F107" i="2" s="1"/>
  <c r="M107" i="2"/>
  <c r="L107" i="2"/>
  <c r="K107" i="2"/>
  <c r="J107" i="2"/>
  <c r="I107" i="2"/>
  <c r="H107" i="2"/>
  <c r="G107" i="2"/>
  <c r="U107" i="2"/>
  <c r="Q107" i="2"/>
  <c r="S107" i="2"/>
  <c r="O107" i="2"/>
  <c r="R107" i="2"/>
  <c r="N107" i="2"/>
  <c r="T107" i="2"/>
  <c r="P107" i="2"/>
  <c r="F109" i="2"/>
  <c r="M26" i="2"/>
  <c r="L26" i="2"/>
  <c r="K26" i="2"/>
  <c r="J26" i="2"/>
  <c r="I26" i="2"/>
  <c r="Y26" i="2"/>
  <c r="W26" i="2"/>
  <c r="T26" i="2"/>
  <c r="R26" i="2"/>
  <c r="P26" i="2"/>
  <c r="H26" i="2"/>
  <c r="V26" i="2"/>
  <c r="Q26" i="2"/>
  <c r="N26" i="2"/>
  <c r="G26" i="2"/>
  <c r="X26" i="2"/>
  <c r="U26" i="2"/>
  <c r="S26" i="2"/>
  <c r="O26" i="2"/>
  <c r="F338" i="2"/>
  <c r="F339" i="2" s="1"/>
  <c r="AG339" i="2"/>
  <c r="M339" i="2"/>
  <c r="AD339" i="2"/>
  <c r="AC339" i="2"/>
  <c r="AB339" i="2"/>
  <c r="AA339" i="2"/>
  <c r="Z339" i="2"/>
  <c r="W339" i="2"/>
  <c r="U339" i="2"/>
  <c r="S339" i="2"/>
  <c r="Q339" i="2"/>
  <c r="AJ339" i="2"/>
  <c r="O339" i="2"/>
  <c r="N339" i="2"/>
  <c r="AF339" i="2"/>
  <c r="L339" i="2"/>
  <c r="AE339" i="2"/>
  <c r="K339" i="2"/>
  <c r="J339" i="2"/>
  <c r="I339" i="2"/>
  <c r="H339" i="2"/>
  <c r="G339" i="2"/>
  <c r="Y339" i="2"/>
  <c r="X339" i="2"/>
  <c r="V339" i="2"/>
  <c r="T339" i="2"/>
  <c r="R339" i="2"/>
  <c r="AK339" i="2"/>
  <c r="P339" i="2"/>
  <c r="AI339" i="2"/>
  <c r="AH339" i="2"/>
  <c r="F341" i="2"/>
  <c r="F66" i="2"/>
  <c r="F67" i="2" s="1"/>
  <c r="M67" i="2"/>
  <c r="L67" i="2"/>
  <c r="K67" i="2"/>
  <c r="J67" i="2"/>
  <c r="H67" i="2"/>
  <c r="G67" i="2"/>
  <c r="X67" i="2"/>
  <c r="V67" i="2"/>
  <c r="S67" i="2"/>
  <c r="P67" i="2"/>
  <c r="N67" i="2"/>
  <c r="I67" i="2"/>
  <c r="U67" i="2"/>
  <c r="Q67" i="2"/>
  <c r="W67" i="2"/>
  <c r="R67" i="2"/>
  <c r="T67" i="2"/>
  <c r="O67" i="2"/>
  <c r="F69" i="2"/>
  <c r="M77" i="2"/>
  <c r="H77" i="2"/>
  <c r="L77" i="2"/>
  <c r="J77" i="2"/>
  <c r="G77" i="2"/>
  <c r="N77" i="2"/>
  <c r="K77" i="2"/>
  <c r="I77" i="2"/>
  <c r="O77" i="2"/>
  <c r="P77" i="2"/>
  <c r="F357" i="2"/>
  <c r="F358" i="2" s="1"/>
  <c r="O358" i="2"/>
  <c r="N358" i="2"/>
  <c r="K358" i="2"/>
  <c r="M358" i="2"/>
  <c r="H358" i="2"/>
  <c r="L358" i="2"/>
  <c r="G358" i="2"/>
  <c r="J358" i="2"/>
  <c r="I358" i="2"/>
  <c r="F360" i="2"/>
  <c r="M278" i="2"/>
  <c r="L278" i="2"/>
  <c r="K278" i="2"/>
  <c r="J278" i="2"/>
  <c r="H278" i="2"/>
  <c r="G278" i="2"/>
  <c r="O278" i="2"/>
  <c r="I278" i="2"/>
  <c r="N278" i="2"/>
  <c r="F199" i="2"/>
  <c r="F196" i="2"/>
  <c r="F197" i="2" s="1"/>
  <c r="AG197" i="2"/>
  <c r="M197" i="2"/>
  <c r="J197" i="2"/>
  <c r="AB197" i="2"/>
  <c r="Y197" i="2"/>
  <c r="U197" i="2"/>
  <c r="AL197" i="2"/>
  <c r="AK197" i="2"/>
  <c r="O197" i="2"/>
  <c r="AF197" i="2"/>
  <c r="L197" i="2"/>
  <c r="K197" i="2"/>
  <c r="I197" i="2"/>
  <c r="AA197" i="2"/>
  <c r="W197" i="2"/>
  <c r="AM197" i="2"/>
  <c r="Q197" i="2"/>
  <c r="AI197" i="2"/>
  <c r="N197" i="2"/>
  <c r="AE197" i="2"/>
  <c r="AC197" i="2"/>
  <c r="H197" i="2"/>
  <c r="Z197" i="2"/>
  <c r="X197" i="2"/>
  <c r="S197" i="2"/>
  <c r="AJ197" i="2"/>
  <c r="AD197" i="2"/>
  <c r="G197" i="2"/>
  <c r="V197" i="2"/>
  <c r="T197" i="2"/>
  <c r="R197" i="2"/>
  <c r="P197" i="2"/>
  <c r="AH197" i="2"/>
  <c r="F300" i="2"/>
  <c r="F297" i="2"/>
  <c r="F298" i="2" s="1"/>
  <c r="M298" i="2"/>
  <c r="J298" i="2"/>
  <c r="H298" i="2"/>
  <c r="X298" i="2"/>
  <c r="T298" i="2"/>
  <c r="Q298" i="2"/>
  <c r="L298" i="2"/>
  <c r="G298" i="2"/>
  <c r="W298" i="2"/>
  <c r="R298" i="2"/>
  <c r="P298" i="2"/>
  <c r="K298" i="2"/>
  <c r="I298" i="2"/>
  <c r="U298" i="2"/>
  <c r="S298" i="2"/>
  <c r="N298" i="2"/>
  <c r="V298" i="2"/>
  <c r="O298" i="2"/>
  <c r="F216" i="2"/>
  <c r="F217" i="2" s="1"/>
  <c r="M217" i="2"/>
  <c r="J217" i="2"/>
  <c r="H217" i="2"/>
  <c r="Q217" i="2"/>
  <c r="L217" i="2"/>
  <c r="I217" i="2"/>
  <c r="G217" i="2"/>
  <c r="S217" i="2"/>
  <c r="P217" i="2"/>
  <c r="N217" i="2"/>
  <c r="K217" i="2"/>
  <c r="R217" i="2"/>
  <c r="O217" i="2"/>
  <c r="F219" i="2"/>
  <c r="M227" i="2"/>
  <c r="J227" i="2"/>
  <c r="L227" i="2"/>
  <c r="I227" i="2"/>
  <c r="O227" i="2"/>
  <c r="K227" i="2"/>
  <c r="H227" i="2"/>
  <c r="P227" i="2"/>
  <c r="G227" i="2"/>
  <c r="N227" i="2"/>
  <c r="F36" i="2"/>
  <c r="F37" i="2" s="1"/>
  <c r="AG37" i="2"/>
  <c r="M37" i="2"/>
  <c r="AC37" i="2"/>
  <c r="AA37" i="2"/>
  <c r="AS37" i="2"/>
  <c r="AQ37" i="2"/>
  <c r="V37" i="2"/>
  <c r="T37" i="2"/>
  <c r="AK37" i="2"/>
  <c r="P37" i="2"/>
  <c r="AF37" i="2"/>
  <c r="L37" i="2"/>
  <c r="J37" i="2"/>
  <c r="AB37" i="2"/>
  <c r="AR37" i="2"/>
  <c r="W37" i="2"/>
  <c r="U37" i="2"/>
  <c r="AN37" i="2"/>
  <c r="S37" i="2"/>
  <c r="Q37" i="2"/>
  <c r="AH37" i="2"/>
  <c r="AE37" i="2"/>
  <c r="K37" i="2"/>
  <c r="I37" i="2"/>
  <c r="H37" i="2"/>
  <c r="Z37" i="2"/>
  <c r="X37" i="2"/>
  <c r="AO37" i="2"/>
  <c r="AL37" i="2"/>
  <c r="AJ37" i="2"/>
  <c r="O37" i="2"/>
  <c r="AD37" i="2"/>
  <c r="G37" i="2"/>
  <c r="Y37" i="2"/>
  <c r="AP37" i="2"/>
  <c r="AM37" i="2"/>
  <c r="R37" i="2"/>
  <c r="AI37" i="2"/>
  <c r="N37" i="2"/>
  <c r="F39" i="2"/>
  <c r="F169" i="2"/>
  <c r="F166" i="2"/>
  <c r="F167" i="2" s="1"/>
  <c r="M167" i="2"/>
  <c r="L167" i="2"/>
  <c r="H167" i="2"/>
  <c r="S167" i="2"/>
  <c r="P167" i="2"/>
  <c r="N167" i="2"/>
  <c r="K167" i="2"/>
  <c r="Q167" i="2"/>
  <c r="O167" i="2"/>
  <c r="J167" i="2"/>
  <c r="I167" i="2"/>
  <c r="G167" i="2"/>
  <c r="R167" i="2"/>
  <c r="M87" i="2"/>
  <c r="J87" i="2"/>
  <c r="Y87" i="2"/>
  <c r="S87" i="2"/>
  <c r="Q87" i="2"/>
  <c r="N87" i="2"/>
  <c r="L87" i="2"/>
  <c r="I87" i="2"/>
  <c r="X87" i="2"/>
  <c r="U87" i="2"/>
  <c r="P87" i="2"/>
  <c r="K87" i="2"/>
  <c r="H87" i="2"/>
  <c r="W87" i="2"/>
  <c r="T87" i="2"/>
  <c r="R87" i="2"/>
  <c r="G87" i="2"/>
  <c r="V87" i="2"/>
  <c r="O87" i="2"/>
  <c r="AC8" i="3"/>
  <c r="AR8" i="3"/>
  <c r="AT27" i="1"/>
  <c r="AS27" i="1"/>
  <c r="AI27" i="1"/>
  <c r="AH27" i="1"/>
  <c r="W27" i="1"/>
  <c r="X27" i="1"/>
  <c r="M27" i="1"/>
  <c r="L27" i="1"/>
  <c r="Z27" i="1" l="1"/>
  <c r="AJ27" i="1"/>
  <c r="AD27" i="1" s="1" a="1"/>
  <c r="AU27" i="1"/>
  <c r="AO27" i="1" s="1" a="1"/>
  <c r="AK27" i="1"/>
  <c r="AE27" i="1" s="1" a="1"/>
  <c r="AV27" i="1"/>
  <c r="N27" i="1"/>
  <c r="H27" i="1" s="1" a="1"/>
  <c r="O27" i="1"/>
  <c r="I27" i="1" s="1" a="1"/>
  <c r="Y27" i="1"/>
  <c r="S27" i="1" s="1" a="1"/>
  <c r="T27" i="1" a="1"/>
  <c r="AP27" i="1" a="1"/>
  <c r="I27" i="1" l="1"/>
  <c r="AO27" i="1"/>
  <c r="AD27" i="1"/>
  <c r="T27" i="1"/>
  <c r="S27" i="1"/>
  <c r="H27" i="1"/>
  <c r="AE27" i="1"/>
  <c r="AP27" i="1"/>
  <c r="BB27" i="1"/>
  <c r="AR11" i="3" s="1"/>
  <c r="AR10" i="3" s="1"/>
  <c r="BA27" i="1"/>
  <c r="AC11" i="3" s="1"/>
  <c r="AC10" i="3" s="1"/>
  <c r="BG219" i="3" l="1"/>
  <c r="BW224" i="1" s="1"/>
  <c r="BG227" i="3"/>
  <c r="BW232" i="1" s="1"/>
  <c r="BG210" i="3"/>
  <c r="BW215" i="1" s="1"/>
  <c r="BG217" i="3"/>
  <c r="BW222" i="1" s="1"/>
  <c r="BG230" i="3"/>
  <c r="BW235" i="1" s="1"/>
  <c r="BG146" i="3"/>
  <c r="BW151" i="1" s="1"/>
  <c r="BG177" i="3"/>
  <c r="BW182" i="1" s="1"/>
  <c r="BG130" i="3"/>
  <c r="BW135" i="1" s="1"/>
  <c r="BG160" i="3"/>
  <c r="BW165" i="1" s="1"/>
  <c r="BG133" i="3"/>
  <c r="BW138" i="1" s="1"/>
  <c r="BG123" i="3"/>
  <c r="BW128" i="1" s="1"/>
  <c r="BG110" i="3"/>
  <c r="BW115" i="1" s="1"/>
  <c r="BG66" i="3"/>
  <c r="BW71" i="1" s="1"/>
  <c r="BG61" i="3"/>
  <c r="BW66" i="1" s="1"/>
  <c r="BG42" i="3"/>
  <c r="BW47" i="1" s="1"/>
  <c r="BG67" i="3"/>
  <c r="BW72" i="1" s="1"/>
  <c r="BG91" i="3"/>
  <c r="BW96" i="1" s="1"/>
  <c r="BG19" i="3"/>
  <c r="BG38" i="3"/>
  <c r="BW43" i="1" s="1"/>
  <c r="BG79" i="3"/>
  <c r="BW84" i="1" s="1"/>
  <c r="BG33" i="3"/>
  <c r="BW38" i="1" s="1"/>
  <c r="BG40" i="3"/>
  <c r="BW45" i="1" s="1"/>
  <c r="BG228" i="3"/>
  <c r="BW233" i="1" s="1"/>
  <c r="BG171" i="3"/>
  <c r="BW176" i="1" s="1"/>
  <c r="BG253" i="3"/>
  <c r="BW258" i="1" s="1"/>
  <c r="BG266" i="3"/>
  <c r="BW271" i="1" s="1"/>
  <c r="BG188" i="3"/>
  <c r="BW193" i="1" s="1"/>
  <c r="BG181" i="3"/>
  <c r="BW186" i="1" s="1"/>
  <c r="BG174" i="3"/>
  <c r="BW179" i="1" s="1"/>
  <c r="BG262" i="3"/>
  <c r="BW267" i="1" s="1"/>
  <c r="BG106" i="3"/>
  <c r="BW111" i="1" s="1"/>
  <c r="BG93" i="3"/>
  <c r="BW98" i="1" s="1"/>
  <c r="BG136" i="3"/>
  <c r="BW141" i="1" s="1"/>
  <c r="BG179" i="3"/>
  <c r="BW184" i="1" s="1"/>
  <c r="BG148" i="3"/>
  <c r="BW153" i="1" s="1"/>
  <c r="BG134" i="3"/>
  <c r="BW139" i="1" s="1"/>
  <c r="BG107" i="3"/>
  <c r="BW112" i="1" s="1"/>
  <c r="BG244" i="3"/>
  <c r="BW249" i="1" s="1"/>
  <c r="BG26" i="3"/>
  <c r="BW30" i="1" s="1"/>
  <c r="BG13" i="3"/>
  <c r="BG63" i="3"/>
  <c r="BW68" i="1" s="1"/>
  <c r="BG95" i="3"/>
  <c r="BW100" i="1" s="1"/>
  <c r="BG49" i="3"/>
  <c r="BW54" i="1" s="1"/>
  <c r="BG263" i="3"/>
  <c r="BW268" i="1" s="1"/>
  <c r="BG222" i="3"/>
  <c r="BW227" i="1" s="1"/>
  <c r="BG205" i="3"/>
  <c r="BW210" i="1" s="1"/>
  <c r="BG206" i="3"/>
  <c r="BW211" i="1" s="1"/>
  <c r="BG175" i="3"/>
  <c r="BW180" i="1" s="1"/>
  <c r="BG256" i="3"/>
  <c r="BW261" i="1" s="1"/>
  <c r="BG197" i="3"/>
  <c r="BW202" i="1" s="1"/>
  <c r="BG120" i="3"/>
  <c r="BW125" i="1" s="1"/>
  <c r="BG149" i="3"/>
  <c r="BW154" i="1" s="1"/>
  <c r="BG164" i="3"/>
  <c r="BW169" i="1" s="1"/>
  <c r="BG108" i="3"/>
  <c r="BW113" i="1" s="1"/>
  <c r="BG54" i="3"/>
  <c r="BW59" i="1" s="1"/>
  <c r="BG90" i="3"/>
  <c r="BW95" i="1" s="1"/>
  <c r="BG159" i="3"/>
  <c r="BW164" i="1" s="1"/>
  <c r="BG58" i="3"/>
  <c r="BW63" i="1" s="1"/>
  <c r="BG41" i="3"/>
  <c r="BW46" i="1" s="1"/>
  <c r="BG48" i="3"/>
  <c r="BW53" i="1" s="1"/>
  <c r="BG195" i="3"/>
  <c r="BW200" i="1" s="1"/>
  <c r="BG193" i="3"/>
  <c r="BW198" i="1" s="1"/>
  <c r="BG247" i="3"/>
  <c r="BW252" i="1" s="1"/>
  <c r="BG248" i="3"/>
  <c r="BW253" i="1" s="1"/>
  <c r="BG158" i="3"/>
  <c r="BW163" i="1" s="1"/>
  <c r="BG261" i="3"/>
  <c r="BW266" i="1" s="1"/>
  <c r="BG186" i="3"/>
  <c r="BW191" i="1" s="1"/>
  <c r="BG94" i="3"/>
  <c r="BW99" i="1" s="1"/>
  <c r="BG157" i="3"/>
  <c r="BW162" i="1" s="1"/>
  <c r="BG128" i="3"/>
  <c r="BW133" i="1" s="1"/>
  <c r="BG126" i="3"/>
  <c r="BW131" i="1" s="1"/>
  <c r="BG127" i="3"/>
  <c r="BW132" i="1" s="1"/>
  <c r="BG232" i="3"/>
  <c r="BW237" i="1" s="1"/>
  <c r="BG71" i="3"/>
  <c r="BW76" i="1" s="1"/>
  <c r="BG20" i="3"/>
  <c r="BG45" i="3"/>
  <c r="BW50" i="1" s="1"/>
  <c r="BG34" i="3"/>
  <c r="BW39" i="1" s="1"/>
  <c r="BG46" i="3"/>
  <c r="BW51" i="1" s="1"/>
  <c r="BG204" i="3"/>
  <c r="BW209" i="1" s="1"/>
  <c r="BG180" i="3"/>
  <c r="BW185" i="1" s="1"/>
  <c r="BG260" i="3"/>
  <c r="BW265" i="1" s="1"/>
  <c r="BG237" i="3"/>
  <c r="BW242" i="1" s="1"/>
  <c r="BG163" i="3"/>
  <c r="BW168" i="1" s="1"/>
  <c r="BG250" i="3"/>
  <c r="BW255" i="1" s="1"/>
  <c r="BG117" i="3"/>
  <c r="BW122" i="1" s="1"/>
  <c r="BG145" i="3"/>
  <c r="BW150" i="1" s="1"/>
  <c r="BG168" i="3"/>
  <c r="BW173" i="1" s="1"/>
  <c r="BG166" i="3"/>
  <c r="BW171" i="1" s="1"/>
  <c r="BG201" i="3"/>
  <c r="BW206" i="1" s="1"/>
  <c r="BG25" i="3"/>
  <c r="BW29" i="1" s="1"/>
  <c r="BG44" i="3"/>
  <c r="BW49" i="1" s="1"/>
  <c r="BG140" i="3"/>
  <c r="BW145" i="1" s="1"/>
  <c r="BG53" i="3"/>
  <c r="BW58" i="1" s="1"/>
  <c r="BG251" i="3"/>
  <c r="BW256" i="1" s="1"/>
  <c r="BG271" i="3"/>
  <c r="BW276" i="1" s="1"/>
  <c r="BG254" i="3"/>
  <c r="BW259" i="1" s="1"/>
  <c r="BG209" i="3"/>
  <c r="BW214" i="1" s="1"/>
  <c r="BG131" i="3"/>
  <c r="BW136" i="1" s="1"/>
  <c r="BG156" i="3"/>
  <c r="BW161" i="1" s="1"/>
  <c r="BG105" i="3"/>
  <c r="BW110" i="1" s="1"/>
  <c r="BG139" i="3"/>
  <c r="BW144" i="1" s="1"/>
  <c r="BG144" i="3"/>
  <c r="BW149" i="1" s="1"/>
  <c r="BG142" i="3"/>
  <c r="BW147" i="1" s="1"/>
  <c r="BG85" i="3"/>
  <c r="BW90" i="1" s="1"/>
  <c r="BG24" i="3"/>
  <c r="BW28" i="1" s="1"/>
  <c r="BG27" i="3"/>
  <c r="BW31" i="1" s="1"/>
  <c r="BG64" i="3"/>
  <c r="BW69" i="1" s="1"/>
  <c r="BG43" i="3"/>
  <c r="BW48" i="1" s="1"/>
  <c r="BG231" i="3"/>
  <c r="BW236" i="1" s="1"/>
  <c r="BG183" i="3"/>
  <c r="BW188" i="1" s="1"/>
  <c r="BG229" i="3"/>
  <c r="BW234" i="1" s="1"/>
  <c r="BG212" i="3"/>
  <c r="BW217" i="1" s="1"/>
  <c r="BG249" i="3"/>
  <c r="BW254" i="1" s="1"/>
  <c r="BG245" i="3"/>
  <c r="BW250" i="1" s="1"/>
  <c r="BG82" i="3"/>
  <c r="BW87" i="1" s="1"/>
  <c r="BG115" i="3"/>
  <c r="BW120" i="1" s="1"/>
  <c r="BG187" i="3"/>
  <c r="BW192" i="1" s="1"/>
  <c r="BG100" i="3"/>
  <c r="BW105" i="1" s="1"/>
  <c r="BG89" i="3"/>
  <c r="BW94" i="1" s="1"/>
  <c r="BG59" i="3"/>
  <c r="BW64" i="1" s="1"/>
  <c r="BG16" i="3"/>
  <c r="BG172" i="3"/>
  <c r="BW177" i="1" s="1"/>
  <c r="BG69" i="3"/>
  <c r="BW74" i="1" s="1"/>
  <c r="BG203" i="3"/>
  <c r="BW208" i="1" s="1"/>
  <c r="BG211" i="3"/>
  <c r="BW216" i="1" s="1"/>
  <c r="BG184" i="3"/>
  <c r="BW189" i="1" s="1"/>
  <c r="BG213" i="3"/>
  <c r="BW218" i="1" s="1"/>
  <c r="BG190" i="3"/>
  <c r="BW195" i="1" s="1"/>
  <c r="BG114" i="3"/>
  <c r="BW119" i="1" s="1"/>
  <c r="BG112" i="3"/>
  <c r="BW117" i="1" s="1"/>
  <c r="BG113" i="3"/>
  <c r="BW118" i="1" s="1"/>
  <c r="BG65" i="3"/>
  <c r="BW70" i="1" s="1"/>
  <c r="BG68" i="3"/>
  <c r="BW73" i="1" s="1"/>
  <c r="BG31" i="3"/>
  <c r="BW36" i="1" s="1"/>
  <c r="BG191" i="3"/>
  <c r="BW196" i="1" s="1"/>
  <c r="BG198" i="3"/>
  <c r="BW203" i="1" s="1"/>
  <c r="BG202" i="3"/>
  <c r="BW207" i="1" s="1"/>
  <c r="BG118" i="3"/>
  <c r="BW123" i="1" s="1"/>
  <c r="BG182" i="3"/>
  <c r="BW187" i="1" s="1"/>
  <c r="BG98" i="3"/>
  <c r="BW103" i="1" s="1"/>
  <c r="BG104" i="3"/>
  <c r="BW109" i="1" s="1"/>
  <c r="BG111" i="3"/>
  <c r="BW116" i="1" s="1"/>
  <c r="BG23" i="3"/>
  <c r="BW27" i="1" s="1"/>
  <c r="BG28" i="3"/>
  <c r="BW32" i="1" s="1"/>
  <c r="BG97" i="3"/>
  <c r="BW102" i="1" s="1"/>
  <c r="BG267" i="3"/>
  <c r="BW272" i="1" s="1"/>
  <c r="BG270" i="3"/>
  <c r="BW275" i="1" s="1"/>
  <c r="BG178" i="3"/>
  <c r="BW183" i="1" s="1"/>
  <c r="BG194" i="3"/>
  <c r="BW199" i="1" s="1"/>
  <c r="BG192" i="3"/>
  <c r="BW197" i="1" s="1"/>
  <c r="BG121" i="3"/>
  <c r="BW126" i="1" s="1"/>
  <c r="BG86" i="3"/>
  <c r="BW91" i="1" s="1"/>
  <c r="BG170" i="3"/>
  <c r="BW175" i="1" s="1"/>
  <c r="BG84" i="3"/>
  <c r="BW89" i="1" s="1"/>
  <c r="BG21" i="3"/>
  <c r="BW25" i="1" s="1"/>
  <c r="BG55" i="3"/>
  <c r="BW60" i="1" s="1"/>
  <c r="BG35" i="3"/>
  <c r="BW40" i="1" s="1"/>
  <c r="BG255" i="3"/>
  <c r="BW260" i="1" s="1"/>
  <c r="BG258" i="3"/>
  <c r="BW263" i="1" s="1"/>
  <c r="BG272" i="3"/>
  <c r="BW277" i="1" s="1"/>
  <c r="BG185" i="3"/>
  <c r="BW190" i="1" s="1"/>
  <c r="BG269" i="3"/>
  <c r="BW274" i="1" s="1"/>
  <c r="BG119" i="3"/>
  <c r="BW124" i="1" s="1"/>
  <c r="BG74" i="3"/>
  <c r="BW79" i="1" s="1"/>
  <c r="BG129" i="3"/>
  <c r="BW134" i="1" s="1"/>
  <c r="BG77" i="3"/>
  <c r="BW82" i="1" s="1"/>
  <c r="BG18" i="3"/>
  <c r="BG51" i="3"/>
  <c r="BW56" i="1" s="1"/>
  <c r="BG36" i="3"/>
  <c r="BW41" i="1" s="1"/>
  <c r="BG252" i="3"/>
  <c r="BW257" i="1" s="1"/>
  <c r="BG265" i="3"/>
  <c r="BW270" i="1" s="1"/>
  <c r="BG218" i="3"/>
  <c r="BW223" i="1" s="1"/>
  <c r="BG165" i="3"/>
  <c r="BW170" i="1" s="1"/>
  <c r="BG152" i="3"/>
  <c r="BW157" i="1" s="1"/>
  <c r="BG135" i="3"/>
  <c r="BW140" i="1" s="1"/>
  <c r="BG87" i="3"/>
  <c r="BW92" i="1" s="1"/>
  <c r="BG62" i="3"/>
  <c r="BW67" i="1" s="1"/>
  <c r="BG80" i="3"/>
  <c r="BW85" i="1" s="1"/>
  <c r="BG83" i="3"/>
  <c r="BW88" i="1" s="1"/>
  <c r="BG56" i="3"/>
  <c r="BW61" i="1" s="1"/>
  <c r="BG29" i="3"/>
  <c r="BW33" i="1" s="1"/>
  <c r="BG241" i="3"/>
  <c r="BW246" i="1" s="1"/>
  <c r="BG214" i="3"/>
  <c r="BW219" i="1" s="1"/>
  <c r="BG81" i="3"/>
  <c r="BW86" i="1" s="1"/>
  <c r="BG154" i="3"/>
  <c r="BW159" i="1" s="1"/>
  <c r="BG122" i="3"/>
  <c r="BW127" i="1" s="1"/>
  <c r="BG76" i="3"/>
  <c r="BW81" i="1" s="1"/>
  <c r="BG243" i="3"/>
  <c r="BW248" i="1" s="1"/>
  <c r="BG235" i="3"/>
  <c r="BW240" i="1" s="1"/>
  <c r="BG233" i="3"/>
  <c r="BW238" i="1" s="1"/>
  <c r="BG161" i="3"/>
  <c r="BW166" i="1" s="1"/>
  <c r="BG138" i="3"/>
  <c r="BW143" i="1" s="1"/>
  <c r="BG60" i="3"/>
  <c r="BW65" i="1" s="1"/>
  <c r="BG32" i="3"/>
  <c r="BW37" i="1" s="1"/>
  <c r="BG216" i="3"/>
  <c r="BW221" i="1" s="1"/>
  <c r="BG224" i="3"/>
  <c r="BW229" i="1" s="1"/>
  <c r="BG257" i="3"/>
  <c r="BW262" i="1" s="1"/>
  <c r="BG143" i="3"/>
  <c r="BW148" i="1" s="1"/>
  <c r="BG30" i="3"/>
  <c r="BW35" i="1" s="1"/>
  <c r="BG15" i="3"/>
  <c r="BG57" i="3"/>
  <c r="BW62" i="1" s="1"/>
  <c r="BG215" i="3"/>
  <c r="BW220" i="1" s="1"/>
  <c r="BG167" i="3"/>
  <c r="BW172" i="1" s="1"/>
  <c r="BG103" i="3"/>
  <c r="BW108" i="1" s="1"/>
  <c r="BG92" i="3"/>
  <c r="BW97" i="1" s="1"/>
  <c r="BG70" i="3"/>
  <c r="BW75" i="1" s="1"/>
  <c r="BG223" i="3"/>
  <c r="BW228" i="1" s="1"/>
  <c r="BG173" i="3"/>
  <c r="BW178" i="1" s="1"/>
  <c r="BG137" i="3"/>
  <c r="BW142" i="1" s="1"/>
  <c r="BG22" i="3"/>
  <c r="BW26" i="1" s="1"/>
  <c r="BG102" i="3"/>
  <c r="BW107" i="1" s="1"/>
  <c r="BG242" i="3"/>
  <c r="BW247" i="1" s="1"/>
  <c r="BG169" i="3"/>
  <c r="BW174" i="1" s="1"/>
  <c r="BG75" i="3"/>
  <c r="BW80" i="1" s="1"/>
  <c r="BG101" i="3"/>
  <c r="BW106" i="1" s="1"/>
  <c r="BG37" i="3"/>
  <c r="BW42" i="1" s="1"/>
  <c r="BG236" i="3"/>
  <c r="BW241" i="1" s="1"/>
  <c r="BG147" i="3"/>
  <c r="BW152" i="1" s="1"/>
  <c r="BG150" i="3"/>
  <c r="BW155" i="1" s="1"/>
  <c r="BG17" i="3"/>
  <c r="BG78" i="3"/>
  <c r="BW83" i="1" s="1"/>
  <c r="BG240" i="3"/>
  <c r="BW245" i="1" s="1"/>
  <c r="BG220" i="3"/>
  <c r="BW225" i="1" s="1"/>
  <c r="BG225" i="3"/>
  <c r="BW230" i="1" s="1"/>
  <c r="BG125" i="3"/>
  <c r="BW130" i="1" s="1"/>
  <c r="BG50" i="3"/>
  <c r="BW55" i="1" s="1"/>
  <c r="BG239" i="3"/>
  <c r="BW244" i="1" s="1"/>
  <c r="BG199" i="3"/>
  <c r="BW204" i="1" s="1"/>
  <c r="BG153" i="3"/>
  <c r="BW158" i="1" s="1"/>
  <c r="BG189" i="3"/>
  <c r="BW194" i="1" s="1"/>
  <c r="BG39" i="3"/>
  <c r="BW44" i="1" s="1"/>
  <c r="BG73" i="3"/>
  <c r="BW78" i="1" s="1"/>
  <c r="BG238" i="3"/>
  <c r="BW243" i="1" s="1"/>
  <c r="BG96" i="3"/>
  <c r="BW101" i="1" s="1"/>
  <c r="BG207" i="3"/>
  <c r="BW212" i="1" s="1"/>
  <c r="BG141" i="3"/>
  <c r="BW146" i="1" s="1"/>
  <c r="BG14" i="3"/>
  <c r="BG234" i="3"/>
  <c r="BW239" i="1" s="1"/>
  <c r="BG196" i="3"/>
  <c r="BW201" i="1" s="1"/>
  <c r="BG155" i="3"/>
  <c r="BW160" i="1" s="1"/>
  <c r="BG226" i="3"/>
  <c r="BW231" i="1" s="1"/>
  <c r="BG264" i="3"/>
  <c r="BW269" i="1" s="1"/>
  <c r="BG132" i="3"/>
  <c r="BW137" i="1" s="1"/>
  <c r="BG72" i="3"/>
  <c r="BW77" i="1" s="1"/>
  <c r="BG124" i="3"/>
  <c r="BW129" i="1" s="1"/>
  <c r="BG52" i="3"/>
  <c r="BW57" i="1" s="1"/>
  <c r="BG273" i="3"/>
  <c r="BW278" i="1" s="1"/>
  <c r="BG47" i="3"/>
  <c r="BW52" i="1" s="1"/>
  <c r="BG88" i="3"/>
  <c r="BW93" i="1" s="1"/>
  <c r="BG246" i="3"/>
  <c r="BW251" i="1" s="1"/>
  <c r="BG208" i="3"/>
  <c r="BW213" i="1" s="1"/>
  <c r="BG99" i="3"/>
  <c r="BW104" i="1" s="1"/>
  <c r="BG259" i="3"/>
  <c r="BW264" i="1" s="1"/>
  <c r="BG200" i="3"/>
  <c r="BW205" i="1" s="1"/>
  <c r="BG162" i="3"/>
  <c r="BW167" i="1" s="1"/>
  <c r="BG176" i="3"/>
  <c r="BW181" i="1" s="1"/>
  <c r="BG151" i="3"/>
  <c r="BW156" i="1" s="1"/>
  <c r="BG221" i="3"/>
  <c r="BW226" i="1" s="1"/>
  <c r="BG109" i="3"/>
  <c r="BW114" i="1" s="1"/>
  <c r="BG116" i="3"/>
  <c r="BW121" i="1" s="1"/>
  <c r="BG268" i="3"/>
  <c r="BW273" i="1" s="1"/>
  <c r="E26" i="1"/>
  <c r="BK25" i="1"/>
  <c r="BG25" i="1"/>
  <c r="AY25" i="1"/>
  <c r="BE11" i="3" s="1"/>
  <c r="AB8" i="3" l="1"/>
  <c r="AQ8" i="3"/>
  <c r="BW34" i="1"/>
  <c r="AS26" i="1"/>
  <c r="AU26" i="1"/>
  <c r="AV26" i="1"/>
  <c r="AT26" i="1"/>
  <c r="AK26" i="1"/>
  <c r="AE26" i="1" s="1" a="1"/>
  <c r="AJ26" i="1"/>
  <c r="AD26" i="1" s="1" a="1"/>
  <c r="AI26" i="1"/>
  <c r="AH26" i="1"/>
  <c r="Y26" i="1"/>
  <c r="S26" i="1" s="1" a="1"/>
  <c r="Z26" i="1"/>
  <c r="T26" i="1" s="1" a="1"/>
  <c r="X26" i="1"/>
  <c r="W26" i="1"/>
  <c r="L26" i="1"/>
  <c r="M26" i="1"/>
  <c r="O26" i="1"/>
  <c r="I26" i="1" s="1" a="1"/>
  <c r="N26" i="1"/>
  <c r="H26" i="1" s="1" a="1"/>
  <c r="AO26" i="1" a="1"/>
  <c r="AP26" i="1" a="1"/>
  <c r="I26" i="1" l="1"/>
  <c r="AD26" i="1"/>
  <c r="AP26" i="1"/>
  <c r="AO26" i="1"/>
  <c r="T26" i="1"/>
  <c r="H26" i="1"/>
  <c r="S26" i="1"/>
  <c r="AE26" i="1"/>
  <c r="BA26" i="1"/>
  <c r="AB11" i="3" s="1"/>
  <c r="BB26" i="1"/>
  <c r="AQ11" i="3" s="1"/>
  <c r="AQ10" i="3" l="1"/>
  <c r="AB10" i="3"/>
  <c r="E25" i="1"/>
  <c r="BW24" i="1"/>
  <c r="BK24" i="1"/>
  <c r="BG24" i="1"/>
  <c r="AY24" i="1"/>
  <c r="BD11" i="3" s="1"/>
  <c r="AP8" i="3" l="1"/>
  <c r="AA8" i="3"/>
  <c r="BF253" i="3"/>
  <c r="BV258" i="1" s="1"/>
  <c r="BF262" i="3"/>
  <c r="BV267" i="1" s="1"/>
  <c r="BF177" i="3"/>
  <c r="BV182" i="1" s="1"/>
  <c r="BF223" i="3"/>
  <c r="BV228" i="1" s="1"/>
  <c r="BF178" i="3"/>
  <c r="BV183" i="1" s="1"/>
  <c r="BF119" i="3"/>
  <c r="BV124" i="1" s="1"/>
  <c r="BF107" i="3"/>
  <c r="BV112" i="1" s="1"/>
  <c r="BF118" i="3"/>
  <c r="BV123" i="1" s="1"/>
  <c r="BF148" i="3"/>
  <c r="BV153" i="1" s="1"/>
  <c r="BF115" i="3"/>
  <c r="BV120" i="1" s="1"/>
  <c r="BF114" i="3"/>
  <c r="BV119" i="1" s="1"/>
  <c r="BF126" i="3"/>
  <c r="BV131" i="1" s="1"/>
  <c r="BF136" i="3"/>
  <c r="BV141" i="1" s="1"/>
  <c r="BF72" i="3"/>
  <c r="BV77" i="1" s="1"/>
  <c r="BF151" i="3"/>
  <c r="BV156" i="1" s="1"/>
  <c r="BF96" i="3"/>
  <c r="BV101" i="1" s="1"/>
  <c r="BF49" i="3"/>
  <c r="BV54" i="1" s="1"/>
  <c r="BF18" i="3"/>
  <c r="BF44" i="3"/>
  <c r="BV49" i="1" s="1"/>
  <c r="BF66" i="3"/>
  <c r="BV71" i="1" s="1"/>
  <c r="BF47" i="3"/>
  <c r="BV52" i="1" s="1"/>
  <c r="BF42" i="3"/>
  <c r="BV47" i="1" s="1"/>
  <c r="BF256" i="3"/>
  <c r="BV261" i="1" s="1"/>
  <c r="BF264" i="3"/>
  <c r="BV269" i="1" s="1"/>
  <c r="BF202" i="3"/>
  <c r="BV207" i="1" s="1"/>
  <c r="BF227" i="3"/>
  <c r="BV232" i="1" s="1"/>
  <c r="BF189" i="3"/>
  <c r="BV194" i="1" s="1"/>
  <c r="BF211" i="3"/>
  <c r="BV216" i="1" s="1"/>
  <c r="BF200" i="3"/>
  <c r="BV205" i="1" s="1"/>
  <c r="BF222" i="3"/>
  <c r="BV227" i="1" s="1"/>
  <c r="BF209" i="3"/>
  <c r="BV214" i="1" s="1"/>
  <c r="BF104" i="3"/>
  <c r="BV109" i="1" s="1"/>
  <c r="BF99" i="3"/>
  <c r="BV104" i="1" s="1"/>
  <c r="BF271" i="3"/>
  <c r="BV276" i="1" s="1"/>
  <c r="BF146" i="3"/>
  <c r="BV151" i="1" s="1"/>
  <c r="BF129" i="3"/>
  <c r="BV134" i="1" s="1"/>
  <c r="BF137" i="3"/>
  <c r="BV142" i="1" s="1"/>
  <c r="BF101" i="3"/>
  <c r="BV106" i="1" s="1"/>
  <c r="BF23" i="3"/>
  <c r="BV27" i="1" s="1"/>
  <c r="BF54" i="3"/>
  <c r="BV59" i="1" s="1"/>
  <c r="BF13" i="3"/>
  <c r="BF45" i="3"/>
  <c r="BV50" i="1" s="1"/>
  <c r="BF41" i="3"/>
  <c r="BV46" i="1" s="1"/>
  <c r="BF28" i="3"/>
  <c r="BV32" i="1" s="1"/>
  <c r="BF244" i="3"/>
  <c r="BV249" i="1" s="1"/>
  <c r="BF252" i="3"/>
  <c r="BV257" i="1" s="1"/>
  <c r="BF184" i="3"/>
  <c r="BV189" i="1" s="1"/>
  <c r="BF213" i="3"/>
  <c r="BV218" i="1" s="1"/>
  <c r="BF166" i="3"/>
  <c r="BV171" i="1" s="1"/>
  <c r="BF170" i="3"/>
  <c r="BV175" i="1" s="1"/>
  <c r="BF273" i="3"/>
  <c r="BV278" i="1" s="1"/>
  <c r="BF212" i="3"/>
  <c r="BV217" i="1" s="1"/>
  <c r="BF269" i="3"/>
  <c r="BV274" i="1" s="1"/>
  <c r="BF259" i="3"/>
  <c r="BV264" i="1" s="1"/>
  <c r="BF87" i="3"/>
  <c r="BV92" i="1" s="1"/>
  <c r="BF237" i="3"/>
  <c r="BV242" i="1" s="1"/>
  <c r="BF144" i="3"/>
  <c r="BV149" i="1" s="1"/>
  <c r="BF203" i="3"/>
  <c r="BV208" i="1" s="1"/>
  <c r="BF130" i="3"/>
  <c r="BV135" i="1" s="1"/>
  <c r="BF78" i="3"/>
  <c r="BV83" i="1" s="1"/>
  <c r="BF60" i="3"/>
  <c r="BV65" i="1" s="1"/>
  <c r="BF26" i="3"/>
  <c r="BV30" i="1" s="1"/>
  <c r="BF39" i="3"/>
  <c r="BV44" i="1" s="1"/>
  <c r="BF33" i="3"/>
  <c r="BV38" i="1" s="1"/>
  <c r="BF35" i="3"/>
  <c r="BV40" i="1" s="1"/>
  <c r="BF265" i="3"/>
  <c r="BV270" i="1" s="1"/>
  <c r="BF192" i="3"/>
  <c r="BV197" i="1" s="1"/>
  <c r="BF199" i="3"/>
  <c r="BV204" i="1" s="1"/>
  <c r="BF230" i="3"/>
  <c r="BV235" i="1" s="1"/>
  <c r="BF182" i="3"/>
  <c r="BV187" i="1" s="1"/>
  <c r="BF131" i="3"/>
  <c r="BV136" i="1" s="1"/>
  <c r="BF171" i="3"/>
  <c r="BV176" i="1" s="1"/>
  <c r="BF141" i="3"/>
  <c r="BV146" i="1" s="1"/>
  <c r="BF187" i="3"/>
  <c r="BV192" i="1" s="1"/>
  <c r="BF123" i="3"/>
  <c r="BV128" i="1" s="1"/>
  <c r="BF117" i="3"/>
  <c r="BV122" i="1" s="1"/>
  <c r="BF150" i="3"/>
  <c r="BV155" i="1" s="1"/>
  <c r="BF173" i="3"/>
  <c r="BV178" i="1" s="1"/>
  <c r="BF79" i="3"/>
  <c r="BV84" i="1" s="1"/>
  <c r="BF194" i="3"/>
  <c r="BV199" i="1" s="1"/>
  <c r="BF58" i="3"/>
  <c r="BV63" i="1" s="1"/>
  <c r="BF57" i="3"/>
  <c r="BV62" i="1" s="1"/>
  <c r="BF19" i="3"/>
  <c r="BF50" i="3"/>
  <c r="BV55" i="1" s="1"/>
  <c r="BF92" i="3"/>
  <c r="BV97" i="1" s="1"/>
  <c r="BF56" i="3"/>
  <c r="BV61" i="1" s="1"/>
  <c r="BF48" i="3"/>
  <c r="BV53" i="1" s="1"/>
  <c r="BF220" i="3"/>
  <c r="BV225" i="1" s="1"/>
  <c r="BF238" i="3"/>
  <c r="BV243" i="1" s="1"/>
  <c r="BF180" i="3"/>
  <c r="BV185" i="1" s="1"/>
  <c r="BF261" i="3"/>
  <c r="BV266" i="1" s="1"/>
  <c r="BF239" i="3"/>
  <c r="BV244" i="1" s="1"/>
  <c r="BF94" i="3"/>
  <c r="BV99" i="1" s="1"/>
  <c r="BF157" i="3"/>
  <c r="BV162" i="1" s="1"/>
  <c r="BF93" i="3"/>
  <c r="BV98" i="1" s="1"/>
  <c r="BF77" i="3"/>
  <c r="BV82" i="1" s="1"/>
  <c r="BF43" i="3"/>
  <c r="BV48" i="1" s="1"/>
  <c r="BF112" i="3"/>
  <c r="BV117" i="1" s="1"/>
  <c r="BF22" i="3"/>
  <c r="BV26" i="1" s="1"/>
  <c r="BF70" i="3"/>
  <c r="BV75" i="1" s="1"/>
  <c r="BF46" i="3"/>
  <c r="BV51" i="1" s="1"/>
  <c r="BF73" i="3"/>
  <c r="BV78" i="1" s="1"/>
  <c r="BF205" i="3"/>
  <c r="BV210" i="1" s="1"/>
  <c r="BF179" i="3"/>
  <c r="BV184" i="1" s="1"/>
  <c r="BF235" i="3"/>
  <c r="BV240" i="1" s="1"/>
  <c r="BF206" i="3"/>
  <c r="BV211" i="1" s="1"/>
  <c r="BF263" i="3"/>
  <c r="BV268" i="1" s="1"/>
  <c r="BF193" i="3"/>
  <c r="BV198" i="1" s="1"/>
  <c r="BF111" i="3"/>
  <c r="BV116" i="1" s="1"/>
  <c r="BF221" i="3"/>
  <c r="BV226" i="1" s="1"/>
  <c r="BF167" i="3"/>
  <c r="BV172" i="1" s="1"/>
  <c r="BF98" i="3"/>
  <c r="BV103" i="1" s="1"/>
  <c r="BF59" i="3"/>
  <c r="BV64" i="1" s="1"/>
  <c r="BF20" i="3"/>
  <c r="BV24" i="1" s="1"/>
  <c r="BF61" i="3"/>
  <c r="BV66" i="1" s="1"/>
  <c r="BF110" i="3"/>
  <c r="BV115" i="1" s="1"/>
  <c r="BF232" i="3"/>
  <c r="BV237" i="1" s="1"/>
  <c r="BF214" i="3"/>
  <c r="BV219" i="1" s="1"/>
  <c r="BF168" i="3"/>
  <c r="BV173" i="1" s="1"/>
  <c r="BF272" i="3"/>
  <c r="BV277" i="1" s="1"/>
  <c r="BF156" i="3"/>
  <c r="BV161" i="1" s="1"/>
  <c r="BF161" i="3"/>
  <c r="BV166" i="1" s="1"/>
  <c r="BF67" i="3"/>
  <c r="BV72" i="1" s="1"/>
  <c r="BF198" i="3"/>
  <c r="BV203" i="1" s="1"/>
  <c r="BF133" i="3"/>
  <c r="BV138" i="1" s="1"/>
  <c r="BF91" i="3"/>
  <c r="BV96" i="1" s="1"/>
  <c r="BF86" i="3"/>
  <c r="BV91" i="1" s="1"/>
  <c r="BF52" i="3"/>
  <c r="BV57" i="1" s="1"/>
  <c r="BF240" i="3"/>
  <c r="BV245" i="1" s="1"/>
  <c r="BF248" i="3"/>
  <c r="BV253" i="1" s="1"/>
  <c r="BF164" i="3"/>
  <c r="BV169" i="1" s="1"/>
  <c r="BF175" i="3"/>
  <c r="BV180" i="1" s="1"/>
  <c r="BF245" i="3"/>
  <c r="BV250" i="1" s="1"/>
  <c r="BF75" i="3"/>
  <c r="BV80" i="1" s="1"/>
  <c r="BF210" i="3"/>
  <c r="BV215" i="1" s="1"/>
  <c r="BF55" i="3"/>
  <c r="BV60" i="1" s="1"/>
  <c r="BF76" i="3"/>
  <c r="BV81" i="1" s="1"/>
  <c r="BF24" i="3"/>
  <c r="BV28" i="1" s="1"/>
  <c r="BF30" i="3"/>
  <c r="BV35" i="1" s="1"/>
  <c r="BF53" i="3"/>
  <c r="BV58" i="1" s="1"/>
  <c r="BF228" i="3"/>
  <c r="BV233" i="1" s="1"/>
  <c r="BF159" i="3"/>
  <c r="BV164" i="1" s="1"/>
  <c r="BF218" i="3"/>
  <c r="BV223" i="1" s="1"/>
  <c r="BF106" i="3"/>
  <c r="BV111" i="1" s="1"/>
  <c r="BF183" i="3"/>
  <c r="BV188" i="1" s="1"/>
  <c r="BF163" i="3"/>
  <c r="BV168" i="1" s="1"/>
  <c r="BF155" i="3"/>
  <c r="BV160" i="1" s="1"/>
  <c r="BF143" i="3"/>
  <c r="BV148" i="1" s="1"/>
  <c r="BF108" i="3"/>
  <c r="BV113" i="1" s="1"/>
  <c r="BF125" i="3"/>
  <c r="BV130" i="1" s="1"/>
  <c r="BF216" i="3"/>
  <c r="BV221" i="1" s="1"/>
  <c r="BF147" i="3"/>
  <c r="BV152" i="1" s="1"/>
  <c r="BF215" i="3"/>
  <c r="BV220" i="1" s="1"/>
  <c r="BF82" i="3"/>
  <c r="BV87" i="1" s="1"/>
  <c r="BF127" i="3"/>
  <c r="BV132" i="1" s="1"/>
  <c r="BF89" i="3"/>
  <c r="BV94" i="1" s="1"/>
  <c r="BF109" i="3"/>
  <c r="BV114" i="1" s="1"/>
  <c r="BF270" i="3"/>
  <c r="BV275" i="1" s="1"/>
  <c r="BF38" i="3"/>
  <c r="BV43" i="1" s="1"/>
  <c r="BF36" i="3"/>
  <c r="BV41" i="1" s="1"/>
  <c r="BF268" i="3"/>
  <c r="BV273" i="1" s="1"/>
  <c r="BF181" i="3"/>
  <c r="BV186" i="1" s="1"/>
  <c r="BF195" i="3"/>
  <c r="BV200" i="1" s="1"/>
  <c r="BF95" i="3"/>
  <c r="BV100" i="1" s="1"/>
  <c r="BF134" i="3"/>
  <c r="BV139" i="1" s="1"/>
  <c r="BF81" i="3"/>
  <c r="BV86" i="1" s="1"/>
  <c r="BF162" i="3"/>
  <c r="BV167" i="1" s="1"/>
  <c r="BF165" i="3"/>
  <c r="BV170" i="1" s="1"/>
  <c r="BF21" i="3"/>
  <c r="BV25" i="1" s="1"/>
  <c r="BF103" i="3"/>
  <c r="BV108" i="1" s="1"/>
  <c r="BF145" i="3"/>
  <c r="BV150" i="1" s="1"/>
  <c r="BF226" i="3"/>
  <c r="BV231" i="1" s="1"/>
  <c r="BF246" i="3"/>
  <c r="BV251" i="1" s="1"/>
  <c r="BF152" i="3"/>
  <c r="BV157" i="1" s="1"/>
  <c r="BF120" i="3"/>
  <c r="BV125" i="1" s="1"/>
  <c r="BF124" i="3"/>
  <c r="BV129" i="1" s="1"/>
  <c r="BF154" i="3"/>
  <c r="BV159" i="1" s="1"/>
  <c r="BF29" i="3"/>
  <c r="BV34" i="1" s="1"/>
  <c r="BF172" i="3"/>
  <c r="BV177" i="1" s="1"/>
  <c r="BF233" i="3"/>
  <c r="BV238" i="1" s="1"/>
  <c r="BF225" i="3"/>
  <c r="BV230" i="1" s="1"/>
  <c r="BF102" i="3"/>
  <c r="BV107" i="1" s="1"/>
  <c r="BF97" i="3"/>
  <c r="BV102" i="1" s="1"/>
  <c r="BF37" i="3"/>
  <c r="BV42" i="1" s="1"/>
  <c r="BF191" i="3"/>
  <c r="BV196" i="1" s="1"/>
  <c r="BF197" i="3"/>
  <c r="BV202" i="1" s="1"/>
  <c r="BF132" i="3"/>
  <c r="BV137" i="1" s="1"/>
  <c r="BF249" i="3"/>
  <c r="BV254" i="1" s="1"/>
  <c r="BF128" i="3"/>
  <c r="BV133" i="1" s="1"/>
  <c r="BF31" i="3"/>
  <c r="BV36" i="1" s="1"/>
  <c r="BF90" i="3"/>
  <c r="BV95" i="1" s="1"/>
  <c r="BF201" i="3"/>
  <c r="BV206" i="1" s="1"/>
  <c r="BF257" i="3"/>
  <c r="BV262" i="1" s="1"/>
  <c r="BF251" i="3"/>
  <c r="BV256" i="1" s="1"/>
  <c r="BF231" i="3"/>
  <c r="BV236" i="1" s="1"/>
  <c r="BF88" i="3"/>
  <c r="BV93" i="1" s="1"/>
  <c r="BF100" i="3"/>
  <c r="BV105" i="1" s="1"/>
  <c r="BF65" i="3"/>
  <c r="BV70" i="1" s="1"/>
  <c r="BF40" i="3"/>
  <c r="BV45" i="1" s="1"/>
  <c r="BF241" i="3"/>
  <c r="BV246" i="1" s="1"/>
  <c r="BF174" i="3"/>
  <c r="BV179" i="1" s="1"/>
  <c r="BF185" i="3"/>
  <c r="BV190" i="1" s="1"/>
  <c r="BF153" i="3"/>
  <c r="BV158" i="1" s="1"/>
  <c r="BF62" i="3"/>
  <c r="BV67" i="1" s="1"/>
  <c r="BF158" i="3"/>
  <c r="BV163" i="1" s="1"/>
  <c r="BF15" i="3"/>
  <c r="BF69" i="3"/>
  <c r="BV74" i="1" s="1"/>
  <c r="BF254" i="3"/>
  <c r="BV259" i="1" s="1"/>
  <c r="BF116" i="3"/>
  <c r="BV121" i="1" s="1"/>
  <c r="BF105" i="3"/>
  <c r="BV110" i="1" s="1"/>
  <c r="BF27" i="3"/>
  <c r="BV31" i="1" s="1"/>
  <c r="BF247" i="3"/>
  <c r="BV252" i="1" s="1"/>
  <c r="BF135" i="3"/>
  <c r="BV140" i="1" s="1"/>
  <c r="BF113" i="3"/>
  <c r="BV118" i="1" s="1"/>
  <c r="BF68" i="3"/>
  <c r="BV73" i="1" s="1"/>
  <c r="BF217" i="3"/>
  <c r="BV222" i="1" s="1"/>
  <c r="BF260" i="3"/>
  <c r="BV265" i="1" s="1"/>
  <c r="BF243" i="3"/>
  <c r="BV248" i="1" s="1"/>
  <c r="BF74" i="3"/>
  <c r="BV79" i="1" s="1"/>
  <c r="BF138" i="3"/>
  <c r="BV143" i="1" s="1"/>
  <c r="BF190" i="3"/>
  <c r="BV195" i="1" s="1"/>
  <c r="BF236" i="3"/>
  <c r="BV241" i="1" s="1"/>
  <c r="BF14" i="3"/>
  <c r="BF204" i="3"/>
  <c r="BV209" i="1" s="1"/>
  <c r="BF160" i="3"/>
  <c r="BV165" i="1" s="1"/>
  <c r="BF84" i="3"/>
  <c r="BV89" i="1" s="1"/>
  <c r="BF34" i="3"/>
  <c r="BV39" i="1" s="1"/>
  <c r="BF255" i="3"/>
  <c r="BV260" i="1" s="1"/>
  <c r="BF250" i="3"/>
  <c r="BV255" i="1" s="1"/>
  <c r="BF142" i="3"/>
  <c r="BV147" i="1" s="1"/>
  <c r="BF64" i="3"/>
  <c r="BV69" i="1" s="1"/>
  <c r="BF51" i="3"/>
  <c r="BV56" i="1" s="1"/>
  <c r="BF80" i="3"/>
  <c r="BV85" i="1" s="1"/>
  <c r="BF122" i="3"/>
  <c r="BV127" i="1" s="1"/>
  <c r="BF242" i="3"/>
  <c r="BV247" i="1" s="1"/>
  <c r="BF139" i="3"/>
  <c r="BV144" i="1" s="1"/>
  <c r="BF17" i="3"/>
  <c r="BF186" i="3"/>
  <c r="BV191" i="1" s="1"/>
  <c r="BF121" i="3"/>
  <c r="BV126" i="1" s="1"/>
  <c r="BF16" i="3"/>
  <c r="BF176" i="3"/>
  <c r="BV181" i="1" s="1"/>
  <c r="BF229" i="3"/>
  <c r="BV234" i="1" s="1"/>
  <c r="BF149" i="3"/>
  <c r="BV154" i="1" s="1"/>
  <c r="BF234" i="3"/>
  <c r="BV239" i="1" s="1"/>
  <c r="BF71" i="3"/>
  <c r="BV76" i="1" s="1"/>
  <c r="BF169" i="3"/>
  <c r="BV174" i="1" s="1"/>
  <c r="BF188" i="3"/>
  <c r="BV193" i="1" s="1"/>
  <c r="BF25" i="3"/>
  <c r="BV29" i="1" s="1"/>
  <c r="BF83" i="3"/>
  <c r="BV88" i="1" s="1"/>
  <c r="BF85" i="3"/>
  <c r="BV90" i="1" s="1"/>
  <c r="BF266" i="3"/>
  <c r="BV271" i="1" s="1"/>
  <c r="BF32" i="3"/>
  <c r="BV37" i="1" s="1"/>
  <c r="BF140" i="3"/>
  <c r="BV145" i="1" s="1"/>
  <c r="BF207" i="3"/>
  <c r="BV212" i="1" s="1"/>
  <c r="BF63" i="3"/>
  <c r="BV68" i="1" s="1"/>
  <c r="BF258" i="3"/>
  <c r="BV263" i="1" s="1"/>
  <c r="BF267" i="3"/>
  <c r="BV272" i="1" s="1"/>
  <c r="BF224" i="3"/>
  <c r="BV229" i="1" s="1"/>
  <c r="BF208" i="3"/>
  <c r="BV213" i="1" s="1"/>
  <c r="BF219" i="3"/>
  <c r="BV224" i="1" s="1"/>
  <c r="BF196" i="3"/>
  <c r="BV201" i="1" s="1"/>
  <c r="AV25" i="1"/>
  <c r="AP25" i="1" s="1" a="1"/>
  <c r="AT25" i="1"/>
  <c r="AS25" i="1"/>
  <c r="AU25" i="1"/>
  <c r="AO25" i="1" s="1" a="1"/>
  <c r="AK25" i="1"/>
  <c r="AE25" i="1" s="1" a="1"/>
  <c r="AJ25" i="1"/>
  <c r="AD25" i="1" s="1" a="1"/>
  <c r="AI25" i="1"/>
  <c r="AH25" i="1"/>
  <c r="Y25" i="1"/>
  <c r="S25" i="1" s="1" a="1"/>
  <c r="X25" i="1"/>
  <c r="W25" i="1"/>
  <c r="Z25" i="1"/>
  <c r="T25" i="1" s="1" a="1"/>
  <c r="L25" i="1"/>
  <c r="O25" i="1"/>
  <c r="I25" i="1" s="1" a="1"/>
  <c r="N25" i="1"/>
  <c r="M25" i="1"/>
  <c r="H25" i="1" a="1"/>
  <c r="T25" i="1" l="1"/>
  <c r="AD25" i="1"/>
  <c r="AO25" i="1"/>
  <c r="H25" i="1"/>
  <c r="S25" i="1"/>
  <c r="I25" i="1"/>
  <c r="AE25" i="1"/>
  <c r="AP25" i="1"/>
  <c r="BV33" i="1"/>
  <c r="BA25" i="1"/>
  <c r="AA11" i="3" s="1"/>
  <c r="BB25" i="1"/>
  <c r="AP11" i="3" s="1"/>
  <c r="AP10" i="3" l="1"/>
  <c r="AA10" i="3"/>
  <c r="BE197" i="3" l="1"/>
  <c r="BU202" i="1" s="1"/>
  <c r="BE205" i="3"/>
  <c r="BU210" i="1" s="1"/>
  <c r="BE252" i="3"/>
  <c r="BU257" i="1" s="1"/>
  <c r="BE222" i="3"/>
  <c r="BU227" i="1" s="1"/>
  <c r="BE196" i="3"/>
  <c r="BU201" i="1" s="1"/>
  <c r="BE207" i="3"/>
  <c r="BU212" i="1" s="1"/>
  <c r="BE179" i="3"/>
  <c r="BU184" i="1" s="1"/>
  <c r="BE243" i="3"/>
  <c r="BU248" i="1" s="1"/>
  <c r="BE215" i="3"/>
  <c r="BU220" i="1" s="1"/>
  <c r="BE122" i="3"/>
  <c r="BU127" i="1" s="1"/>
  <c r="BE76" i="3"/>
  <c r="BU81" i="1" s="1"/>
  <c r="BE255" i="3"/>
  <c r="BU260" i="1" s="1"/>
  <c r="BE115" i="3"/>
  <c r="BU120" i="1" s="1"/>
  <c r="BE227" i="3"/>
  <c r="BU232" i="1" s="1"/>
  <c r="BE56" i="3"/>
  <c r="BU61" i="1" s="1"/>
  <c r="BE77" i="3"/>
  <c r="BU82" i="1" s="1"/>
  <c r="BE74" i="3"/>
  <c r="BU79" i="1" s="1"/>
  <c r="BE37" i="3"/>
  <c r="BU42" i="1" s="1"/>
  <c r="BE19" i="3"/>
  <c r="BU23" i="1" s="1"/>
  <c r="BE79" i="3"/>
  <c r="BU84" i="1" s="1"/>
  <c r="BE75" i="3"/>
  <c r="BU80" i="1" s="1"/>
  <c r="BE48" i="3"/>
  <c r="BU53" i="1" s="1"/>
  <c r="BE269" i="3"/>
  <c r="BU274" i="1" s="1"/>
  <c r="BE206" i="3"/>
  <c r="BU211" i="1" s="1"/>
  <c r="BE220" i="3"/>
  <c r="BU225" i="1" s="1"/>
  <c r="BE194" i="3"/>
  <c r="BU199" i="1" s="1"/>
  <c r="BE235" i="3"/>
  <c r="BU240" i="1" s="1"/>
  <c r="BE225" i="3"/>
  <c r="BU230" i="1" s="1"/>
  <c r="BE249" i="3"/>
  <c r="BU254" i="1" s="1"/>
  <c r="BE132" i="3"/>
  <c r="BU137" i="1" s="1"/>
  <c r="BE84" i="3"/>
  <c r="BU89" i="1" s="1"/>
  <c r="BE231" i="3"/>
  <c r="BU236" i="1" s="1"/>
  <c r="BE144" i="3"/>
  <c r="BU149" i="1" s="1"/>
  <c r="BE125" i="3"/>
  <c r="BU130" i="1" s="1"/>
  <c r="BE111" i="3"/>
  <c r="BU116" i="1" s="1"/>
  <c r="BE213" i="3"/>
  <c r="BU218" i="1" s="1"/>
  <c r="BE91" i="3"/>
  <c r="BU96" i="1" s="1"/>
  <c r="BE189" i="3"/>
  <c r="BU194" i="1" s="1"/>
  <c r="BE78" i="3"/>
  <c r="BU83" i="1" s="1"/>
  <c r="BE43" i="3"/>
  <c r="BU48" i="1" s="1"/>
  <c r="BE65" i="3"/>
  <c r="BU70" i="1" s="1"/>
  <c r="BE13" i="3"/>
  <c r="BE40" i="3"/>
  <c r="BU45" i="1" s="1"/>
  <c r="BE34" i="3"/>
  <c r="BU39" i="1" s="1"/>
  <c r="BE245" i="3"/>
  <c r="BU250" i="1" s="1"/>
  <c r="BE229" i="3"/>
  <c r="BU234" i="1" s="1"/>
  <c r="BE240" i="3"/>
  <c r="BU245" i="1" s="1"/>
  <c r="BE271" i="3"/>
  <c r="BU276" i="1" s="1"/>
  <c r="BE239" i="3"/>
  <c r="BU244" i="1" s="1"/>
  <c r="BE212" i="3"/>
  <c r="BU217" i="1" s="1"/>
  <c r="BE224" i="3"/>
  <c r="BU229" i="1" s="1"/>
  <c r="BE199" i="3"/>
  <c r="BU204" i="1" s="1"/>
  <c r="BE162" i="3"/>
  <c r="BU167" i="1" s="1"/>
  <c r="BE143" i="3"/>
  <c r="BU148" i="1" s="1"/>
  <c r="BE99" i="3"/>
  <c r="BU104" i="1" s="1"/>
  <c r="BE109" i="3"/>
  <c r="BU114" i="1" s="1"/>
  <c r="BE44" i="3"/>
  <c r="BU49" i="1" s="1"/>
  <c r="BE85" i="3"/>
  <c r="BU90" i="1" s="1"/>
  <c r="BE53" i="3"/>
  <c r="BU58" i="1" s="1"/>
  <c r="BE26" i="3"/>
  <c r="BU30" i="1" s="1"/>
  <c r="BE55" i="3"/>
  <c r="BU60" i="1" s="1"/>
  <c r="BE41" i="3"/>
  <c r="BU46" i="1" s="1"/>
  <c r="BE39" i="3"/>
  <c r="BU44" i="1" s="1"/>
  <c r="BE254" i="3"/>
  <c r="BU259" i="1" s="1"/>
  <c r="BE244" i="3"/>
  <c r="BU249" i="1" s="1"/>
  <c r="BE182" i="3"/>
  <c r="BU187" i="1" s="1"/>
  <c r="BE198" i="3"/>
  <c r="BU203" i="1" s="1"/>
  <c r="BE237" i="3"/>
  <c r="BU242" i="1" s="1"/>
  <c r="BE133" i="3"/>
  <c r="BU138" i="1" s="1"/>
  <c r="BE108" i="3"/>
  <c r="BU113" i="1" s="1"/>
  <c r="BE202" i="3"/>
  <c r="BU207" i="1" s="1"/>
  <c r="BE112" i="3"/>
  <c r="BU117" i="1" s="1"/>
  <c r="BE68" i="3"/>
  <c r="BU73" i="1" s="1"/>
  <c r="BE152" i="3"/>
  <c r="BU157" i="1" s="1"/>
  <c r="BE104" i="3"/>
  <c r="BU109" i="1" s="1"/>
  <c r="BE141" i="3"/>
  <c r="BU146" i="1" s="1"/>
  <c r="BE24" i="3"/>
  <c r="BU28" i="1" s="1"/>
  <c r="BE49" i="3"/>
  <c r="BU54" i="1" s="1"/>
  <c r="BE17" i="3"/>
  <c r="BE146" i="3"/>
  <c r="BU151" i="1" s="1"/>
  <c r="BE119" i="3"/>
  <c r="BU124" i="1" s="1"/>
  <c r="BE253" i="3"/>
  <c r="BU258" i="1" s="1"/>
  <c r="BE228" i="3"/>
  <c r="BU233" i="1" s="1"/>
  <c r="BE223" i="3"/>
  <c r="BU228" i="1" s="1"/>
  <c r="BE200" i="3"/>
  <c r="BU205" i="1" s="1"/>
  <c r="BE174" i="3"/>
  <c r="BU179" i="1" s="1"/>
  <c r="BE95" i="3"/>
  <c r="BU100" i="1" s="1"/>
  <c r="BE154" i="3"/>
  <c r="BU159" i="1" s="1"/>
  <c r="BE92" i="3"/>
  <c r="BU97" i="1" s="1"/>
  <c r="BE63" i="3"/>
  <c r="BU68" i="1" s="1"/>
  <c r="BE60" i="3"/>
  <c r="BU65" i="1" s="1"/>
  <c r="BE97" i="3"/>
  <c r="BU102" i="1" s="1"/>
  <c r="BE36" i="3"/>
  <c r="BU41" i="1" s="1"/>
  <c r="BE20" i="3"/>
  <c r="BU24" i="1" s="1"/>
  <c r="BE46" i="3"/>
  <c r="BU51" i="1" s="1"/>
  <c r="BE101" i="3"/>
  <c r="BU106" i="1" s="1"/>
  <c r="BE241" i="3"/>
  <c r="BU246" i="1" s="1"/>
  <c r="BE216" i="3"/>
  <c r="BU221" i="1" s="1"/>
  <c r="BE211" i="3"/>
  <c r="BU216" i="1" s="1"/>
  <c r="BE176" i="3"/>
  <c r="BU181" i="1" s="1"/>
  <c r="BE120" i="3"/>
  <c r="BU125" i="1" s="1"/>
  <c r="BE83" i="3"/>
  <c r="BU88" i="1" s="1"/>
  <c r="BE150" i="3"/>
  <c r="BU155" i="1" s="1"/>
  <c r="BE80" i="3"/>
  <c r="BU85" i="1" s="1"/>
  <c r="BE158" i="3"/>
  <c r="BU163" i="1" s="1"/>
  <c r="BE59" i="3"/>
  <c r="BU64" i="1" s="1"/>
  <c r="BE90" i="3"/>
  <c r="BU95" i="1" s="1"/>
  <c r="BE214" i="3"/>
  <c r="BU219" i="1" s="1"/>
  <c r="BE18" i="3"/>
  <c r="BE106" i="3"/>
  <c r="BU111" i="1" s="1"/>
  <c r="BE62" i="3"/>
  <c r="BU67" i="1" s="1"/>
  <c r="BE221" i="3"/>
  <c r="BU226" i="1" s="1"/>
  <c r="BE256" i="3"/>
  <c r="BU261" i="1" s="1"/>
  <c r="BE258" i="3"/>
  <c r="BU263" i="1" s="1"/>
  <c r="BE148" i="3"/>
  <c r="BU153" i="1" s="1"/>
  <c r="BE219" i="3"/>
  <c r="BU224" i="1" s="1"/>
  <c r="BE236" i="3"/>
  <c r="BU241" i="1" s="1"/>
  <c r="BE238" i="3"/>
  <c r="BU243" i="1" s="1"/>
  <c r="BE88" i="3"/>
  <c r="BU93" i="1" s="1"/>
  <c r="BE159" i="3"/>
  <c r="BU164" i="1" s="1"/>
  <c r="BE113" i="3"/>
  <c r="BU118" i="1" s="1"/>
  <c r="BE156" i="3"/>
  <c r="BU161" i="1" s="1"/>
  <c r="BE89" i="3"/>
  <c r="BU94" i="1" s="1"/>
  <c r="BE22" i="3"/>
  <c r="BU26" i="1" s="1"/>
  <c r="BE70" i="3"/>
  <c r="BU75" i="1" s="1"/>
  <c r="BE29" i="3"/>
  <c r="BU34" i="1" s="1"/>
  <c r="BE266" i="3"/>
  <c r="BU271" i="1" s="1"/>
  <c r="BE173" i="3"/>
  <c r="BU178" i="1" s="1"/>
  <c r="BE250" i="3"/>
  <c r="BU255" i="1" s="1"/>
  <c r="BE273" i="3"/>
  <c r="BU278" i="1" s="1"/>
  <c r="BE147" i="3"/>
  <c r="BU152" i="1" s="1"/>
  <c r="BE126" i="3"/>
  <c r="BU131" i="1" s="1"/>
  <c r="BE103" i="3"/>
  <c r="BU108" i="1" s="1"/>
  <c r="BE94" i="3"/>
  <c r="BU99" i="1" s="1"/>
  <c r="BE139" i="3"/>
  <c r="BU144" i="1" s="1"/>
  <c r="BE38" i="3"/>
  <c r="BU43" i="1" s="1"/>
  <c r="BE31" i="3"/>
  <c r="BU36" i="1" s="1"/>
  <c r="BE42" i="3"/>
  <c r="BU47" i="1" s="1"/>
  <c r="BE217" i="3"/>
  <c r="BU222" i="1" s="1"/>
  <c r="BE246" i="3"/>
  <c r="BU251" i="1" s="1"/>
  <c r="BE169" i="3"/>
  <c r="BU174" i="1" s="1"/>
  <c r="BE201" i="3"/>
  <c r="BU206" i="1" s="1"/>
  <c r="BE187" i="3"/>
  <c r="BU192" i="1" s="1"/>
  <c r="BE145" i="3"/>
  <c r="BU150" i="1" s="1"/>
  <c r="BE136" i="3"/>
  <c r="BU141" i="1" s="1"/>
  <c r="BE102" i="3"/>
  <c r="BU107" i="1" s="1"/>
  <c r="BE67" i="3"/>
  <c r="BU72" i="1" s="1"/>
  <c r="BE16" i="3"/>
  <c r="BE81" i="3"/>
  <c r="BU86" i="1" s="1"/>
  <c r="BE210" i="3"/>
  <c r="BU215" i="1" s="1"/>
  <c r="BE251" i="3"/>
  <c r="BU256" i="1" s="1"/>
  <c r="BE164" i="3"/>
  <c r="BU169" i="1" s="1"/>
  <c r="BE98" i="3"/>
  <c r="BU103" i="1" s="1"/>
  <c r="BE127" i="3"/>
  <c r="BU132" i="1" s="1"/>
  <c r="BE123" i="3"/>
  <c r="BU128" i="1" s="1"/>
  <c r="BE87" i="3"/>
  <c r="BU92" i="1" s="1"/>
  <c r="BE33" i="3"/>
  <c r="BU38" i="1" s="1"/>
  <c r="BE193" i="3"/>
  <c r="BU198" i="1" s="1"/>
  <c r="BE234" i="3"/>
  <c r="BU239" i="1" s="1"/>
  <c r="BE272" i="3"/>
  <c r="BU277" i="1" s="1"/>
  <c r="BE188" i="3"/>
  <c r="BU193" i="1" s="1"/>
  <c r="BE184" i="3"/>
  <c r="BU189" i="1" s="1"/>
  <c r="BE110" i="3"/>
  <c r="BU115" i="1" s="1"/>
  <c r="BE129" i="3"/>
  <c r="BU134" i="1" s="1"/>
  <c r="BE86" i="3"/>
  <c r="BU91" i="1" s="1"/>
  <c r="BE93" i="3"/>
  <c r="BU98" i="1" s="1"/>
  <c r="BE15" i="3"/>
  <c r="BE52" i="3"/>
  <c r="BU57" i="1" s="1"/>
  <c r="BE268" i="3"/>
  <c r="BU273" i="1" s="1"/>
  <c r="BE142" i="3"/>
  <c r="BU147" i="1" s="1"/>
  <c r="BE14" i="3"/>
  <c r="BE233" i="3"/>
  <c r="BU238" i="1" s="1"/>
  <c r="BE192" i="3"/>
  <c r="BU197" i="1" s="1"/>
  <c r="BE247" i="3"/>
  <c r="BU252" i="1" s="1"/>
  <c r="BE263" i="3"/>
  <c r="BU268" i="1" s="1"/>
  <c r="BE96" i="3"/>
  <c r="BU101" i="1" s="1"/>
  <c r="BE168" i="3"/>
  <c r="BU173" i="1" s="1"/>
  <c r="BE161" i="3"/>
  <c r="BU166" i="1" s="1"/>
  <c r="BE157" i="3"/>
  <c r="BU162" i="1" s="1"/>
  <c r="BE155" i="3"/>
  <c r="BU160" i="1" s="1"/>
  <c r="BE23" i="3"/>
  <c r="BU27" i="1" s="1"/>
  <c r="BE82" i="3"/>
  <c r="BU87" i="1" s="1"/>
  <c r="BE30" i="3"/>
  <c r="BU35" i="1" s="1"/>
  <c r="BE209" i="3"/>
  <c r="BU214" i="1" s="1"/>
  <c r="BE185" i="3"/>
  <c r="BU190" i="1" s="1"/>
  <c r="BE178" i="3"/>
  <c r="BU183" i="1" s="1"/>
  <c r="BE165" i="3"/>
  <c r="BU170" i="1" s="1"/>
  <c r="BE171" i="3"/>
  <c r="BU176" i="1" s="1"/>
  <c r="BE138" i="3"/>
  <c r="BU143" i="1" s="1"/>
  <c r="BE135" i="3"/>
  <c r="BU140" i="1" s="1"/>
  <c r="BE149" i="3"/>
  <c r="BU154" i="1" s="1"/>
  <c r="BE69" i="3"/>
  <c r="BU74" i="1" s="1"/>
  <c r="BE50" i="3"/>
  <c r="BU55" i="1" s="1"/>
  <c r="BE51" i="3"/>
  <c r="BU56" i="1" s="1"/>
  <c r="BE45" i="3"/>
  <c r="BU50" i="1" s="1"/>
  <c r="BE248" i="3"/>
  <c r="BU253" i="1" s="1"/>
  <c r="BE232" i="3"/>
  <c r="BU237" i="1" s="1"/>
  <c r="BE175" i="3"/>
  <c r="BU180" i="1" s="1"/>
  <c r="BE134" i="3"/>
  <c r="BU139" i="1" s="1"/>
  <c r="BE262" i="3"/>
  <c r="BU267" i="1" s="1"/>
  <c r="BE131" i="3"/>
  <c r="BU136" i="1" s="1"/>
  <c r="BE35" i="3"/>
  <c r="BU40" i="1" s="1"/>
  <c r="BE261" i="3"/>
  <c r="BU266" i="1" s="1"/>
  <c r="BE25" i="3"/>
  <c r="BU29" i="1" s="1"/>
  <c r="BE151" i="3"/>
  <c r="BU156" i="1" s="1"/>
  <c r="BE260" i="3"/>
  <c r="BU265" i="1" s="1"/>
  <c r="BE170" i="3"/>
  <c r="BU175" i="1" s="1"/>
  <c r="BE208" i="3"/>
  <c r="BU213" i="1" s="1"/>
  <c r="BE167" i="3"/>
  <c r="BU172" i="1" s="1"/>
  <c r="BE116" i="3"/>
  <c r="BU121" i="1" s="1"/>
  <c r="BE191" i="3"/>
  <c r="BU196" i="1" s="1"/>
  <c r="BE124" i="3"/>
  <c r="BU129" i="1" s="1"/>
  <c r="BE73" i="3"/>
  <c r="BU78" i="1" s="1"/>
  <c r="BE204" i="3"/>
  <c r="BU209" i="1" s="1"/>
  <c r="BE166" i="3"/>
  <c r="BU171" i="1" s="1"/>
  <c r="BE183" i="3"/>
  <c r="BU188" i="1" s="1"/>
  <c r="BE54" i="3"/>
  <c r="BU59" i="1" s="1"/>
  <c r="BE172" i="3"/>
  <c r="BU177" i="1" s="1"/>
  <c r="BE270" i="3"/>
  <c r="BU275" i="1" s="1"/>
  <c r="BE32" i="3"/>
  <c r="BU37" i="1" s="1"/>
  <c r="BE267" i="3"/>
  <c r="BU272" i="1" s="1"/>
  <c r="BE64" i="3"/>
  <c r="BU69" i="1" s="1"/>
  <c r="BE114" i="3"/>
  <c r="BU119" i="1" s="1"/>
  <c r="BE71" i="3"/>
  <c r="BU76" i="1" s="1"/>
  <c r="BE264" i="3"/>
  <c r="BU269" i="1" s="1"/>
  <c r="BE181" i="3"/>
  <c r="BU186" i="1" s="1"/>
  <c r="BE100" i="3"/>
  <c r="BU105" i="1" s="1"/>
  <c r="BE61" i="3"/>
  <c r="BU66" i="1" s="1"/>
  <c r="BE72" i="3"/>
  <c r="BU77" i="1" s="1"/>
  <c r="BE58" i="3"/>
  <c r="BU63" i="1" s="1"/>
  <c r="BE195" i="3"/>
  <c r="BU200" i="1" s="1"/>
  <c r="BE57" i="3"/>
  <c r="BU62" i="1" s="1"/>
  <c r="BE177" i="3"/>
  <c r="BU182" i="1" s="1"/>
  <c r="BE21" i="3"/>
  <c r="BU25" i="1" s="1"/>
  <c r="BE128" i="3"/>
  <c r="BU133" i="1" s="1"/>
  <c r="BE117" i="3"/>
  <c r="BU122" i="1" s="1"/>
  <c r="BE27" i="3"/>
  <c r="BU31" i="1" s="1"/>
  <c r="BE105" i="3"/>
  <c r="BU110" i="1" s="1"/>
  <c r="BE180" i="3"/>
  <c r="BU185" i="1" s="1"/>
  <c r="BE203" i="3"/>
  <c r="BU208" i="1" s="1"/>
  <c r="BE226" i="3"/>
  <c r="BU231" i="1" s="1"/>
  <c r="BE137" i="3"/>
  <c r="BU142" i="1" s="1"/>
  <c r="BE28" i="3"/>
  <c r="BU32" i="1" s="1"/>
  <c r="BE257" i="3"/>
  <c r="BU262" i="1" s="1"/>
  <c r="BE259" i="3"/>
  <c r="BU264" i="1" s="1"/>
  <c r="BE140" i="3"/>
  <c r="BU145" i="1" s="1"/>
  <c r="BE186" i="3"/>
  <c r="BU191" i="1" s="1"/>
  <c r="BE130" i="3"/>
  <c r="BU135" i="1" s="1"/>
  <c r="BE163" i="3"/>
  <c r="BU168" i="1" s="1"/>
  <c r="BE242" i="3"/>
  <c r="BU247" i="1" s="1"/>
  <c r="BE160" i="3"/>
  <c r="BU165" i="1" s="1"/>
  <c r="BE107" i="3"/>
  <c r="BU112" i="1" s="1"/>
  <c r="BE190" i="3"/>
  <c r="BU195" i="1" s="1"/>
  <c r="BE66" i="3"/>
  <c r="BU71" i="1" s="1"/>
  <c r="BE153" i="3"/>
  <c r="BU158" i="1" s="1"/>
  <c r="BE230" i="3"/>
  <c r="BU235" i="1" s="1"/>
  <c r="BE121" i="3"/>
  <c r="BU126" i="1" s="1"/>
  <c r="BE218" i="3"/>
  <c r="BU223" i="1" s="1"/>
  <c r="BE47" i="3"/>
  <c r="BU52" i="1" s="1"/>
  <c r="BE118" i="3"/>
  <c r="BU123" i="1" s="1"/>
  <c r="BE265" i="3"/>
  <c r="BU270" i="1" s="1"/>
  <c r="E24" i="1"/>
  <c r="BW23" i="1"/>
  <c r="BV23" i="1"/>
  <c r="BK23" i="1"/>
  <c r="BG23" i="1"/>
  <c r="AY23" i="1"/>
  <c r="BC11" i="3" s="1"/>
  <c r="Z8" i="3" l="1"/>
  <c r="AO8" i="3"/>
  <c r="BU33" i="1"/>
  <c r="AT24" i="1"/>
  <c r="AS24" i="1"/>
  <c r="AV24" i="1"/>
  <c r="AU24" i="1"/>
  <c r="AJ24" i="1"/>
  <c r="AD24" i="1" s="1" a="1"/>
  <c r="AK24" i="1"/>
  <c r="AI24" i="1"/>
  <c r="AH24" i="1"/>
  <c r="Z24" i="1"/>
  <c r="T24" i="1" s="1" a="1"/>
  <c r="Y24" i="1"/>
  <c r="S24" i="1" s="1" a="1"/>
  <c r="X24" i="1"/>
  <c r="W24" i="1"/>
  <c r="M24" i="1"/>
  <c r="L24" i="1"/>
  <c r="O24" i="1"/>
  <c r="N24" i="1"/>
  <c r="H24" i="1" s="1" a="1"/>
  <c r="AO24" i="1" a="1"/>
  <c r="AP24" i="1" a="1"/>
  <c r="AE24" i="1" a="1"/>
  <c r="I24" i="1" a="1"/>
  <c r="T24" i="1" l="1"/>
  <c r="AD24" i="1"/>
  <c r="AO24" i="1"/>
  <c r="H24" i="1"/>
  <c r="S24" i="1"/>
  <c r="I24" i="1"/>
  <c r="AE24" i="1"/>
  <c r="AP24" i="1"/>
  <c r="BA24" i="1"/>
  <c r="Z11" i="3" s="1"/>
  <c r="BB24" i="1"/>
  <c r="AO11" i="3" s="1"/>
  <c r="AO10" i="3" l="1"/>
  <c r="Z10" i="3"/>
  <c r="E23" i="1"/>
  <c r="BW22" i="1"/>
  <c r="BV22" i="1"/>
  <c r="BU22" i="1"/>
  <c r="BK22" i="1"/>
  <c r="BG22" i="1"/>
  <c r="AY22" i="1"/>
  <c r="BB11" i="3" s="1"/>
  <c r="Y8" i="3" l="1"/>
  <c r="AN8" i="3"/>
  <c r="BD234" i="3"/>
  <c r="BT239" i="1" s="1"/>
  <c r="BD242" i="3"/>
  <c r="BT247" i="1" s="1"/>
  <c r="BD191" i="3"/>
  <c r="BT196" i="1" s="1"/>
  <c r="BD221" i="3"/>
  <c r="BT226" i="1" s="1"/>
  <c r="BD187" i="3"/>
  <c r="BT192" i="1" s="1"/>
  <c r="BD197" i="3"/>
  <c r="BT202" i="1" s="1"/>
  <c r="BD134" i="3"/>
  <c r="BT139" i="1" s="1"/>
  <c r="BD157" i="3"/>
  <c r="BT162" i="1" s="1"/>
  <c r="BD97" i="3"/>
  <c r="BT102" i="1" s="1"/>
  <c r="BD84" i="3"/>
  <c r="BT89" i="1" s="1"/>
  <c r="BD252" i="3"/>
  <c r="BT257" i="1" s="1"/>
  <c r="BD147" i="3"/>
  <c r="BT152" i="1" s="1"/>
  <c r="BD200" i="3"/>
  <c r="BT205" i="1" s="1"/>
  <c r="BD184" i="3"/>
  <c r="BT189" i="1" s="1"/>
  <c r="BD217" i="3"/>
  <c r="BT222" i="1" s="1"/>
  <c r="BD238" i="3"/>
  <c r="BT243" i="1" s="1"/>
  <c r="BD53" i="3"/>
  <c r="BT58" i="1" s="1"/>
  <c r="BD139" i="3"/>
  <c r="BT144" i="1" s="1"/>
  <c r="BD60" i="3"/>
  <c r="BT65" i="1" s="1"/>
  <c r="BD68" i="3"/>
  <c r="BT73" i="1" s="1"/>
  <c r="BD17" i="3"/>
  <c r="BD26" i="3"/>
  <c r="BT30" i="1" s="1"/>
  <c r="BD255" i="3"/>
  <c r="BT260" i="1" s="1"/>
  <c r="BD273" i="3"/>
  <c r="BT278" i="1" s="1"/>
  <c r="BD263" i="3"/>
  <c r="BT268" i="1" s="1"/>
  <c r="BD196" i="3"/>
  <c r="BT201" i="1" s="1"/>
  <c r="BD216" i="3"/>
  <c r="BT221" i="1" s="1"/>
  <c r="BD214" i="3"/>
  <c r="BT219" i="1" s="1"/>
  <c r="BD133" i="3"/>
  <c r="BT138" i="1" s="1"/>
  <c r="BD152" i="3"/>
  <c r="BT157" i="1" s="1"/>
  <c r="BD250" i="3"/>
  <c r="BT255" i="1" s="1"/>
  <c r="BD167" i="3"/>
  <c r="BT172" i="1" s="1"/>
  <c r="BD158" i="3"/>
  <c r="BT163" i="1" s="1"/>
  <c r="BD107" i="3"/>
  <c r="BT112" i="1" s="1"/>
  <c r="BD95" i="3"/>
  <c r="BT100" i="1" s="1"/>
  <c r="BD136" i="3"/>
  <c r="BT141" i="1" s="1"/>
  <c r="BD144" i="3"/>
  <c r="BT149" i="1" s="1"/>
  <c r="BD90" i="3"/>
  <c r="BT95" i="1" s="1"/>
  <c r="BD48" i="3"/>
  <c r="BT53" i="1" s="1"/>
  <c r="BD25" i="3"/>
  <c r="BT29" i="1" s="1"/>
  <c r="BD54" i="3"/>
  <c r="BT59" i="1" s="1"/>
  <c r="BD30" i="3"/>
  <c r="BT35" i="1" s="1"/>
  <c r="BD114" i="3"/>
  <c r="BT119" i="1" s="1"/>
  <c r="BD67" i="3"/>
  <c r="BT72" i="1" s="1"/>
  <c r="BD266" i="3"/>
  <c r="BT271" i="1" s="1"/>
  <c r="BD190" i="3"/>
  <c r="BT195" i="1" s="1"/>
  <c r="BD203" i="3"/>
  <c r="BT208" i="1" s="1"/>
  <c r="BD173" i="3"/>
  <c r="BT178" i="1" s="1"/>
  <c r="BD177" i="3"/>
  <c r="BT182" i="1" s="1"/>
  <c r="BD163" i="3"/>
  <c r="BT168" i="1" s="1"/>
  <c r="BD85" i="3"/>
  <c r="BT90" i="1" s="1"/>
  <c r="BD210" i="3"/>
  <c r="BT215" i="1" s="1"/>
  <c r="BD194" i="3"/>
  <c r="BT199" i="1" s="1"/>
  <c r="BD251" i="3"/>
  <c r="BT256" i="1" s="1"/>
  <c r="BD241" i="3"/>
  <c r="BT246" i="1" s="1"/>
  <c r="BD202" i="3"/>
  <c r="BT207" i="1" s="1"/>
  <c r="BD223" i="3"/>
  <c r="BT228" i="1" s="1"/>
  <c r="BD153" i="3"/>
  <c r="BT158" i="1" s="1"/>
  <c r="BD175" i="3"/>
  <c r="BT180" i="1" s="1"/>
  <c r="BD119" i="3"/>
  <c r="BT124" i="1" s="1"/>
  <c r="BD77" i="3"/>
  <c r="BT82" i="1" s="1"/>
  <c r="BD128" i="3"/>
  <c r="BT133" i="1" s="1"/>
  <c r="BD176" i="3"/>
  <c r="BT181" i="1" s="1"/>
  <c r="BD92" i="3"/>
  <c r="BT97" i="1" s="1"/>
  <c r="BD82" i="3"/>
  <c r="BT87" i="1" s="1"/>
  <c r="BD38" i="3"/>
  <c r="BT43" i="1" s="1"/>
  <c r="BD36" i="3"/>
  <c r="BT41" i="1" s="1"/>
  <c r="BD55" i="3"/>
  <c r="BT60" i="1" s="1"/>
  <c r="BD21" i="3"/>
  <c r="BT25" i="1" s="1"/>
  <c r="BD198" i="3"/>
  <c r="BT203" i="1" s="1"/>
  <c r="BD245" i="3"/>
  <c r="BT250" i="1" s="1"/>
  <c r="BD236" i="3"/>
  <c r="BT241" i="1" s="1"/>
  <c r="BD185" i="3"/>
  <c r="BT190" i="1" s="1"/>
  <c r="BD151" i="3"/>
  <c r="BT156" i="1" s="1"/>
  <c r="BD140" i="3"/>
  <c r="BT145" i="1" s="1"/>
  <c r="BD118" i="3"/>
  <c r="BT123" i="1" s="1"/>
  <c r="BD86" i="3"/>
  <c r="BT91" i="1" s="1"/>
  <c r="BD112" i="3"/>
  <c r="BT117" i="1" s="1"/>
  <c r="BD80" i="3"/>
  <c r="BT85" i="1" s="1"/>
  <c r="BD70" i="3"/>
  <c r="BT75" i="1" s="1"/>
  <c r="BD78" i="3"/>
  <c r="BT83" i="1" s="1"/>
  <c r="BD142" i="3"/>
  <c r="BT147" i="1" s="1"/>
  <c r="BD62" i="3"/>
  <c r="BT67" i="1" s="1"/>
  <c r="BD249" i="3"/>
  <c r="BT254" i="1" s="1"/>
  <c r="BD193" i="3"/>
  <c r="BT198" i="1" s="1"/>
  <c r="BD168" i="3"/>
  <c r="BT173" i="1" s="1"/>
  <c r="BD170" i="3"/>
  <c r="BT175" i="1" s="1"/>
  <c r="BD146" i="3"/>
  <c r="BT151" i="1" s="1"/>
  <c r="BD106" i="3"/>
  <c r="BT111" i="1" s="1"/>
  <c r="BD115" i="3"/>
  <c r="BT120" i="1" s="1"/>
  <c r="BD110" i="3"/>
  <c r="BT115" i="1" s="1"/>
  <c r="BD65" i="3"/>
  <c r="BT70" i="1" s="1"/>
  <c r="BD100" i="3"/>
  <c r="BT105" i="1" s="1"/>
  <c r="BD261" i="3"/>
  <c r="BT266" i="1" s="1"/>
  <c r="BD211" i="3"/>
  <c r="BT216" i="1" s="1"/>
  <c r="BD126" i="3"/>
  <c r="BT131" i="1" s="1"/>
  <c r="BD29" i="3"/>
  <c r="BT33" i="1" s="1"/>
  <c r="BD267" i="3"/>
  <c r="BT272" i="1" s="1"/>
  <c r="BD132" i="3"/>
  <c r="BT137" i="1" s="1"/>
  <c r="BD105" i="3"/>
  <c r="BT110" i="1" s="1"/>
  <c r="BD239" i="3"/>
  <c r="BT244" i="1" s="1"/>
  <c r="BD74" i="3"/>
  <c r="BT79" i="1" s="1"/>
  <c r="BD219" i="3"/>
  <c r="BT224" i="1" s="1"/>
  <c r="BD213" i="3"/>
  <c r="BT218" i="1" s="1"/>
  <c r="BD215" i="3"/>
  <c r="BT220" i="1" s="1"/>
  <c r="BD262" i="3"/>
  <c r="BT267" i="1" s="1"/>
  <c r="BD192" i="3"/>
  <c r="BT197" i="1" s="1"/>
  <c r="BD248" i="3"/>
  <c r="BT253" i="1" s="1"/>
  <c r="BD129" i="3"/>
  <c r="BT134" i="1" s="1"/>
  <c r="BD72" i="3"/>
  <c r="BT77" i="1" s="1"/>
  <c r="BD117" i="3"/>
  <c r="BT122" i="1" s="1"/>
  <c r="BD94" i="3"/>
  <c r="BT99" i="1" s="1"/>
  <c r="BD247" i="3"/>
  <c r="BT252" i="1" s="1"/>
  <c r="BD45" i="3"/>
  <c r="BT50" i="1" s="1"/>
  <c r="BD229" i="3"/>
  <c r="BT234" i="1" s="1"/>
  <c r="BD50" i="3"/>
  <c r="BT55" i="1" s="1"/>
  <c r="BD13" i="3"/>
  <c r="BD24" i="3"/>
  <c r="BT28" i="1" s="1"/>
  <c r="BD31" i="3"/>
  <c r="BT36" i="1" s="1"/>
  <c r="BD34" i="3"/>
  <c r="BT39" i="1" s="1"/>
  <c r="BD207" i="3"/>
  <c r="BT212" i="1" s="1"/>
  <c r="BD201" i="3"/>
  <c r="BT206" i="1" s="1"/>
  <c r="BD209" i="3"/>
  <c r="BT214" i="1" s="1"/>
  <c r="BD232" i="3"/>
  <c r="BT237" i="1" s="1"/>
  <c r="BD189" i="3"/>
  <c r="BT194" i="1" s="1"/>
  <c r="BD208" i="3"/>
  <c r="BT213" i="1" s="1"/>
  <c r="BD109" i="3"/>
  <c r="BT114" i="1" s="1"/>
  <c r="BD272" i="3"/>
  <c r="BT277" i="1" s="1"/>
  <c r="BD220" i="3"/>
  <c r="BT225" i="1" s="1"/>
  <c r="BD226" i="3"/>
  <c r="BT231" i="1" s="1"/>
  <c r="BD124" i="3"/>
  <c r="BT129" i="1" s="1"/>
  <c r="BD33" i="3"/>
  <c r="BT38" i="1" s="1"/>
  <c r="BD178" i="3"/>
  <c r="BT183" i="1" s="1"/>
  <c r="BD49" i="3"/>
  <c r="BT54" i="1" s="1"/>
  <c r="BD244" i="3"/>
  <c r="BT249" i="1" s="1"/>
  <c r="BD156" i="3"/>
  <c r="BT161" i="1" s="1"/>
  <c r="BD104" i="3"/>
  <c r="BT109" i="1" s="1"/>
  <c r="BD141" i="3"/>
  <c r="BT146" i="1" s="1"/>
  <c r="BD243" i="3"/>
  <c r="BT248" i="1" s="1"/>
  <c r="BD233" i="3"/>
  <c r="BT238" i="1" s="1"/>
  <c r="BD256" i="3"/>
  <c r="BT261" i="1" s="1"/>
  <c r="BD131" i="3"/>
  <c r="BT136" i="1" s="1"/>
  <c r="BD120" i="3"/>
  <c r="BT125" i="1" s="1"/>
  <c r="BD135" i="3"/>
  <c r="BT140" i="1" s="1"/>
  <c r="BD165" i="3"/>
  <c r="BT170" i="1" s="1"/>
  <c r="BD52" i="3"/>
  <c r="BT57" i="1" s="1"/>
  <c r="BD138" i="3"/>
  <c r="BT143" i="1" s="1"/>
  <c r="BD32" i="3"/>
  <c r="BT37" i="1" s="1"/>
  <c r="BD91" i="3"/>
  <c r="BT96" i="1" s="1"/>
  <c r="BD83" i="3"/>
  <c r="BT88" i="1" s="1"/>
  <c r="BD195" i="3"/>
  <c r="BT200" i="1" s="1"/>
  <c r="BD64" i="3"/>
  <c r="BT69" i="1" s="1"/>
  <c r="BD44" i="3"/>
  <c r="BT49" i="1" s="1"/>
  <c r="BD271" i="3"/>
  <c r="BT276" i="1" s="1"/>
  <c r="BD113" i="3"/>
  <c r="BT118" i="1" s="1"/>
  <c r="BD37" i="3"/>
  <c r="BT42" i="1" s="1"/>
  <c r="BD268" i="3"/>
  <c r="BT273" i="1" s="1"/>
  <c r="BD42" i="3"/>
  <c r="BT47" i="1" s="1"/>
  <c r="BD182" i="3"/>
  <c r="BT187" i="1" s="1"/>
  <c r="BD71" i="3"/>
  <c r="BT76" i="1" s="1"/>
  <c r="BD231" i="3"/>
  <c r="BT236" i="1" s="1"/>
  <c r="BD227" i="3"/>
  <c r="BT232" i="1" s="1"/>
  <c r="BD240" i="3"/>
  <c r="BT245" i="1" s="1"/>
  <c r="BD130" i="3"/>
  <c r="BT135" i="1" s="1"/>
  <c r="BD199" i="3"/>
  <c r="BT204" i="1" s="1"/>
  <c r="BD111" i="3"/>
  <c r="BT116" i="1" s="1"/>
  <c r="BD116" i="3"/>
  <c r="BT121" i="1" s="1"/>
  <c r="BD51" i="3"/>
  <c r="BT56" i="1" s="1"/>
  <c r="BD35" i="3"/>
  <c r="BT40" i="1" s="1"/>
  <c r="BD127" i="3"/>
  <c r="BT132" i="1" s="1"/>
  <c r="BD28" i="3"/>
  <c r="BT32" i="1" s="1"/>
  <c r="BD87" i="3"/>
  <c r="BT92" i="1" s="1"/>
  <c r="BD16" i="3"/>
  <c r="BD230" i="3"/>
  <c r="BT235" i="1" s="1"/>
  <c r="BD204" i="3"/>
  <c r="BT209" i="1" s="1"/>
  <c r="BD137" i="3"/>
  <c r="BT142" i="1" s="1"/>
  <c r="BD46" i="3"/>
  <c r="BT51" i="1" s="1"/>
  <c r="BD43" i="3"/>
  <c r="BT48" i="1" s="1"/>
  <c r="BD18" i="3"/>
  <c r="BT22" i="1" s="1"/>
  <c r="BD179" i="3"/>
  <c r="BT184" i="1" s="1"/>
  <c r="BD125" i="3"/>
  <c r="BT130" i="1" s="1"/>
  <c r="BD41" i="3"/>
  <c r="BT46" i="1" s="1"/>
  <c r="BD75" i="3"/>
  <c r="BT80" i="1" s="1"/>
  <c r="BD122" i="3"/>
  <c r="BT127" i="1" s="1"/>
  <c r="BD224" i="3"/>
  <c r="BT229" i="1" s="1"/>
  <c r="BD40" i="3"/>
  <c r="BT45" i="1" s="1"/>
  <c r="BD258" i="3"/>
  <c r="BT263" i="1" s="1"/>
  <c r="BD205" i="3"/>
  <c r="BT210" i="1" s="1"/>
  <c r="BD63" i="3"/>
  <c r="BT68" i="1" s="1"/>
  <c r="BD155" i="3"/>
  <c r="BT160" i="1" s="1"/>
  <c r="BD61" i="3"/>
  <c r="BT66" i="1" s="1"/>
  <c r="BD154" i="3"/>
  <c r="BT159" i="1" s="1"/>
  <c r="BD254" i="3"/>
  <c r="BT259" i="1" s="1"/>
  <c r="BD183" i="3"/>
  <c r="BT188" i="1" s="1"/>
  <c r="BD166" i="3"/>
  <c r="BT171" i="1" s="1"/>
  <c r="BD73" i="3"/>
  <c r="BT78" i="1" s="1"/>
  <c r="BD148" i="3"/>
  <c r="BT153" i="1" s="1"/>
  <c r="BD150" i="3"/>
  <c r="BT155" i="1" s="1"/>
  <c r="BD169" i="3"/>
  <c r="BT174" i="1" s="1"/>
  <c r="BD47" i="3"/>
  <c r="BT52" i="1" s="1"/>
  <c r="BD79" i="3"/>
  <c r="BT84" i="1" s="1"/>
  <c r="BD181" i="3"/>
  <c r="BT186" i="1" s="1"/>
  <c r="BD260" i="3"/>
  <c r="BT265" i="1" s="1"/>
  <c r="BD259" i="3"/>
  <c r="BT264" i="1" s="1"/>
  <c r="BD15" i="3"/>
  <c r="BD218" i="3"/>
  <c r="BT223" i="1" s="1"/>
  <c r="BD253" i="3"/>
  <c r="BT258" i="1" s="1"/>
  <c r="BD123" i="3"/>
  <c r="BT128" i="1" s="1"/>
  <c r="BD206" i="3"/>
  <c r="BT211" i="1" s="1"/>
  <c r="BD235" i="3"/>
  <c r="BT240" i="1" s="1"/>
  <c r="BD98" i="3"/>
  <c r="BT103" i="1" s="1"/>
  <c r="BD56" i="3"/>
  <c r="BT61" i="1" s="1"/>
  <c r="BD171" i="3"/>
  <c r="BT176" i="1" s="1"/>
  <c r="BD58" i="3"/>
  <c r="BT63" i="1" s="1"/>
  <c r="BD20" i="3"/>
  <c r="BT24" i="1" s="1"/>
  <c r="BD222" i="3"/>
  <c r="BT227" i="1" s="1"/>
  <c r="BD99" i="3"/>
  <c r="BT104" i="1" s="1"/>
  <c r="BD164" i="3"/>
  <c r="BT169" i="1" s="1"/>
  <c r="BD257" i="3"/>
  <c r="BT262" i="1" s="1"/>
  <c r="BD103" i="3"/>
  <c r="BT108" i="1" s="1"/>
  <c r="BD59" i="3"/>
  <c r="BT64" i="1" s="1"/>
  <c r="BD237" i="3"/>
  <c r="BT242" i="1" s="1"/>
  <c r="BD161" i="3"/>
  <c r="BT166" i="1" s="1"/>
  <c r="BD121" i="3"/>
  <c r="BT126" i="1" s="1"/>
  <c r="BD108" i="3"/>
  <c r="BT113" i="1" s="1"/>
  <c r="BD101" i="3"/>
  <c r="BT106" i="1" s="1"/>
  <c r="BD188" i="3"/>
  <c r="BT193" i="1" s="1"/>
  <c r="BD264" i="3"/>
  <c r="BT269" i="1" s="1"/>
  <c r="BD39" i="3"/>
  <c r="BT44" i="1" s="1"/>
  <c r="BD23" i="3"/>
  <c r="BT27" i="1" s="1"/>
  <c r="BD14" i="3"/>
  <c r="BD225" i="3"/>
  <c r="BT230" i="1" s="1"/>
  <c r="BD149" i="3"/>
  <c r="BT154" i="1" s="1"/>
  <c r="BD265" i="3"/>
  <c r="BT270" i="1" s="1"/>
  <c r="BD96" i="3"/>
  <c r="BT101" i="1" s="1"/>
  <c r="BD89" i="3"/>
  <c r="BT94" i="1" s="1"/>
  <c r="BD180" i="3"/>
  <c r="BT185" i="1" s="1"/>
  <c r="BD143" i="3"/>
  <c r="BT148" i="1" s="1"/>
  <c r="BD76" i="3"/>
  <c r="BT81" i="1" s="1"/>
  <c r="BD22" i="3"/>
  <c r="BT26" i="1" s="1"/>
  <c r="BD145" i="3"/>
  <c r="BT150" i="1" s="1"/>
  <c r="BD270" i="3"/>
  <c r="BT275" i="1" s="1"/>
  <c r="BD186" i="3"/>
  <c r="BT191" i="1" s="1"/>
  <c r="BD172" i="3"/>
  <c r="BT177" i="1" s="1"/>
  <c r="BD162" i="3"/>
  <c r="BT167" i="1" s="1"/>
  <c r="BD212" i="3"/>
  <c r="BT217" i="1" s="1"/>
  <c r="BD69" i="3"/>
  <c r="BT74" i="1" s="1"/>
  <c r="BD160" i="3"/>
  <c r="BT165" i="1" s="1"/>
  <c r="BD93" i="3"/>
  <c r="BT98" i="1" s="1"/>
  <c r="BD66" i="3"/>
  <c r="BT71" i="1" s="1"/>
  <c r="BD19" i="3"/>
  <c r="BT23" i="1" s="1"/>
  <c r="BD174" i="3"/>
  <c r="BT179" i="1" s="1"/>
  <c r="BD57" i="3"/>
  <c r="BT62" i="1" s="1"/>
  <c r="BD27" i="3"/>
  <c r="BT31" i="1" s="1"/>
  <c r="BD246" i="3"/>
  <c r="BT251" i="1" s="1"/>
  <c r="BD88" i="3"/>
  <c r="BT93" i="1" s="1"/>
  <c r="BD228" i="3"/>
  <c r="BT233" i="1" s="1"/>
  <c r="BD81" i="3"/>
  <c r="BT86" i="1" s="1"/>
  <c r="BD269" i="3"/>
  <c r="BT274" i="1" s="1"/>
  <c r="BD102" i="3"/>
  <c r="BT107" i="1" s="1"/>
  <c r="BD159" i="3"/>
  <c r="BT164" i="1" s="1"/>
  <c r="AT23" i="1"/>
  <c r="AS23" i="1"/>
  <c r="AV23" i="1"/>
  <c r="AU23" i="1"/>
  <c r="AO23" i="1" s="1" a="1"/>
  <c r="AK23" i="1"/>
  <c r="AE23" i="1" s="1" a="1"/>
  <c r="AJ23" i="1"/>
  <c r="AD23" i="1" s="1" a="1"/>
  <c r="AI23" i="1"/>
  <c r="AH23" i="1"/>
  <c r="Y23" i="1"/>
  <c r="S23" i="1" s="1" a="1"/>
  <c r="X23" i="1"/>
  <c r="W23" i="1"/>
  <c r="Z23" i="1"/>
  <c r="T23" i="1" s="1" a="1"/>
  <c r="O23" i="1"/>
  <c r="I23" i="1" s="1" a="1"/>
  <c r="M23" i="1"/>
  <c r="L23" i="1"/>
  <c r="N23" i="1"/>
  <c r="H23" i="1" s="1" a="1"/>
  <c r="AP23" i="1" a="1"/>
  <c r="H23" i="1" l="1"/>
  <c r="AD23" i="1"/>
  <c r="AE23" i="1"/>
  <c r="AP23" i="1"/>
  <c r="I23" i="1"/>
  <c r="S23" i="1"/>
  <c r="T23" i="1"/>
  <c r="AO23" i="1"/>
  <c r="BT34" i="1"/>
  <c r="BA23" i="1"/>
  <c r="Y11" i="3" s="1"/>
  <c r="BB23" i="1"/>
  <c r="AN11" i="3" s="1"/>
  <c r="AN10" i="3" l="1"/>
  <c r="Y10" i="3"/>
  <c r="E22" i="1"/>
  <c r="BW21" i="1"/>
  <c r="BV21" i="1"/>
  <c r="BU21" i="1"/>
  <c r="BT21" i="1"/>
  <c r="BK21" i="1"/>
  <c r="BG21" i="1"/>
  <c r="AY21" i="1"/>
  <c r="BA11" i="3" s="1"/>
  <c r="AM8" i="3" l="1"/>
  <c r="X8" i="3"/>
  <c r="BC223" i="3"/>
  <c r="BS228" i="1" s="1"/>
  <c r="BC231" i="3"/>
  <c r="BS236" i="1" s="1"/>
  <c r="BC202" i="3"/>
  <c r="BS207" i="1" s="1"/>
  <c r="BC241" i="3"/>
  <c r="BS246" i="1" s="1"/>
  <c r="BC269" i="3"/>
  <c r="BS274" i="1" s="1"/>
  <c r="BC169" i="3"/>
  <c r="BS174" i="1" s="1"/>
  <c r="BC233" i="3"/>
  <c r="BS238" i="1" s="1"/>
  <c r="BC160" i="3"/>
  <c r="BS165" i="1" s="1"/>
  <c r="BC110" i="3"/>
  <c r="BS115" i="1" s="1"/>
  <c r="BC85" i="3"/>
  <c r="BS90" i="1" s="1"/>
  <c r="BC249" i="3"/>
  <c r="BS254" i="1" s="1"/>
  <c r="BC143" i="3"/>
  <c r="BS148" i="1" s="1"/>
  <c r="BC106" i="3"/>
  <c r="BS111" i="1" s="1"/>
  <c r="BC111" i="3"/>
  <c r="BS116" i="1" s="1"/>
  <c r="BC82" i="3"/>
  <c r="BS87" i="1" s="1"/>
  <c r="BC80" i="3"/>
  <c r="BS85" i="1" s="1"/>
  <c r="BC54" i="3"/>
  <c r="BS59" i="1" s="1"/>
  <c r="BC41" i="3"/>
  <c r="BS46" i="1" s="1"/>
  <c r="BC66" i="3"/>
  <c r="BS71" i="1" s="1"/>
  <c r="BC63" i="3"/>
  <c r="BS68" i="1" s="1"/>
  <c r="BC115" i="3"/>
  <c r="BS120" i="1" s="1"/>
  <c r="BC59" i="3"/>
  <c r="BS64" i="1" s="1"/>
  <c r="BC232" i="3"/>
  <c r="BS237" i="1" s="1"/>
  <c r="BC175" i="3"/>
  <c r="BS180" i="1" s="1"/>
  <c r="BC228" i="3"/>
  <c r="BS233" i="1" s="1"/>
  <c r="BC273" i="3"/>
  <c r="BS278" i="1" s="1"/>
  <c r="BC258" i="3"/>
  <c r="BS263" i="1" s="1"/>
  <c r="BC167" i="3"/>
  <c r="BS172" i="1" s="1"/>
  <c r="BC171" i="3"/>
  <c r="BS176" i="1" s="1"/>
  <c r="BC163" i="3"/>
  <c r="BS168" i="1" s="1"/>
  <c r="BC146" i="3"/>
  <c r="BS151" i="1" s="1"/>
  <c r="BC190" i="3"/>
  <c r="BS195" i="1" s="1"/>
  <c r="BC120" i="3"/>
  <c r="BS125" i="1" s="1"/>
  <c r="BC78" i="3"/>
  <c r="BS83" i="1" s="1"/>
  <c r="BC137" i="3"/>
  <c r="BS142" i="1" s="1"/>
  <c r="BC142" i="3"/>
  <c r="BS147" i="1" s="1"/>
  <c r="BC126" i="3"/>
  <c r="BS131" i="1" s="1"/>
  <c r="BC213" i="3"/>
  <c r="BS218" i="1" s="1"/>
  <c r="BC52" i="3"/>
  <c r="BS57" i="1" s="1"/>
  <c r="BC35" i="3"/>
  <c r="BS40" i="1" s="1"/>
  <c r="BC104" i="3"/>
  <c r="BS109" i="1" s="1"/>
  <c r="BC16" i="3"/>
  <c r="BC211" i="3"/>
  <c r="BS216" i="1" s="1"/>
  <c r="BC195" i="3"/>
  <c r="BS200" i="1" s="1"/>
  <c r="BC240" i="3"/>
  <c r="BS245" i="1" s="1"/>
  <c r="BC206" i="3"/>
  <c r="BS211" i="1" s="1"/>
  <c r="BC174" i="3"/>
  <c r="BS179" i="1" s="1"/>
  <c r="BC179" i="3"/>
  <c r="BS184" i="1" s="1"/>
  <c r="BC257" i="3"/>
  <c r="BS262" i="1" s="1"/>
  <c r="BC203" i="3"/>
  <c r="BS208" i="1" s="1"/>
  <c r="BC152" i="3"/>
  <c r="BS157" i="1" s="1"/>
  <c r="BC186" i="3"/>
  <c r="BS191" i="1" s="1"/>
  <c r="BC91" i="3"/>
  <c r="BS96" i="1" s="1"/>
  <c r="BC88" i="3"/>
  <c r="BS93" i="1" s="1"/>
  <c r="BC148" i="3"/>
  <c r="BS153" i="1" s="1"/>
  <c r="BC84" i="3"/>
  <c r="BS89" i="1" s="1"/>
  <c r="BC48" i="3"/>
  <c r="BS53" i="1" s="1"/>
  <c r="BC101" i="3"/>
  <c r="BS106" i="1" s="1"/>
  <c r="BC19" i="3"/>
  <c r="BS23" i="1" s="1"/>
  <c r="BC24" i="3"/>
  <c r="BS28" i="1" s="1"/>
  <c r="BC220" i="3"/>
  <c r="BS225" i="1" s="1"/>
  <c r="BC238" i="3"/>
  <c r="BS243" i="1" s="1"/>
  <c r="BC253" i="3"/>
  <c r="BS258" i="1" s="1"/>
  <c r="BC246" i="3"/>
  <c r="BS251" i="1" s="1"/>
  <c r="BC200" i="3"/>
  <c r="BS205" i="1" s="1"/>
  <c r="BC234" i="3"/>
  <c r="BS239" i="1" s="1"/>
  <c r="BC145" i="3"/>
  <c r="BS150" i="1" s="1"/>
  <c r="BC97" i="3"/>
  <c r="BS102" i="1" s="1"/>
  <c r="BC218" i="3"/>
  <c r="BS223" i="1" s="1"/>
  <c r="BC102" i="3"/>
  <c r="BS107" i="1" s="1"/>
  <c r="BC93" i="3"/>
  <c r="BS98" i="1" s="1"/>
  <c r="BC224" i="3"/>
  <c r="BS229" i="1" s="1"/>
  <c r="BC92" i="3"/>
  <c r="BS97" i="1" s="1"/>
  <c r="BC44" i="3"/>
  <c r="BS49" i="1" s="1"/>
  <c r="BC37" i="3"/>
  <c r="BS42" i="1" s="1"/>
  <c r="BC83" i="3"/>
  <c r="BS88" i="1" s="1"/>
  <c r="BC61" i="3"/>
  <c r="BS66" i="1" s="1"/>
  <c r="BC33" i="3"/>
  <c r="BS38" i="1" s="1"/>
  <c r="BC247" i="3"/>
  <c r="BS252" i="1" s="1"/>
  <c r="BC189" i="3"/>
  <c r="BS194" i="1" s="1"/>
  <c r="BC182" i="3"/>
  <c r="BS187" i="1" s="1"/>
  <c r="BC191" i="3"/>
  <c r="BS196" i="1" s="1"/>
  <c r="BC185" i="3"/>
  <c r="BS190" i="1" s="1"/>
  <c r="BC159" i="3"/>
  <c r="BS164" i="1" s="1"/>
  <c r="BC131" i="3"/>
  <c r="BS136" i="1" s="1"/>
  <c r="BC107" i="3"/>
  <c r="BS112" i="1" s="1"/>
  <c r="BC90" i="3"/>
  <c r="BS95" i="1" s="1"/>
  <c r="BC230" i="3"/>
  <c r="BS235" i="1" s="1"/>
  <c r="BC34" i="3"/>
  <c r="BS39" i="1" s="1"/>
  <c r="BC57" i="3"/>
  <c r="BS62" i="1" s="1"/>
  <c r="BC39" i="3"/>
  <c r="BS44" i="1" s="1"/>
  <c r="BC77" i="3"/>
  <c r="BS82" i="1" s="1"/>
  <c r="BC235" i="3"/>
  <c r="BS240" i="1" s="1"/>
  <c r="BC187" i="3"/>
  <c r="BS192" i="1" s="1"/>
  <c r="BC265" i="3"/>
  <c r="BS270" i="1" s="1"/>
  <c r="BC188" i="3"/>
  <c r="BS193" i="1" s="1"/>
  <c r="BC183" i="3"/>
  <c r="BS188" i="1" s="1"/>
  <c r="BC158" i="3"/>
  <c r="BS163" i="1" s="1"/>
  <c r="BC130" i="3"/>
  <c r="BS135" i="1" s="1"/>
  <c r="BC245" i="3"/>
  <c r="BS250" i="1" s="1"/>
  <c r="BC251" i="3"/>
  <c r="BS256" i="1" s="1"/>
  <c r="BC168" i="3"/>
  <c r="BS173" i="1" s="1"/>
  <c r="BC210" i="3"/>
  <c r="BS215" i="1" s="1"/>
  <c r="BC56" i="3"/>
  <c r="BS61" i="1" s="1"/>
  <c r="BC38" i="3"/>
  <c r="BS43" i="1" s="1"/>
  <c r="BC60" i="3"/>
  <c r="BS65" i="1" s="1"/>
  <c r="BC199" i="3"/>
  <c r="BS204" i="1" s="1"/>
  <c r="BC262" i="3"/>
  <c r="BS267" i="1" s="1"/>
  <c r="BC229" i="3"/>
  <c r="BS234" i="1" s="1"/>
  <c r="BC260" i="3"/>
  <c r="BS265" i="1" s="1"/>
  <c r="BC135" i="3"/>
  <c r="BS140" i="1" s="1"/>
  <c r="BC177" i="3"/>
  <c r="BS182" i="1" s="1"/>
  <c r="BC267" i="3"/>
  <c r="BS272" i="1" s="1"/>
  <c r="BC184" i="3"/>
  <c r="BS189" i="1" s="1"/>
  <c r="BC215" i="3"/>
  <c r="BS220" i="1" s="1"/>
  <c r="BC272" i="3"/>
  <c r="BS277" i="1" s="1"/>
  <c r="BC225" i="3"/>
  <c r="BS230" i="1" s="1"/>
  <c r="BC128" i="3"/>
  <c r="BS133" i="1" s="1"/>
  <c r="BC219" i="3"/>
  <c r="BS224" i="1" s="1"/>
  <c r="BC197" i="3"/>
  <c r="BS202" i="1" s="1"/>
  <c r="BC176" i="3"/>
  <c r="BS181" i="1" s="1"/>
  <c r="BC151" i="3"/>
  <c r="BS156" i="1" s="1"/>
  <c r="BC222" i="3"/>
  <c r="BS227" i="1" s="1"/>
  <c r="BC124" i="3"/>
  <c r="BS129" i="1" s="1"/>
  <c r="BC103" i="3"/>
  <c r="BS108" i="1" s="1"/>
  <c r="BC89" i="3"/>
  <c r="BS94" i="1" s="1"/>
  <c r="BC53" i="3"/>
  <c r="BS58" i="1" s="1"/>
  <c r="BC113" i="3"/>
  <c r="BS118" i="1" s="1"/>
  <c r="BC31" i="3"/>
  <c r="BS36" i="1" s="1"/>
  <c r="BC23" i="3"/>
  <c r="BS27" i="1" s="1"/>
  <c r="BC207" i="3"/>
  <c r="BS212" i="1" s="1"/>
  <c r="BC180" i="3"/>
  <c r="BS185" i="1" s="1"/>
  <c r="BC236" i="3"/>
  <c r="BS241" i="1" s="1"/>
  <c r="BC139" i="3"/>
  <c r="BS144" i="1" s="1"/>
  <c r="BC156" i="3"/>
  <c r="BS161" i="1" s="1"/>
  <c r="BC114" i="3"/>
  <c r="BS119" i="1" s="1"/>
  <c r="BC99" i="3"/>
  <c r="BS104" i="1" s="1"/>
  <c r="BC144" i="3"/>
  <c r="BS149" i="1" s="1"/>
  <c r="BC51" i="3"/>
  <c r="BS56" i="1" s="1"/>
  <c r="BC108" i="3"/>
  <c r="BS113" i="1" s="1"/>
  <c r="BC30" i="3"/>
  <c r="BS35" i="1" s="1"/>
  <c r="BC261" i="3"/>
  <c r="BS266" i="1" s="1"/>
  <c r="BC259" i="3"/>
  <c r="BS264" i="1" s="1"/>
  <c r="BC193" i="3"/>
  <c r="BS198" i="1" s="1"/>
  <c r="BC248" i="3"/>
  <c r="BS253" i="1" s="1"/>
  <c r="BC122" i="3"/>
  <c r="BS127" i="1" s="1"/>
  <c r="BC239" i="3"/>
  <c r="BS244" i="1" s="1"/>
  <c r="BC141" i="3"/>
  <c r="BS146" i="1" s="1"/>
  <c r="BC127" i="3"/>
  <c r="BS132" i="1" s="1"/>
  <c r="BC138" i="3"/>
  <c r="BS143" i="1" s="1"/>
  <c r="BC96" i="3"/>
  <c r="BS101" i="1" s="1"/>
  <c r="BC40" i="3"/>
  <c r="BS45" i="1" s="1"/>
  <c r="BC112" i="3"/>
  <c r="BS117" i="1" s="1"/>
  <c r="BC105" i="3"/>
  <c r="BS110" i="1" s="1"/>
  <c r="BC256" i="3"/>
  <c r="BS261" i="1" s="1"/>
  <c r="BC217" i="3"/>
  <c r="BS222" i="1" s="1"/>
  <c r="BC166" i="3"/>
  <c r="BS171" i="1" s="1"/>
  <c r="BC109" i="3"/>
  <c r="BS114" i="1" s="1"/>
  <c r="BC165" i="3"/>
  <c r="BS170" i="1" s="1"/>
  <c r="BC65" i="3"/>
  <c r="BS70" i="1" s="1"/>
  <c r="BC94" i="3"/>
  <c r="BS99" i="1" s="1"/>
  <c r="BC26" i="3"/>
  <c r="BS30" i="1" s="1"/>
  <c r="BC132" i="3"/>
  <c r="BS137" i="1" s="1"/>
  <c r="BC250" i="3"/>
  <c r="BS255" i="1" s="1"/>
  <c r="BC209" i="3"/>
  <c r="BS214" i="1" s="1"/>
  <c r="BC161" i="3"/>
  <c r="BS166" i="1" s="1"/>
  <c r="BC147" i="3"/>
  <c r="BS152" i="1" s="1"/>
  <c r="BC79" i="3"/>
  <c r="BS84" i="1" s="1"/>
  <c r="BC46" i="3"/>
  <c r="BS51" i="1" s="1"/>
  <c r="BC50" i="3"/>
  <c r="BS55" i="1" s="1"/>
  <c r="BC21" i="3"/>
  <c r="BS25" i="1" s="1"/>
  <c r="BC69" i="3"/>
  <c r="BS74" i="1" s="1"/>
  <c r="BC214" i="3"/>
  <c r="BS219" i="1" s="1"/>
  <c r="BC155" i="3"/>
  <c r="BS160" i="1" s="1"/>
  <c r="BC164" i="3"/>
  <c r="BS169" i="1" s="1"/>
  <c r="BC95" i="3"/>
  <c r="BS100" i="1" s="1"/>
  <c r="BC47" i="3"/>
  <c r="BS52" i="1" s="1"/>
  <c r="BC18" i="3"/>
  <c r="BS22" i="1" s="1"/>
  <c r="BC226" i="3"/>
  <c r="BS231" i="1" s="1"/>
  <c r="BC194" i="3"/>
  <c r="BS199" i="1" s="1"/>
  <c r="BC173" i="3"/>
  <c r="BS178" i="1" s="1"/>
  <c r="BC133" i="3"/>
  <c r="BS138" i="1" s="1"/>
  <c r="BC70" i="3"/>
  <c r="BS75" i="1" s="1"/>
  <c r="BC100" i="3"/>
  <c r="BS105" i="1" s="1"/>
  <c r="BC49" i="3"/>
  <c r="BS54" i="1" s="1"/>
  <c r="BC20" i="3"/>
  <c r="BS24" i="1" s="1"/>
  <c r="BC67" i="3"/>
  <c r="BS72" i="1" s="1"/>
  <c r="BC32" i="3"/>
  <c r="BS37" i="1" s="1"/>
  <c r="BC181" i="3"/>
  <c r="BS186" i="1" s="1"/>
  <c r="BC58" i="3"/>
  <c r="BS63" i="1" s="1"/>
  <c r="BC271" i="3"/>
  <c r="BS276" i="1" s="1"/>
  <c r="BC216" i="3"/>
  <c r="BS221" i="1" s="1"/>
  <c r="BC221" i="3"/>
  <c r="BS226" i="1" s="1"/>
  <c r="BC74" i="3"/>
  <c r="BS79" i="1" s="1"/>
  <c r="BC118" i="3"/>
  <c r="BS123" i="1" s="1"/>
  <c r="BC254" i="3"/>
  <c r="BS259" i="1" s="1"/>
  <c r="BC125" i="3"/>
  <c r="BS130" i="1" s="1"/>
  <c r="BC28" i="3"/>
  <c r="BS32" i="1" s="1"/>
  <c r="BC68" i="3"/>
  <c r="BS73" i="1" s="1"/>
  <c r="BC268" i="3"/>
  <c r="BS273" i="1" s="1"/>
  <c r="BC204" i="3"/>
  <c r="BS209" i="1" s="1"/>
  <c r="BC123" i="3"/>
  <c r="BS128" i="1" s="1"/>
  <c r="BC129" i="3"/>
  <c r="BS134" i="1" s="1"/>
  <c r="BC237" i="3"/>
  <c r="BS242" i="1" s="1"/>
  <c r="BC76" i="3"/>
  <c r="BS81" i="1" s="1"/>
  <c r="BC81" i="3"/>
  <c r="BS86" i="1" s="1"/>
  <c r="BC27" i="3"/>
  <c r="BS31" i="1" s="1"/>
  <c r="BC71" i="3"/>
  <c r="BS76" i="1" s="1"/>
  <c r="BC157" i="3"/>
  <c r="BS162" i="1" s="1"/>
  <c r="BC150" i="3"/>
  <c r="BS155" i="1" s="1"/>
  <c r="BC242" i="3"/>
  <c r="BS247" i="1" s="1"/>
  <c r="BC117" i="3"/>
  <c r="BS122" i="1" s="1"/>
  <c r="BC170" i="3"/>
  <c r="BS175" i="1" s="1"/>
  <c r="BC121" i="3"/>
  <c r="BS126" i="1" s="1"/>
  <c r="BC172" i="3"/>
  <c r="BS177" i="1" s="1"/>
  <c r="BC17" i="3"/>
  <c r="BS21" i="1" s="1"/>
  <c r="BC255" i="3"/>
  <c r="BS260" i="1" s="1"/>
  <c r="BC43" i="3"/>
  <c r="BS48" i="1" s="1"/>
  <c r="BC196" i="3"/>
  <c r="BS201" i="1" s="1"/>
  <c r="BC62" i="3"/>
  <c r="BS67" i="1" s="1"/>
  <c r="BC270" i="3"/>
  <c r="BS275" i="1" s="1"/>
  <c r="BC119" i="3"/>
  <c r="BS124" i="1" s="1"/>
  <c r="BC154" i="3"/>
  <c r="BS159" i="1" s="1"/>
  <c r="BC15" i="3"/>
  <c r="BC208" i="3"/>
  <c r="BS213" i="1" s="1"/>
  <c r="BC212" i="3"/>
  <c r="BS217" i="1" s="1"/>
  <c r="BC227" i="3"/>
  <c r="BS232" i="1" s="1"/>
  <c r="BC64" i="3"/>
  <c r="BS69" i="1" s="1"/>
  <c r="BC198" i="3"/>
  <c r="BS203" i="1" s="1"/>
  <c r="BC25" i="3"/>
  <c r="BS29" i="1" s="1"/>
  <c r="BC149" i="3"/>
  <c r="BS154" i="1" s="1"/>
  <c r="BC201" i="3"/>
  <c r="BS206" i="1" s="1"/>
  <c r="BC116" i="3"/>
  <c r="BS121" i="1" s="1"/>
  <c r="BC244" i="3"/>
  <c r="BS249" i="1" s="1"/>
  <c r="BC134" i="3"/>
  <c r="BS139" i="1" s="1"/>
  <c r="BC136" i="3"/>
  <c r="BS141" i="1" s="1"/>
  <c r="BC55" i="3"/>
  <c r="BS60" i="1" s="1"/>
  <c r="BC22" i="3"/>
  <c r="BS26" i="1" s="1"/>
  <c r="BC45" i="3"/>
  <c r="BS50" i="1" s="1"/>
  <c r="BC153" i="3"/>
  <c r="BS158" i="1" s="1"/>
  <c r="BC243" i="3"/>
  <c r="BS248" i="1" s="1"/>
  <c r="BC42" i="3"/>
  <c r="BS47" i="1" s="1"/>
  <c r="BC192" i="3"/>
  <c r="BS197" i="1" s="1"/>
  <c r="BC75" i="3"/>
  <c r="BS80" i="1" s="1"/>
  <c r="BC264" i="3"/>
  <c r="BS269" i="1" s="1"/>
  <c r="BC98" i="3"/>
  <c r="BS103" i="1" s="1"/>
  <c r="BC178" i="3"/>
  <c r="BS183" i="1" s="1"/>
  <c r="BC36" i="3"/>
  <c r="BS41" i="1" s="1"/>
  <c r="BC13" i="3"/>
  <c r="BC252" i="3"/>
  <c r="BS257" i="1" s="1"/>
  <c r="BC86" i="3"/>
  <c r="BS91" i="1" s="1"/>
  <c r="BC87" i="3"/>
  <c r="BS92" i="1" s="1"/>
  <c r="BC29" i="3"/>
  <c r="BS34" i="1" s="1"/>
  <c r="BC205" i="3"/>
  <c r="BS210" i="1" s="1"/>
  <c r="BC73" i="3"/>
  <c r="BS78" i="1" s="1"/>
  <c r="BC140" i="3"/>
  <c r="BS145" i="1" s="1"/>
  <c r="BC14" i="3"/>
  <c r="BC266" i="3"/>
  <c r="BS271" i="1" s="1"/>
  <c r="BC72" i="3"/>
  <c r="BS77" i="1" s="1"/>
  <c r="BC263" i="3"/>
  <c r="BS268" i="1" s="1"/>
  <c r="BC162" i="3"/>
  <c r="BS167" i="1" s="1"/>
  <c r="AV22" i="1"/>
  <c r="AP22" i="1" s="1" a="1"/>
  <c r="AT22" i="1"/>
  <c r="AU22" i="1"/>
  <c r="AO22" i="1" s="1" a="1"/>
  <c r="AS22" i="1"/>
  <c r="AK22" i="1"/>
  <c r="AE22" i="1" s="1" a="1"/>
  <c r="AJ22" i="1"/>
  <c r="AI22" i="1"/>
  <c r="AH22" i="1"/>
  <c r="Y22" i="1"/>
  <c r="S22" i="1" s="1" a="1"/>
  <c r="W22" i="1"/>
  <c r="Z22" i="1"/>
  <c r="T22" i="1" s="1" a="1"/>
  <c r="X22" i="1"/>
  <c r="O22" i="1"/>
  <c r="I22" i="1" s="1" a="1"/>
  <c r="N22" i="1"/>
  <c r="H22" i="1" s="1" a="1"/>
  <c r="L22" i="1"/>
  <c r="M22" i="1"/>
  <c r="AD22" i="1" a="1"/>
  <c r="I22" i="1" l="1"/>
  <c r="H22" i="1"/>
  <c r="AO22" i="1"/>
  <c r="AE22" i="1"/>
  <c r="AD22" i="1"/>
  <c r="S22" i="1"/>
  <c r="T22" i="1"/>
  <c r="AP22" i="1"/>
  <c r="BS33" i="1"/>
  <c r="BA22" i="1"/>
  <c r="X11" i="3" s="1"/>
  <c r="BB22" i="1"/>
  <c r="AM11" i="3" s="1"/>
  <c r="AM10" i="3" l="1"/>
  <c r="X10" i="3"/>
  <c r="E21" i="1"/>
  <c r="BW20" i="1"/>
  <c r="BV20" i="1"/>
  <c r="BU20" i="1"/>
  <c r="BT20" i="1"/>
  <c r="BS20" i="1"/>
  <c r="BK20" i="1"/>
  <c r="BG20" i="1"/>
  <c r="AY20" i="1"/>
  <c r="AZ11" i="3" s="1"/>
  <c r="AL8" i="3" l="1"/>
  <c r="W8" i="3"/>
  <c r="BB248" i="3"/>
  <c r="BR253" i="1" s="1"/>
  <c r="BB256" i="3"/>
  <c r="BR261" i="1" s="1"/>
  <c r="BB239" i="3"/>
  <c r="BR244" i="1" s="1"/>
  <c r="BB210" i="3"/>
  <c r="BR215" i="1" s="1"/>
  <c r="BB213" i="3"/>
  <c r="BR218" i="1" s="1"/>
  <c r="BB237" i="3"/>
  <c r="BR242" i="1" s="1"/>
  <c r="BB191" i="3"/>
  <c r="BR196" i="1" s="1"/>
  <c r="BB250" i="3"/>
  <c r="BR255" i="1" s="1"/>
  <c r="BB87" i="3"/>
  <c r="BR92" i="1" s="1"/>
  <c r="BB169" i="3"/>
  <c r="BR174" i="1" s="1"/>
  <c r="BB207" i="3"/>
  <c r="BR212" i="1" s="1"/>
  <c r="BB71" i="3"/>
  <c r="BR76" i="1" s="1"/>
  <c r="BB174" i="3"/>
  <c r="BR179" i="1" s="1"/>
  <c r="BB131" i="3"/>
  <c r="BR136" i="1" s="1"/>
  <c r="BB35" i="3"/>
  <c r="BR40" i="1" s="1"/>
  <c r="BB95" i="3"/>
  <c r="BR100" i="1" s="1"/>
  <c r="BB56" i="3"/>
  <c r="BR61" i="1" s="1"/>
  <c r="BB30" i="3"/>
  <c r="BR35" i="1" s="1"/>
  <c r="BB48" i="3"/>
  <c r="BR53" i="1" s="1"/>
  <c r="BB38" i="3"/>
  <c r="BR43" i="1" s="1"/>
  <c r="BB39" i="3"/>
  <c r="BR44" i="1" s="1"/>
  <c r="BB88" i="3"/>
  <c r="BR93" i="1" s="1"/>
  <c r="BB257" i="3"/>
  <c r="BR262" i="1" s="1"/>
  <c r="BB188" i="3"/>
  <c r="BR193" i="1" s="1"/>
  <c r="BB183" i="3"/>
  <c r="BR188" i="1" s="1"/>
  <c r="BB179" i="3"/>
  <c r="BR184" i="1" s="1"/>
  <c r="BB225" i="3"/>
  <c r="BR230" i="1" s="1"/>
  <c r="BB249" i="3"/>
  <c r="BR254" i="1" s="1"/>
  <c r="BB273" i="3"/>
  <c r="BR278" i="1" s="1"/>
  <c r="BB254" i="3"/>
  <c r="BR259" i="1" s="1"/>
  <c r="BB128" i="3"/>
  <c r="BR133" i="1" s="1"/>
  <c r="BB156" i="3"/>
  <c r="BR161" i="1" s="1"/>
  <c r="BB103" i="3"/>
  <c r="BR108" i="1" s="1"/>
  <c r="BB130" i="3"/>
  <c r="BR135" i="1" s="1"/>
  <c r="BB94" i="3"/>
  <c r="BR99" i="1" s="1"/>
  <c r="BB119" i="3"/>
  <c r="BR124" i="1" s="1"/>
  <c r="BB107" i="3"/>
  <c r="BR112" i="1" s="1"/>
  <c r="BB68" i="3"/>
  <c r="BR73" i="1" s="1"/>
  <c r="BB43" i="3"/>
  <c r="BR48" i="1" s="1"/>
  <c r="BB76" i="3"/>
  <c r="BR81" i="1" s="1"/>
  <c r="BB90" i="3"/>
  <c r="BR95" i="1" s="1"/>
  <c r="BB14" i="3"/>
  <c r="BB27" i="3"/>
  <c r="BR31" i="1" s="1"/>
  <c r="BB16" i="3"/>
  <c r="BR20" i="1" s="1"/>
  <c r="BB200" i="3"/>
  <c r="BR205" i="1" s="1"/>
  <c r="BB176" i="3"/>
  <c r="BR181" i="1" s="1"/>
  <c r="BB246" i="3"/>
  <c r="BR251" i="1" s="1"/>
  <c r="BB218" i="3"/>
  <c r="BR223" i="1" s="1"/>
  <c r="BB205" i="3"/>
  <c r="BR210" i="1" s="1"/>
  <c r="BB136" i="3"/>
  <c r="BR141" i="1" s="1"/>
  <c r="BB206" i="3"/>
  <c r="BR211" i="1" s="1"/>
  <c r="BB86" i="3"/>
  <c r="BR91" i="1" s="1"/>
  <c r="BB217" i="3"/>
  <c r="BR222" i="1" s="1"/>
  <c r="BB269" i="3"/>
  <c r="BR274" i="1" s="1"/>
  <c r="BB192" i="3"/>
  <c r="BR197" i="1" s="1"/>
  <c r="BB234" i="3"/>
  <c r="BR239" i="1" s="1"/>
  <c r="BB211" i="3"/>
  <c r="BR216" i="1" s="1"/>
  <c r="BB175" i="3"/>
  <c r="BR180" i="1" s="1"/>
  <c r="BB124" i="3"/>
  <c r="BR129" i="1" s="1"/>
  <c r="BB159" i="3"/>
  <c r="BR164" i="1" s="1"/>
  <c r="BB74" i="3"/>
  <c r="BR79" i="1" s="1"/>
  <c r="BB201" i="3"/>
  <c r="BR206" i="1" s="1"/>
  <c r="BB231" i="3"/>
  <c r="BR236" i="1" s="1"/>
  <c r="BB118" i="3"/>
  <c r="BR123" i="1" s="1"/>
  <c r="BB85" i="3"/>
  <c r="BR90" i="1" s="1"/>
  <c r="BB109" i="3"/>
  <c r="BR114" i="1" s="1"/>
  <c r="BB55" i="3"/>
  <c r="BR60" i="1" s="1"/>
  <c r="BB52" i="3"/>
  <c r="BR57" i="1" s="1"/>
  <c r="BB60" i="3"/>
  <c r="BR65" i="1" s="1"/>
  <c r="BB20" i="3"/>
  <c r="BR24" i="1" s="1"/>
  <c r="BB268" i="3"/>
  <c r="BR273" i="1" s="1"/>
  <c r="BB215" i="3"/>
  <c r="BR220" i="1" s="1"/>
  <c r="BB238" i="3"/>
  <c r="BR243" i="1" s="1"/>
  <c r="BB223" i="3"/>
  <c r="BR228" i="1" s="1"/>
  <c r="BB216" i="3"/>
  <c r="BR221" i="1" s="1"/>
  <c r="BB252" i="3"/>
  <c r="BR257" i="1" s="1"/>
  <c r="BB197" i="3"/>
  <c r="BR202" i="1" s="1"/>
  <c r="BB108" i="3"/>
  <c r="BR113" i="1" s="1"/>
  <c r="BB91" i="3"/>
  <c r="BR96" i="1" s="1"/>
  <c r="BB92" i="3"/>
  <c r="BR97" i="1" s="1"/>
  <c r="BB144" i="3"/>
  <c r="BR149" i="1" s="1"/>
  <c r="BB116" i="3"/>
  <c r="BR121" i="1" s="1"/>
  <c r="BB146" i="3"/>
  <c r="BR151" i="1" s="1"/>
  <c r="BB42" i="3"/>
  <c r="BR47" i="1" s="1"/>
  <c r="BB105" i="3"/>
  <c r="BR110" i="1" s="1"/>
  <c r="BB50" i="3"/>
  <c r="BR55" i="1" s="1"/>
  <c r="BB134" i="3"/>
  <c r="BR139" i="1" s="1"/>
  <c r="BB21" i="3"/>
  <c r="BR25" i="1" s="1"/>
  <c r="BB221" i="3"/>
  <c r="BR226" i="1" s="1"/>
  <c r="BB195" i="3"/>
  <c r="BR200" i="1" s="1"/>
  <c r="BB253" i="3"/>
  <c r="BR258" i="1" s="1"/>
  <c r="BB241" i="3"/>
  <c r="BR246" i="1" s="1"/>
  <c r="BB229" i="3"/>
  <c r="BR234" i="1" s="1"/>
  <c r="BB98" i="3"/>
  <c r="BR103" i="1" s="1"/>
  <c r="BB149" i="3"/>
  <c r="BR154" i="1" s="1"/>
  <c r="BB271" i="3"/>
  <c r="BR276" i="1" s="1"/>
  <c r="BB138" i="3"/>
  <c r="BR143" i="1" s="1"/>
  <c r="BB259" i="3"/>
  <c r="BR264" i="1" s="1"/>
  <c r="BB54" i="3"/>
  <c r="BR59" i="1" s="1"/>
  <c r="BB53" i="3"/>
  <c r="BR58" i="1" s="1"/>
  <c r="BB26" i="3"/>
  <c r="BR30" i="1" s="1"/>
  <c r="BB40" i="3"/>
  <c r="BR45" i="1" s="1"/>
  <c r="BB209" i="3"/>
  <c r="BR214" i="1" s="1"/>
  <c r="BB194" i="3"/>
  <c r="BR199" i="1" s="1"/>
  <c r="BB199" i="3"/>
  <c r="BR204" i="1" s="1"/>
  <c r="BB228" i="3"/>
  <c r="BR233" i="1" s="1"/>
  <c r="BB219" i="3"/>
  <c r="BR224" i="1" s="1"/>
  <c r="BB182" i="3"/>
  <c r="BR187" i="1" s="1"/>
  <c r="BB115" i="3"/>
  <c r="BR120" i="1" s="1"/>
  <c r="BB186" i="3"/>
  <c r="BR191" i="1" s="1"/>
  <c r="BB180" i="3"/>
  <c r="BR185" i="1" s="1"/>
  <c r="BB126" i="3"/>
  <c r="BR131" i="1" s="1"/>
  <c r="BB46" i="3"/>
  <c r="BR51" i="1" s="1"/>
  <c r="BB51" i="3"/>
  <c r="BR56" i="1" s="1"/>
  <c r="BB25" i="3"/>
  <c r="BR29" i="1" s="1"/>
  <c r="BB41" i="3"/>
  <c r="BR46" i="1" s="1"/>
  <c r="BB244" i="3"/>
  <c r="BR249" i="1" s="1"/>
  <c r="BB270" i="3"/>
  <c r="BR275" i="1" s="1"/>
  <c r="BB184" i="3"/>
  <c r="BR189" i="1" s="1"/>
  <c r="BB202" i="3"/>
  <c r="BR207" i="1" s="1"/>
  <c r="BB178" i="3"/>
  <c r="BR183" i="1" s="1"/>
  <c r="BB160" i="3"/>
  <c r="BR165" i="1" s="1"/>
  <c r="BB79" i="3"/>
  <c r="BR84" i="1" s="1"/>
  <c r="BB161" i="3"/>
  <c r="BR166" i="1" s="1"/>
  <c r="BB153" i="3"/>
  <c r="BR158" i="1" s="1"/>
  <c r="BB100" i="3"/>
  <c r="BR105" i="1" s="1"/>
  <c r="BB45" i="3"/>
  <c r="BR50" i="1" s="1"/>
  <c r="BB97" i="3"/>
  <c r="BR102" i="1" s="1"/>
  <c r="BB24" i="3"/>
  <c r="BR28" i="1" s="1"/>
  <c r="BB17" i="3"/>
  <c r="BR21" i="1" s="1"/>
  <c r="BB236" i="3"/>
  <c r="BR241" i="1" s="1"/>
  <c r="BB185" i="3"/>
  <c r="BR190" i="1" s="1"/>
  <c r="BB243" i="3"/>
  <c r="BR248" i="1" s="1"/>
  <c r="BB171" i="3"/>
  <c r="BR176" i="1" s="1"/>
  <c r="BB204" i="3"/>
  <c r="BR209" i="1" s="1"/>
  <c r="BB75" i="3"/>
  <c r="BR80" i="1" s="1"/>
  <c r="BB147" i="3"/>
  <c r="BR152" i="1" s="1"/>
  <c r="BB261" i="3"/>
  <c r="BR266" i="1" s="1"/>
  <c r="BB66" i="3"/>
  <c r="BR71" i="1" s="1"/>
  <c r="BB104" i="3"/>
  <c r="BR109" i="1" s="1"/>
  <c r="BB62" i="3"/>
  <c r="BR67" i="1" s="1"/>
  <c r="BB31" i="3"/>
  <c r="BR36" i="1" s="1"/>
  <c r="BB77" i="3"/>
  <c r="BR82" i="1" s="1"/>
  <c r="BB63" i="3"/>
  <c r="BR68" i="1" s="1"/>
  <c r="BB18" i="3"/>
  <c r="BR22" i="1" s="1"/>
  <c r="BB245" i="3"/>
  <c r="BR250" i="1" s="1"/>
  <c r="BB181" i="3"/>
  <c r="BR186" i="1" s="1"/>
  <c r="BB168" i="3"/>
  <c r="BR173" i="1" s="1"/>
  <c r="BB111" i="3"/>
  <c r="BR116" i="1" s="1"/>
  <c r="BB198" i="3"/>
  <c r="BR203" i="1" s="1"/>
  <c r="BB121" i="3"/>
  <c r="BR126" i="1" s="1"/>
  <c r="BB141" i="3"/>
  <c r="BR146" i="1" s="1"/>
  <c r="BB33" i="3"/>
  <c r="BR38" i="1" s="1"/>
  <c r="BB129" i="3"/>
  <c r="BR134" i="1" s="1"/>
  <c r="BB64" i="3"/>
  <c r="BR69" i="1" s="1"/>
  <c r="BB233" i="3"/>
  <c r="BR238" i="1" s="1"/>
  <c r="BB264" i="3"/>
  <c r="BR269" i="1" s="1"/>
  <c r="BB266" i="3"/>
  <c r="BR271" i="1" s="1"/>
  <c r="BB99" i="3"/>
  <c r="BR104" i="1" s="1"/>
  <c r="BB170" i="3"/>
  <c r="BR175" i="1" s="1"/>
  <c r="BB82" i="3"/>
  <c r="BR87" i="1" s="1"/>
  <c r="BB73" i="3"/>
  <c r="BR78" i="1" s="1"/>
  <c r="BB32" i="3"/>
  <c r="BR37" i="1" s="1"/>
  <c r="BB72" i="3"/>
  <c r="BR77" i="1" s="1"/>
  <c r="BB69" i="3"/>
  <c r="BR74" i="1" s="1"/>
  <c r="BB196" i="3"/>
  <c r="BR201" i="1" s="1"/>
  <c r="BB139" i="3"/>
  <c r="BR144" i="1" s="1"/>
  <c r="BB165" i="3"/>
  <c r="BR170" i="1" s="1"/>
  <c r="BB110" i="3"/>
  <c r="BR115" i="1" s="1"/>
  <c r="BB59" i="3"/>
  <c r="BR64" i="1" s="1"/>
  <c r="BB142" i="3"/>
  <c r="BR147" i="1" s="1"/>
  <c r="BB81" i="3"/>
  <c r="BR86" i="1" s="1"/>
  <c r="BB80" i="3"/>
  <c r="BR85" i="1" s="1"/>
  <c r="BB112" i="3"/>
  <c r="BR117" i="1" s="1"/>
  <c r="BB220" i="3"/>
  <c r="BR225" i="1" s="1"/>
  <c r="BB230" i="3"/>
  <c r="BR235" i="1" s="1"/>
  <c r="BB267" i="3"/>
  <c r="BR272" i="1" s="1"/>
  <c r="BB113" i="3"/>
  <c r="BR118" i="1" s="1"/>
  <c r="BB78" i="3"/>
  <c r="BR83" i="1" s="1"/>
  <c r="BB44" i="3"/>
  <c r="BR49" i="1" s="1"/>
  <c r="BB22" i="3"/>
  <c r="BR26" i="1" s="1"/>
  <c r="BB203" i="3"/>
  <c r="BR208" i="1" s="1"/>
  <c r="BB193" i="3"/>
  <c r="BR198" i="1" s="1"/>
  <c r="BB140" i="3"/>
  <c r="BR145" i="1" s="1"/>
  <c r="BB102" i="3"/>
  <c r="BR107" i="1" s="1"/>
  <c r="BB89" i="3"/>
  <c r="BR94" i="1" s="1"/>
  <c r="BB67" i="3"/>
  <c r="BR72" i="1" s="1"/>
  <c r="BB29" i="3"/>
  <c r="BR34" i="1" s="1"/>
  <c r="BB272" i="3"/>
  <c r="BR277" i="1" s="1"/>
  <c r="BB93" i="3"/>
  <c r="BR98" i="1" s="1"/>
  <c r="BB258" i="3"/>
  <c r="BR263" i="1" s="1"/>
  <c r="BB189" i="3"/>
  <c r="BR194" i="1" s="1"/>
  <c r="BB132" i="3"/>
  <c r="BR137" i="1" s="1"/>
  <c r="BB137" i="3"/>
  <c r="BR142" i="1" s="1"/>
  <c r="BB150" i="3"/>
  <c r="BR155" i="1" s="1"/>
  <c r="BB143" i="3"/>
  <c r="BR148" i="1" s="1"/>
  <c r="BB19" i="3"/>
  <c r="BR23" i="1" s="1"/>
  <c r="BB222" i="3"/>
  <c r="BR227" i="1" s="1"/>
  <c r="BB187" i="3"/>
  <c r="BR192" i="1" s="1"/>
  <c r="BB167" i="3"/>
  <c r="BR172" i="1" s="1"/>
  <c r="BB226" i="3"/>
  <c r="BR231" i="1" s="1"/>
  <c r="BB122" i="3"/>
  <c r="BR127" i="1" s="1"/>
  <c r="BB120" i="3"/>
  <c r="BR125" i="1" s="1"/>
  <c r="BB212" i="3"/>
  <c r="BR217" i="1" s="1"/>
  <c r="BB151" i="3"/>
  <c r="BR156" i="1" s="1"/>
  <c r="BB240" i="3"/>
  <c r="BR245" i="1" s="1"/>
  <c r="BB255" i="3"/>
  <c r="BR260" i="1" s="1"/>
  <c r="BB158" i="3"/>
  <c r="BR163" i="1" s="1"/>
  <c r="BB65" i="3"/>
  <c r="BR70" i="1" s="1"/>
  <c r="BB36" i="3"/>
  <c r="BR41" i="1" s="1"/>
  <c r="BB232" i="3"/>
  <c r="BR237" i="1" s="1"/>
  <c r="BB265" i="3"/>
  <c r="BR270" i="1" s="1"/>
  <c r="BB247" i="3"/>
  <c r="BR252" i="1" s="1"/>
  <c r="BB262" i="3"/>
  <c r="BR267" i="1" s="1"/>
  <c r="BB106" i="3"/>
  <c r="BR111" i="1" s="1"/>
  <c r="BB57" i="3"/>
  <c r="BR62" i="1" s="1"/>
  <c r="BB23" i="3"/>
  <c r="BR27" i="1" s="1"/>
  <c r="BB227" i="3"/>
  <c r="BR232" i="1" s="1"/>
  <c r="BB145" i="3"/>
  <c r="BR150" i="1" s="1"/>
  <c r="BB148" i="3"/>
  <c r="BR153" i="1" s="1"/>
  <c r="BB61" i="3"/>
  <c r="BR66" i="1" s="1"/>
  <c r="BB190" i="3"/>
  <c r="BR195" i="1" s="1"/>
  <c r="BB152" i="3"/>
  <c r="BR157" i="1" s="1"/>
  <c r="BB162" i="3"/>
  <c r="BR167" i="1" s="1"/>
  <c r="BB37" i="3"/>
  <c r="BR42" i="1" s="1"/>
  <c r="BB242" i="3"/>
  <c r="BR247" i="1" s="1"/>
  <c r="BB114" i="3"/>
  <c r="BR119" i="1" s="1"/>
  <c r="BB164" i="3"/>
  <c r="BR169" i="1" s="1"/>
  <c r="BB163" i="3"/>
  <c r="BR168" i="1" s="1"/>
  <c r="BB133" i="3"/>
  <c r="BR138" i="1" s="1"/>
  <c r="BB84" i="3"/>
  <c r="BR89" i="1" s="1"/>
  <c r="BB125" i="3"/>
  <c r="BR130" i="1" s="1"/>
  <c r="BB172" i="3"/>
  <c r="BR177" i="1" s="1"/>
  <c r="BB166" i="3"/>
  <c r="BR171" i="1" s="1"/>
  <c r="BB15" i="3"/>
  <c r="BB157" i="3"/>
  <c r="BR162" i="1" s="1"/>
  <c r="BB96" i="3"/>
  <c r="BR101" i="1" s="1"/>
  <c r="BB251" i="3"/>
  <c r="BR256" i="1" s="1"/>
  <c r="BB28" i="3"/>
  <c r="BR32" i="1" s="1"/>
  <c r="BB173" i="3"/>
  <c r="BR178" i="1" s="1"/>
  <c r="BB101" i="3"/>
  <c r="BR106" i="1" s="1"/>
  <c r="BB34" i="3"/>
  <c r="BR39" i="1" s="1"/>
  <c r="BB58" i="3"/>
  <c r="BR63" i="1" s="1"/>
  <c r="BB235" i="3"/>
  <c r="BR240" i="1" s="1"/>
  <c r="BB260" i="3"/>
  <c r="BR265" i="1" s="1"/>
  <c r="BB135" i="3"/>
  <c r="BR140" i="1" s="1"/>
  <c r="BB214" i="3"/>
  <c r="BR219" i="1" s="1"/>
  <c r="BB83" i="3"/>
  <c r="BR88" i="1" s="1"/>
  <c r="BB224" i="3"/>
  <c r="BR229" i="1" s="1"/>
  <c r="BB123" i="3"/>
  <c r="BR128" i="1" s="1"/>
  <c r="BB154" i="3"/>
  <c r="BR159" i="1" s="1"/>
  <c r="BB49" i="3"/>
  <c r="BR54" i="1" s="1"/>
  <c r="BB208" i="3"/>
  <c r="BR213" i="1" s="1"/>
  <c r="BB127" i="3"/>
  <c r="BR132" i="1" s="1"/>
  <c r="BB70" i="3"/>
  <c r="BR75" i="1" s="1"/>
  <c r="BB13" i="3"/>
  <c r="BB263" i="3"/>
  <c r="BR268" i="1" s="1"/>
  <c r="BB177" i="3"/>
  <c r="BR182" i="1" s="1"/>
  <c r="BB47" i="3"/>
  <c r="BR52" i="1" s="1"/>
  <c r="BB117" i="3"/>
  <c r="BR122" i="1" s="1"/>
  <c r="BB155" i="3"/>
  <c r="BR160" i="1" s="1"/>
  <c r="AT21" i="1"/>
  <c r="AV21" i="1"/>
  <c r="AP21" i="1" s="1" a="1"/>
  <c r="AU21" i="1"/>
  <c r="AO21" i="1" s="1" a="1"/>
  <c r="AS21" i="1"/>
  <c r="AK21" i="1"/>
  <c r="AE21" i="1" s="1" a="1"/>
  <c r="AJ21" i="1"/>
  <c r="AD21" i="1" s="1" a="1"/>
  <c r="AH21" i="1"/>
  <c r="AI21" i="1"/>
  <c r="Y21" i="1"/>
  <c r="S21" i="1" s="1" a="1"/>
  <c r="X21" i="1"/>
  <c r="Z21" i="1"/>
  <c r="T21" i="1" s="1" a="1"/>
  <c r="W21" i="1"/>
  <c r="O21" i="1"/>
  <c r="I21" i="1" s="1" a="1"/>
  <c r="M21" i="1"/>
  <c r="L21" i="1"/>
  <c r="N21" i="1"/>
  <c r="H21" i="1" s="1" a="1"/>
  <c r="H21" i="1" l="1"/>
  <c r="AD21" i="1"/>
  <c r="AE21" i="1"/>
  <c r="AP21" i="1"/>
  <c r="I21" i="1"/>
  <c r="T21" i="1"/>
  <c r="S21" i="1"/>
  <c r="AO21" i="1"/>
  <c r="BR33" i="1"/>
  <c r="BB21" i="1"/>
  <c r="AL11" i="3" s="1"/>
  <c r="BA21" i="1"/>
  <c r="W11" i="3" s="1"/>
  <c r="W10" i="3" l="1"/>
  <c r="AL10" i="3"/>
  <c r="BA201" i="3" l="1"/>
  <c r="BQ206" i="1" s="1"/>
  <c r="BA221" i="3"/>
  <c r="BQ226" i="1" s="1"/>
  <c r="BA219" i="3"/>
  <c r="BQ224" i="1" s="1"/>
  <c r="BA214" i="3"/>
  <c r="BQ219" i="1" s="1"/>
  <c r="BA266" i="3"/>
  <c r="BQ271" i="1" s="1"/>
  <c r="BA185" i="3"/>
  <c r="BQ190" i="1" s="1"/>
  <c r="BA136" i="3"/>
  <c r="BQ141" i="1" s="1"/>
  <c r="BA168" i="3"/>
  <c r="BQ173" i="1" s="1"/>
  <c r="BA173" i="3"/>
  <c r="BQ178" i="1" s="1"/>
  <c r="BA146" i="3"/>
  <c r="BQ151" i="1" s="1"/>
  <c r="BA178" i="3"/>
  <c r="BQ183" i="1" s="1"/>
  <c r="BA105" i="3"/>
  <c r="BQ110" i="1" s="1"/>
  <c r="BA114" i="3"/>
  <c r="BQ119" i="1" s="1"/>
  <c r="BA198" i="3"/>
  <c r="BQ203" i="1" s="1"/>
  <c r="BA145" i="3"/>
  <c r="BQ150" i="1" s="1"/>
  <c r="BA273" i="3"/>
  <c r="BQ278" i="1" s="1"/>
  <c r="BA246" i="3"/>
  <c r="BQ251" i="1" s="1"/>
  <c r="BA260" i="3"/>
  <c r="BQ265" i="1" s="1"/>
  <c r="BA190" i="3"/>
  <c r="BQ195" i="1" s="1"/>
  <c r="BA228" i="3"/>
  <c r="BQ233" i="1" s="1"/>
  <c r="BA227" i="3"/>
  <c r="BQ232" i="1" s="1"/>
  <c r="BA187" i="3"/>
  <c r="BQ192" i="1" s="1"/>
  <c r="BA203" i="3"/>
  <c r="BQ208" i="1" s="1"/>
  <c r="BA206" i="3"/>
  <c r="BQ211" i="1" s="1"/>
  <c r="BA131" i="3"/>
  <c r="BQ136" i="1" s="1"/>
  <c r="BA157" i="3"/>
  <c r="BQ162" i="1" s="1"/>
  <c r="BA73" i="3"/>
  <c r="BQ78" i="1" s="1"/>
  <c r="BA107" i="3"/>
  <c r="BQ112" i="1" s="1"/>
  <c r="BA119" i="3"/>
  <c r="BQ124" i="1" s="1"/>
  <c r="BA103" i="3"/>
  <c r="BQ108" i="1" s="1"/>
  <c r="BA70" i="3"/>
  <c r="BQ75" i="1" s="1"/>
  <c r="BA34" i="3"/>
  <c r="BQ39" i="1" s="1"/>
  <c r="BA37" i="3"/>
  <c r="BQ42" i="1" s="1"/>
  <c r="BA46" i="3"/>
  <c r="BQ51" i="1" s="1"/>
  <c r="BA47" i="3"/>
  <c r="BQ52" i="1" s="1"/>
  <c r="BA91" i="3"/>
  <c r="BQ96" i="1" s="1"/>
  <c r="BA237" i="3"/>
  <c r="BQ242" i="1" s="1"/>
  <c r="BA245" i="3"/>
  <c r="BQ250" i="1" s="1"/>
  <c r="BA224" i="3"/>
  <c r="BQ229" i="1" s="1"/>
  <c r="BA202" i="3"/>
  <c r="BQ207" i="1" s="1"/>
  <c r="BA229" i="3"/>
  <c r="BQ234" i="1" s="1"/>
  <c r="BA169" i="3"/>
  <c r="BQ174" i="1" s="1"/>
  <c r="BA235" i="3"/>
  <c r="BQ240" i="1" s="1"/>
  <c r="BA138" i="3"/>
  <c r="BQ143" i="1" s="1"/>
  <c r="BA111" i="3"/>
  <c r="BQ116" i="1" s="1"/>
  <c r="BA160" i="3"/>
  <c r="BQ165" i="1" s="1"/>
  <c r="BA80" i="3"/>
  <c r="BQ85" i="1" s="1"/>
  <c r="BA141" i="3"/>
  <c r="BQ146" i="1" s="1"/>
  <c r="BA247" i="3"/>
  <c r="BQ252" i="1" s="1"/>
  <c r="BA175" i="3"/>
  <c r="BQ180" i="1" s="1"/>
  <c r="BA149" i="3"/>
  <c r="BQ154" i="1" s="1"/>
  <c r="BA65" i="3"/>
  <c r="BQ70" i="1" s="1"/>
  <c r="BA113" i="3"/>
  <c r="BQ118" i="1" s="1"/>
  <c r="BA27" i="3"/>
  <c r="BQ31" i="1" s="1"/>
  <c r="BA218" i="3"/>
  <c r="BQ223" i="1" s="1"/>
  <c r="BA25" i="3"/>
  <c r="BQ29" i="1" s="1"/>
  <c r="BA23" i="3"/>
  <c r="BQ27" i="1" s="1"/>
  <c r="BA258" i="3"/>
  <c r="BQ263" i="1" s="1"/>
  <c r="BA248" i="3"/>
  <c r="BQ253" i="1" s="1"/>
  <c r="BA238" i="3"/>
  <c r="BQ243" i="1" s="1"/>
  <c r="BA208" i="3"/>
  <c r="BQ213" i="1" s="1"/>
  <c r="BA125" i="3"/>
  <c r="BQ130" i="1" s="1"/>
  <c r="BA217" i="3"/>
  <c r="BQ222" i="1" s="1"/>
  <c r="BA159" i="3"/>
  <c r="BQ164" i="1" s="1"/>
  <c r="BA256" i="3"/>
  <c r="BQ261" i="1" s="1"/>
  <c r="BA223" i="3"/>
  <c r="BQ228" i="1" s="1"/>
  <c r="BA171" i="3"/>
  <c r="BQ176" i="1" s="1"/>
  <c r="BA122" i="3"/>
  <c r="BQ127" i="1" s="1"/>
  <c r="BA77" i="3"/>
  <c r="BQ82" i="1" s="1"/>
  <c r="BA89" i="3"/>
  <c r="BQ94" i="1" s="1"/>
  <c r="BA43" i="3"/>
  <c r="BQ48" i="1" s="1"/>
  <c r="BA19" i="3"/>
  <c r="BQ23" i="1" s="1"/>
  <c r="BA50" i="3"/>
  <c r="BQ55" i="1" s="1"/>
  <c r="BA26" i="3"/>
  <c r="BQ30" i="1" s="1"/>
  <c r="BA234" i="3"/>
  <c r="BQ239" i="1" s="1"/>
  <c r="BA243" i="3"/>
  <c r="BQ248" i="1" s="1"/>
  <c r="BA226" i="3"/>
  <c r="BQ231" i="1" s="1"/>
  <c r="BA183" i="3"/>
  <c r="BQ188" i="1" s="1"/>
  <c r="BA241" i="3"/>
  <c r="BQ246" i="1" s="1"/>
  <c r="BA172" i="3"/>
  <c r="BQ177" i="1" s="1"/>
  <c r="BA151" i="3"/>
  <c r="BQ156" i="1" s="1"/>
  <c r="BA205" i="3"/>
  <c r="BQ210" i="1" s="1"/>
  <c r="BA162" i="3"/>
  <c r="BQ167" i="1" s="1"/>
  <c r="BA161" i="3"/>
  <c r="BQ166" i="1" s="1"/>
  <c r="BA108" i="3"/>
  <c r="BQ113" i="1" s="1"/>
  <c r="BA120" i="3"/>
  <c r="BQ125" i="1" s="1"/>
  <c r="BA78" i="3"/>
  <c r="BQ83" i="1" s="1"/>
  <c r="BA147" i="3"/>
  <c r="BQ152" i="1" s="1"/>
  <c r="BA18" i="3"/>
  <c r="BQ22" i="1" s="1"/>
  <c r="BA15" i="3"/>
  <c r="BQ19" i="1" s="1"/>
  <c r="BA110" i="3"/>
  <c r="BQ115" i="1" s="1"/>
  <c r="BA261" i="3"/>
  <c r="BQ266" i="1" s="1"/>
  <c r="BA233" i="3"/>
  <c r="BQ238" i="1" s="1"/>
  <c r="BA200" i="3"/>
  <c r="BQ205" i="1" s="1"/>
  <c r="BA240" i="3"/>
  <c r="BQ245" i="1" s="1"/>
  <c r="BA239" i="3"/>
  <c r="BQ244" i="1" s="1"/>
  <c r="BA263" i="3"/>
  <c r="BQ268" i="1" s="1"/>
  <c r="BA126" i="3"/>
  <c r="BQ131" i="1" s="1"/>
  <c r="BA75" i="3"/>
  <c r="BQ80" i="1" s="1"/>
  <c r="BA176" i="3"/>
  <c r="BQ181" i="1" s="1"/>
  <c r="BA60" i="3"/>
  <c r="BQ65" i="1" s="1"/>
  <c r="BA156" i="3"/>
  <c r="BQ161" i="1" s="1"/>
  <c r="BA118" i="3"/>
  <c r="BQ123" i="1" s="1"/>
  <c r="BA128" i="3"/>
  <c r="BQ133" i="1" s="1"/>
  <c r="BA42" i="3"/>
  <c r="BQ47" i="1" s="1"/>
  <c r="BA68" i="3"/>
  <c r="BQ73" i="1" s="1"/>
  <c r="BA39" i="3"/>
  <c r="BQ44" i="1" s="1"/>
  <c r="BA22" i="3"/>
  <c r="BQ26" i="1" s="1"/>
  <c r="BA13" i="3"/>
  <c r="BA270" i="3"/>
  <c r="BQ275" i="1" s="1"/>
  <c r="BA212" i="3"/>
  <c r="BQ217" i="1" s="1"/>
  <c r="BA204" i="3"/>
  <c r="BQ209" i="1" s="1"/>
  <c r="BA137" i="3"/>
  <c r="BQ142" i="1" s="1"/>
  <c r="BA166" i="3"/>
  <c r="BQ171" i="1" s="1"/>
  <c r="BA179" i="3"/>
  <c r="BQ184" i="1" s="1"/>
  <c r="BA92" i="3"/>
  <c r="BQ97" i="1" s="1"/>
  <c r="BA81" i="3"/>
  <c r="BQ86" i="1" s="1"/>
  <c r="BA83" i="3"/>
  <c r="BQ88" i="1" s="1"/>
  <c r="BA54" i="3"/>
  <c r="BQ59" i="1" s="1"/>
  <c r="BA44" i="3"/>
  <c r="BQ49" i="1" s="1"/>
  <c r="BA98" i="3"/>
  <c r="BQ103" i="1" s="1"/>
  <c r="BA52" i="3"/>
  <c r="BQ57" i="1" s="1"/>
  <c r="BA222" i="3"/>
  <c r="BQ227" i="1" s="1"/>
  <c r="BA207" i="3"/>
  <c r="BQ212" i="1" s="1"/>
  <c r="BA196" i="3"/>
  <c r="BQ201" i="1" s="1"/>
  <c r="BA195" i="3"/>
  <c r="BQ200" i="1" s="1"/>
  <c r="BA144" i="3"/>
  <c r="BQ149" i="1" s="1"/>
  <c r="BA130" i="3"/>
  <c r="BQ135" i="1" s="1"/>
  <c r="BA134" i="3"/>
  <c r="BQ139" i="1" s="1"/>
  <c r="BA67" i="3"/>
  <c r="BQ72" i="1" s="1"/>
  <c r="BA192" i="3"/>
  <c r="BQ197" i="1" s="1"/>
  <c r="BA57" i="3"/>
  <c r="BQ62" i="1" s="1"/>
  <c r="BA211" i="3"/>
  <c r="BQ216" i="1" s="1"/>
  <c r="BA61" i="3"/>
  <c r="BQ66" i="1" s="1"/>
  <c r="BA59" i="3"/>
  <c r="BQ64" i="1" s="1"/>
  <c r="BA210" i="3"/>
  <c r="BQ215" i="1" s="1"/>
  <c r="BA177" i="3"/>
  <c r="BQ182" i="1" s="1"/>
  <c r="BA182" i="3"/>
  <c r="BQ187" i="1" s="1"/>
  <c r="BA181" i="3"/>
  <c r="BQ186" i="1" s="1"/>
  <c r="BA112" i="3"/>
  <c r="BQ117" i="1" s="1"/>
  <c r="BA129" i="3"/>
  <c r="BQ134" i="1" s="1"/>
  <c r="BA97" i="3"/>
  <c r="BQ102" i="1" s="1"/>
  <c r="BA148" i="3"/>
  <c r="BQ153" i="1" s="1"/>
  <c r="BA115" i="3"/>
  <c r="BQ120" i="1" s="1"/>
  <c r="BA55" i="3"/>
  <c r="BQ60" i="1" s="1"/>
  <c r="BA66" i="3"/>
  <c r="BQ71" i="1" s="1"/>
  <c r="BA30" i="3"/>
  <c r="BQ35" i="1" s="1"/>
  <c r="BA40" i="3"/>
  <c r="BQ45" i="1" s="1"/>
  <c r="BA269" i="3"/>
  <c r="BQ274" i="1" s="1"/>
  <c r="BA191" i="3"/>
  <c r="BQ196" i="1" s="1"/>
  <c r="BA259" i="3"/>
  <c r="BQ264" i="1" s="1"/>
  <c r="BA165" i="3"/>
  <c r="BQ170" i="1" s="1"/>
  <c r="BA100" i="3"/>
  <c r="BQ105" i="1" s="1"/>
  <c r="BA109" i="3"/>
  <c r="BQ114" i="1" s="1"/>
  <c r="BA85" i="3"/>
  <c r="BQ90" i="1" s="1"/>
  <c r="BA272" i="3"/>
  <c r="BQ277" i="1" s="1"/>
  <c r="BA193" i="3"/>
  <c r="BQ198" i="1" s="1"/>
  <c r="BA180" i="3"/>
  <c r="BQ185" i="1" s="1"/>
  <c r="BA220" i="3"/>
  <c r="BQ225" i="1" s="1"/>
  <c r="BA139" i="3"/>
  <c r="BQ144" i="1" s="1"/>
  <c r="BA244" i="3"/>
  <c r="BQ249" i="1" s="1"/>
  <c r="BA143" i="3"/>
  <c r="BQ148" i="1" s="1"/>
  <c r="BA101" i="3"/>
  <c r="BQ106" i="1" s="1"/>
  <c r="BA133" i="3"/>
  <c r="BQ138" i="1" s="1"/>
  <c r="BA96" i="3"/>
  <c r="BQ101" i="1" s="1"/>
  <c r="BA17" i="3"/>
  <c r="BQ21" i="1" s="1"/>
  <c r="BA33" i="3"/>
  <c r="BQ38" i="1" s="1"/>
  <c r="BA189" i="3"/>
  <c r="BQ194" i="1" s="1"/>
  <c r="BA264" i="3"/>
  <c r="BQ269" i="1" s="1"/>
  <c r="BA230" i="3"/>
  <c r="BQ235" i="1" s="1"/>
  <c r="BA132" i="3"/>
  <c r="BQ137" i="1" s="1"/>
  <c r="BA135" i="3"/>
  <c r="BQ140" i="1" s="1"/>
  <c r="BA79" i="3"/>
  <c r="BQ84" i="1" s="1"/>
  <c r="BA86" i="3"/>
  <c r="BQ91" i="1" s="1"/>
  <c r="BA41" i="3"/>
  <c r="BQ46" i="1" s="1"/>
  <c r="BA257" i="3"/>
  <c r="BQ262" i="1" s="1"/>
  <c r="BA252" i="3"/>
  <c r="BQ257" i="1" s="1"/>
  <c r="BA199" i="3"/>
  <c r="BQ204" i="1" s="1"/>
  <c r="BA271" i="3"/>
  <c r="BQ276" i="1" s="1"/>
  <c r="BA93" i="3"/>
  <c r="BQ98" i="1" s="1"/>
  <c r="BA64" i="3"/>
  <c r="BQ69" i="1" s="1"/>
  <c r="BA74" i="3"/>
  <c r="BQ79" i="1" s="1"/>
  <c r="BA255" i="3"/>
  <c r="BQ260" i="1" s="1"/>
  <c r="BA140" i="3"/>
  <c r="BQ145" i="1" s="1"/>
  <c r="BA88" i="3"/>
  <c r="BQ93" i="1" s="1"/>
  <c r="BA116" i="3"/>
  <c r="BQ121" i="1" s="1"/>
  <c r="BA158" i="3"/>
  <c r="BQ163" i="1" s="1"/>
  <c r="BA56" i="3"/>
  <c r="BQ61" i="1" s="1"/>
  <c r="BA20" i="3"/>
  <c r="BQ24" i="1" s="1"/>
  <c r="BA32" i="3"/>
  <c r="BQ37" i="1" s="1"/>
  <c r="BA197" i="3"/>
  <c r="BQ202" i="1" s="1"/>
  <c r="BA174" i="3"/>
  <c r="BQ179" i="1" s="1"/>
  <c r="BA87" i="3"/>
  <c r="BQ92" i="1" s="1"/>
  <c r="BA188" i="3"/>
  <c r="BQ193" i="1" s="1"/>
  <c r="BA62" i="3"/>
  <c r="BQ67" i="1" s="1"/>
  <c r="BA106" i="3"/>
  <c r="BQ111" i="1" s="1"/>
  <c r="BA262" i="3"/>
  <c r="BQ267" i="1" s="1"/>
  <c r="BA242" i="3"/>
  <c r="BQ247" i="1" s="1"/>
  <c r="BA104" i="3"/>
  <c r="BQ109" i="1" s="1"/>
  <c r="BA102" i="3"/>
  <c r="BQ107" i="1" s="1"/>
  <c r="BA63" i="3"/>
  <c r="BQ68" i="1" s="1"/>
  <c r="BA58" i="3"/>
  <c r="BQ63" i="1" s="1"/>
  <c r="BA250" i="3"/>
  <c r="BQ255" i="1" s="1"/>
  <c r="BA232" i="3"/>
  <c r="BQ237" i="1" s="1"/>
  <c r="BA72" i="3"/>
  <c r="BQ77" i="1" s="1"/>
  <c r="BA84" i="3"/>
  <c r="BQ89" i="1" s="1"/>
  <c r="BA45" i="3"/>
  <c r="BQ50" i="1" s="1"/>
  <c r="BA71" i="3"/>
  <c r="BQ76" i="1" s="1"/>
  <c r="BA184" i="3"/>
  <c r="BQ189" i="1" s="1"/>
  <c r="BA194" i="3"/>
  <c r="BQ199" i="1" s="1"/>
  <c r="BA265" i="3"/>
  <c r="BQ270" i="1" s="1"/>
  <c r="BA95" i="3"/>
  <c r="BQ100" i="1" s="1"/>
  <c r="BA21" i="3"/>
  <c r="BQ25" i="1" s="1"/>
  <c r="BA213" i="3"/>
  <c r="BQ218" i="1" s="1"/>
  <c r="BA152" i="3"/>
  <c r="BQ157" i="1" s="1"/>
  <c r="BA127" i="3"/>
  <c r="BQ132" i="1" s="1"/>
  <c r="BA117" i="3"/>
  <c r="BQ122" i="1" s="1"/>
  <c r="BA16" i="3"/>
  <c r="BQ20" i="1" s="1"/>
  <c r="BA51" i="3"/>
  <c r="BQ56" i="1" s="1"/>
  <c r="BA209" i="3"/>
  <c r="BQ214" i="1" s="1"/>
  <c r="BA251" i="3"/>
  <c r="BQ256" i="1" s="1"/>
  <c r="BA99" i="3"/>
  <c r="BQ104" i="1" s="1"/>
  <c r="BA154" i="3"/>
  <c r="BQ159" i="1" s="1"/>
  <c r="BA150" i="3"/>
  <c r="BQ155" i="1" s="1"/>
  <c r="BA28" i="3"/>
  <c r="BQ32" i="1" s="1"/>
  <c r="BA90" i="3"/>
  <c r="BQ95" i="1" s="1"/>
  <c r="BA186" i="3"/>
  <c r="BQ191" i="1" s="1"/>
  <c r="BA142" i="3"/>
  <c r="BQ147" i="1" s="1"/>
  <c r="BA49" i="3"/>
  <c r="BQ54" i="1" s="1"/>
  <c r="BA216" i="3"/>
  <c r="BQ221" i="1" s="1"/>
  <c r="BA155" i="3"/>
  <c r="BQ160" i="1" s="1"/>
  <c r="BA29" i="3"/>
  <c r="BQ33" i="1" s="1"/>
  <c r="BA124" i="3"/>
  <c r="BQ129" i="1" s="1"/>
  <c r="BA36" i="3"/>
  <c r="BQ41" i="1" s="1"/>
  <c r="BA164" i="3"/>
  <c r="BQ169" i="1" s="1"/>
  <c r="BA123" i="3"/>
  <c r="BQ128" i="1" s="1"/>
  <c r="BA121" i="3"/>
  <c r="BQ126" i="1" s="1"/>
  <c r="BA254" i="3"/>
  <c r="BQ259" i="1" s="1"/>
  <c r="BA69" i="3"/>
  <c r="BQ74" i="1" s="1"/>
  <c r="BA38" i="3"/>
  <c r="BQ43" i="1" s="1"/>
  <c r="BA24" i="3"/>
  <c r="BQ28" i="1" s="1"/>
  <c r="BA14" i="3"/>
  <c r="BA231" i="3"/>
  <c r="BQ236" i="1" s="1"/>
  <c r="BA170" i="3"/>
  <c r="BQ175" i="1" s="1"/>
  <c r="BA167" i="3"/>
  <c r="BQ172" i="1" s="1"/>
  <c r="BA31" i="3"/>
  <c r="BQ36" i="1" s="1"/>
  <c r="BA48" i="3"/>
  <c r="BQ53" i="1" s="1"/>
  <c r="BA253" i="3"/>
  <c r="BQ258" i="1" s="1"/>
  <c r="BA249" i="3"/>
  <c r="BQ254" i="1" s="1"/>
  <c r="BA76" i="3"/>
  <c r="BQ81" i="1" s="1"/>
  <c r="BA94" i="3"/>
  <c r="BQ99" i="1" s="1"/>
  <c r="BA225" i="3"/>
  <c r="BQ230" i="1" s="1"/>
  <c r="BA163" i="3"/>
  <c r="BQ168" i="1" s="1"/>
  <c r="BA82" i="3"/>
  <c r="BQ87" i="1" s="1"/>
  <c r="BA267" i="3"/>
  <c r="BQ272" i="1" s="1"/>
  <c r="BA215" i="3"/>
  <c r="BQ220" i="1" s="1"/>
  <c r="BA53" i="3"/>
  <c r="BQ58" i="1" s="1"/>
  <c r="BA236" i="3"/>
  <c r="BQ241" i="1" s="1"/>
  <c r="BA268" i="3"/>
  <c r="BQ273" i="1" s="1"/>
  <c r="BA35" i="3"/>
  <c r="BQ40" i="1" s="1"/>
  <c r="BA153" i="3"/>
  <c r="BQ158" i="1" s="1"/>
  <c r="E20" i="1"/>
  <c r="BW19" i="1"/>
  <c r="BV19" i="1"/>
  <c r="BU19" i="1"/>
  <c r="BT19" i="1"/>
  <c r="BS19" i="1"/>
  <c r="BR19" i="1"/>
  <c r="BK19" i="1"/>
  <c r="BG19" i="1"/>
  <c r="AY19" i="1"/>
  <c r="AY11" i="3" s="1"/>
  <c r="AK8" i="3" l="1"/>
  <c r="V8" i="3"/>
  <c r="BQ34" i="1"/>
  <c r="AV20" i="1"/>
  <c r="AP20" i="1" s="1" a="1"/>
  <c r="AU20" i="1"/>
  <c r="AO20" i="1" s="1" a="1"/>
  <c r="AT20" i="1"/>
  <c r="AS20" i="1"/>
  <c r="AK20" i="1"/>
  <c r="AJ20" i="1"/>
  <c r="AD20" i="1" s="1" a="1"/>
  <c r="AI20" i="1"/>
  <c r="AH20" i="1"/>
  <c r="Z20" i="1"/>
  <c r="T20" i="1" s="1" a="1"/>
  <c r="X20" i="1"/>
  <c r="Y20" i="1"/>
  <c r="S20" i="1" s="1" a="1"/>
  <c r="W20" i="1"/>
  <c r="N20" i="1"/>
  <c r="H20" i="1" s="1" a="1"/>
  <c r="M20" i="1"/>
  <c r="L20" i="1"/>
  <c r="O20" i="1"/>
  <c r="AE20" i="1" a="1"/>
  <c r="I20" i="1" a="1"/>
  <c r="I20" i="1" l="1"/>
  <c r="AD20" i="1"/>
  <c r="AE20" i="1"/>
  <c r="AO20" i="1"/>
  <c r="H20" i="1"/>
  <c r="S20" i="1"/>
  <c r="T20" i="1"/>
  <c r="AP20" i="1"/>
  <c r="BB20" i="1"/>
  <c r="AK11" i="3" s="1"/>
  <c r="BA20" i="1"/>
  <c r="V11" i="3" s="1"/>
  <c r="AK10" i="3" l="1"/>
  <c r="V10" i="3"/>
  <c r="AZ262" i="3" l="1"/>
  <c r="BP267" i="1" s="1"/>
  <c r="AZ211" i="3"/>
  <c r="BP216" i="1" s="1"/>
  <c r="AZ218" i="3"/>
  <c r="BP223" i="1" s="1"/>
  <c r="AZ225" i="3"/>
  <c r="BP230" i="1" s="1"/>
  <c r="AZ192" i="3"/>
  <c r="BP197" i="1" s="1"/>
  <c r="AZ165" i="3"/>
  <c r="BP170" i="1" s="1"/>
  <c r="AZ228" i="3"/>
  <c r="BP233" i="1" s="1"/>
  <c r="AZ156" i="3"/>
  <c r="BP161" i="1" s="1"/>
  <c r="AZ137" i="3"/>
  <c r="BP142" i="1" s="1"/>
  <c r="AZ113" i="3"/>
  <c r="BP118" i="1" s="1"/>
  <c r="AZ128" i="3"/>
  <c r="BP133" i="1" s="1"/>
  <c r="AZ135" i="3"/>
  <c r="BP140" i="1" s="1"/>
  <c r="AZ120" i="3"/>
  <c r="BP125" i="1" s="1"/>
  <c r="AZ124" i="3"/>
  <c r="BP129" i="1" s="1"/>
  <c r="AZ121" i="3"/>
  <c r="BP126" i="1" s="1"/>
  <c r="AZ158" i="3"/>
  <c r="BP163" i="1" s="1"/>
  <c r="AZ202" i="3"/>
  <c r="BP207" i="1" s="1"/>
  <c r="AZ222" i="3"/>
  <c r="BP227" i="1" s="1"/>
  <c r="AZ268" i="3"/>
  <c r="BP273" i="1" s="1"/>
  <c r="AZ187" i="3"/>
  <c r="BP192" i="1" s="1"/>
  <c r="AZ227" i="3"/>
  <c r="BP232" i="1" s="1"/>
  <c r="AZ204" i="3"/>
  <c r="BP209" i="1" s="1"/>
  <c r="AZ172" i="3"/>
  <c r="BP177" i="1" s="1"/>
  <c r="AZ143" i="3"/>
  <c r="BP148" i="1" s="1"/>
  <c r="AZ186" i="3"/>
  <c r="BP191" i="1" s="1"/>
  <c r="AZ112" i="3"/>
  <c r="BP117" i="1" s="1"/>
  <c r="AZ140" i="3"/>
  <c r="BP145" i="1" s="1"/>
  <c r="AZ81" i="3"/>
  <c r="BP86" i="1" s="1"/>
  <c r="AZ102" i="3"/>
  <c r="BP107" i="1" s="1"/>
  <c r="AZ96" i="3"/>
  <c r="BP101" i="1" s="1"/>
  <c r="AZ86" i="3"/>
  <c r="BP91" i="1" s="1"/>
  <c r="AZ190" i="3"/>
  <c r="BP195" i="1" s="1"/>
  <c r="AZ210" i="3"/>
  <c r="BP215" i="1" s="1"/>
  <c r="AZ261" i="3"/>
  <c r="BP266" i="1" s="1"/>
  <c r="AZ269" i="3"/>
  <c r="BP274" i="1" s="1"/>
  <c r="AZ215" i="3"/>
  <c r="BP220" i="1" s="1"/>
  <c r="AZ267" i="3"/>
  <c r="BP272" i="1" s="1"/>
  <c r="AZ171" i="3"/>
  <c r="BP176" i="1" s="1"/>
  <c r="AZ142" i="3"/>
  <c r="BP147" i="1" s="1"/>
  <c r="AZ182" i="3"/>
  <c r="BP187" i="1" s="1"/>
  <c r="AZ100" i="3"/>
  <c r="BP105" i="1" s="1"/>
  <c r="AZ131" i="3"/>
  <c r="BP136" i="1" s="1"/>
  <c r="AZ116" i="3"/>
  <c r="BP121" i="1" s="1"/>
  <c r="AZ68" i="3"/>
  <c r="BP73" i="1" s="1"/>
  <c r="AZ49" i="3"/>
  <c r="BP54" i="1" s="1"/>
  <c r="AZ118" i="3"/>
  <c r="BP123" i="1" s="1"/>
  <c r="AZ223" i="3"/>
  <c r="BP228" i="1" s="1"/>
  <c r="AZ230" i="3"/>
  <c r="BP235" i="1" s="1"/>
  <c r="AZ232" i="3"/>
  <c r="BP237" i="1" s="1"/>
  <c r="AZ209" i="3"/>
  <c r="BP214" i="1" s="1"/>
  <c r="AZ224" i="3"/>
  <c r="BP229" i="1" s="1"/>
  <c r="AZ265" i="3"/>
  <c r="BP270" i="1" s="1"/>
  <c r="AZ157" i="3"/>
  <c r="BP162" i="1" s="1"/>
  <c r="AZ189" i="3"/>
  <c r="BP194" i="1" s="1"/>
  <c r="AZ150" i="3"/>
  <c r="BP155" i="1" s="1"/>
  <c r="AZ212" i="3"/>
  <c r="BP217" i="1" s="1"/>
  <c r="AZ148" i="3"/>
  <c r="BP153" i="1" s="1"/>
  <c r="AZ139" i="3"/>
  <c r="BP144" i="1" s="1"/>
  <c r="AZ170" i="3"/>
  <c r="BP175" i="1" s="1"/>
  <c r="AZ127" i="3"/>
  <c r="BP132" i="1" s="1"/>
  <c r="AZ87" i="3"/>
  <c r="BP92" i="1" s="1"/>
  <c r="AZ238" i="3"/>
  <c r="BP243" i="1" s="1"/>
  <c r="AZ266" i="3"/>
  <c r="BP271" i="1" s="1"/>
  <c r="AZ213" i="3"/>
  <c r="BP218" i="1" s="1"/>
  <c r="AZ195" i="3"/>
  <c r="BP200" i="1" s="1"/>
  <c r="AZ197" i="3"/>
  <c r="BP202" i="1" s="1"/>
  <c r="AZ126" i="3"/>
  <c r="BP131" i="1" s="1"/>
  <c r="AZ89" i="3"/>
  <c r="BP94" i="1" s="1"/>
  <c r="AZ129" i="3"/>
  <c r="BP134" i="1" s="1"/>
  <c r="AZ174" i="3"/>
  <c r="BP179" i="1" s="1"/>
  <c r="AZ196" i="3"/>
  <c r="BP201" i="1" s="1"/>
  <c r="AZ103" i="3"/>
  <c r="BP108" i="1" s="1"/>
  <c r="AZ82" i="3"/>
  <c r="BP87" i="1" s="1"/>
  <c r="AZ34" i="3"/>
  <c r="BP39" i="1" s="1"/>
  <c r="AZ92" i="3"/>
  <c r="BP97" i="1" s="1"/>
  <c r="AZ13" i="3"/>
  <c r="AZ95" i="3"/>
  <c r="BP100" i="1" s="1"/>
  <c r="AZ31" i="3"/>
  <c r="BP36" i="1" s="1"/>
  <c r="AZ235" i="3"/>
  <c r="BP240" i="1" s="1"/>
  <c r="AZ273" i="3"/>
  <c r="BP278" i="1" s="1"/>
  <c r="AZ221" i="3"/>
  <c r="BP226" i="1" s="1"/>
  <c r="AZ241" i="3"/>
  <c r="BP246" i="1" s="1"/>
  <c r="AZ164" i="3"/>
  <c r="BP169" i="1" s="1"/>
  <c r="AZ205" i="3"/>
  <c r="BP210" i="1" s="1"/>
  <c r="AZ272" i="3"/>
  <c r="BP277" i="1" s="1"/>
  <c r="AZ93" i="3"/>
  <c r="BP98" i="1" s="1"/>
  <c r="AZ133" i="3"/>
  <c r="BP138" i="1" s="1"/>
  <c r="AZ217" i="3"/>
  <c r="BP222" i="1" s="1"/>
  <c r="AZ64" i="3"/>
  <c r="BP69" i="1" s="1"/>
  <c r="AZ33" i="3"/>
  <c r="BP38" i="1" s="1"/>
  <c r="AZ80" i="3"/>
  <c r="BP85" i="1" s="1"/>
  <c r="AZ24" i="3"/>
  <c r="BP28" i="1" s="1"/>
  <c r="AZ45" i="3"/>
  <c r="BP50" i="1" s="1"/>
  <c r="AZ36" i="3"/>
  <c r="BP41" i="1" s="1"/>
  <c r="AZ30" i="3"/>
  <c r="BP35" i="1" s="1"/>
  <c r="AZ198" i="3"/>
  <c r="BP203" i="1" s="1"/>
  <c r="AZ201" i="3"/>
  <c r="BP206" i="1" s="1"/>
  <c r="AZ141" i="3"/>
  <c r="BP146" i="1" s="1"/>
  <c r="AZ155" i="3"/>
  <c r="BP160" i="1" s="1"/>
  <c r="AZ219" i="3"/>
  <c r="BP224" i="1" s="1"/>
  <c r="AZ130" i="3"/>
  <c r="BP135" i="1" s="1"/>
  <c r="AZ114" i="3"/>
  <c r="BP119" i="1" s="1"/>
  <c r="AZ94" i="3"/>
  <c r="BP99" i="1" s="1"/>
  <c r="AZ17" i="3"/>
  <c r="BP21" i="1" s="1"/>
  <c r="AZ57" i="3"/>
  <c r="BP62" i="1" s="1"/>
  <c r="AZ74" i="3"/>
  <c r="BP79" i="1" s="1"/>
  <c r="AZ39" i="3"/>
  <c r="BP44" i="1" s="1"/>
  <c r="AZ115" i="3"/>
  <c r="BP120" i="1" s="1"/>
  <c r="AZ32" i="3"/>
  <c r="BP37" i="1" s="1"/>
  <c r="AZ259" i="3"/>
  <c r="BP264" i="1" s="1"/>
  <c r="AZ256" i="3"/>
  <c r="BP261" i="1" s="1"/>
  <c r="AZ251" i="3"/>
  <c r="BP256" i="1" s="1"/>
  <c r="AZ207" i="3"/>
  <c r="BP212" i="1" s="1"/>
  <c r="AZ193" i="3"/>
  <c r="BP198" i="1" s="1"/>
  <c r="AZ76" i="3"/>
  <c r="BP81" i="1" s="1"/>
  <c r="AZ109" i="3"/>
  <c r="BP114" i="1" s="1"/>
  <c r="AZ162" i="3"/>
  <c r="BP167" i="1" s="1"/>
  <c r="AZ151" i="3"/>
  <c r="BP156" i="1" s="1"/>
  <c r="AZ167" i="3"/>
  <c r="BP172" i="1" s="1"/>
  <c r="AZ35" i="3"/>
  <c r="BP40" i="1" s="1"/>
  <c r="AZ23" i="3"/>
  <c r="BP27" i="1" s="1"/>
  <c r="AZ20" i="3"/>
  <c r="BP24" i="1" s="1"/>
  <c r="AZ132" i="3"/>
  <c r="BP137" i="1" s="1"/>
  <c r="AZ247" i="3"/>
  <c r="BP252" i="1" s="1"/>
  <c r="AZ237" i="3"/>
  <c r="BP242" i="1" s="1"/>
  <c r="AZ153" i="3"/>
  <c r="BP158" i="1" s="1"/>
  <c r="AZ145" i="3"/>
  <c r="BP150" i="1" s="1"/>
  <c r="AZ166" i="3"/>
  <c r="BP171" i="1" s="1"/>
  <c r="AZ90" i="3"/>
  <c r="BP95" i="1" s="1"/>
  <c r="AZ152" i="3"/>
  <c r="BP157" i="1" s="1"/>
  <c r="AZ149" i="3"/>
  <c r="BP154" i="1" s="1"/>
  <c r="AZ42" i="3"/>
  <c r="BP47" i="1" s="1"/>
  <c r="AZ26" i="3"/>
  <c r="BP30" i="1" s="1"/>
  <c r="AZ19" i="3"/>
  <c r="BP23" i="1" s="1"/>
  <c r="AZ73" i="3"/>
  <c r="BP78" i="1" s="1"/>
  <c r="AZ270" i="3"/>
  <c r="BP275" i="1" s="1"/>
  <c r="AZ220" i="3"/>
  <c r="BP225" i="1" s="1"/>
  <c r="AZ255" i="3"/>
  <c r="BP260" i="1" s="1"/>
  <c r="AZ144" i="3"/>
  <c r="BP149" i="1" s="1"/>
  <c r="AZ88" i="3"/>
  <c r="BP93" i="1" s="1"/>
  <c r="AZ78" i="3"/>
  <c r="BP83" i="1" s="1"/>
  <c r="AZ134" i="3"/>
  <c r="BP139" i="1" s="1"/>
  <c r="AZ70" i="3"/>
  <c r="BP75" i="1" s="1"/>
  <c r="AZ136" i="3"/>
  <c r="BP141" i="1" s="1"/>
  <c r="AZ25" i="3"/>
  <c r="BP29" i="1" s="1"/>
  <c r="AZ18" i="3"/>
  <c r="BP22" i="1" s="1"/>
  <c r="AZ59" i="3"/>
  <c r="BP64" i="1" s="1"/>
  <c r="AZ242" i="3"/>
  <c r="BP247" i="1" s="1"/>
  <c r="AZ185" i="3"/>
  <c r="BP190" i="1" s="1"/>
  <c r="AZ181" i="3"/>
  <c r="BP186" i="1" s="1"/>
  <c r="AZ177" i="3"/>
  <c r="BP182" i="1" s="1"/>
  <c r="AZ146" i="3"/>
  <c r="BP151" i="1" s="1"/>
  <c r="AZ252" i="3"/>
  <c r="BP257" i="1" s="1"/>
  <c r="AZ83" i="3"/>
  <c r="BP88" i="1" s="1"/>
  <c r="AZ119" i="3"/>
  <c r="BP124" i="1" s="1"/>
  <c r="AZ60" i="3"/>
  <c r="BP65" i="1" s="1"/>
  <c r="AZ47" i="3"/>
  <c r="BP52" i="1" s="1"/>
  <c r="AZ234" i="3"/>
  <c r="BP239" i="1" s="1"/>
  <c r="AZ239" i="3"/>
  <c r="BP244" i="1" s="1"/>
  <c r="AZ154" i="3"/>
  <c r="BP159" i="1" s="1"/>
  <c r="AZ98" i="3"/>
  <c r="BP103" i="1" s="1"/>
  <c r="AZ184" i="3"/>
  <c r="BP189" i="1" s="1"/>
  <c r="AZ63" i="3"/>
  <c r="BP68" i="1" s="1"/>
  <c r="AZ104" i="3"/>
  <c r="BP109" i="1" s="1"/>
  <c r="AZ66" i="3"/>
  <c r="BP71" i="1" s="1"/>
  <c r="AZ52" i="3"/>
  <c r="BP57" i="1" s="1"/>
  <c r="AZ254" i="3"/>
  <c r="BP259" i="1" s="1"/>
  <c r="AZ203" i="3"/>
  <c r="BP208" i="1" s="1"/>
  <c r="AZ138" i="3"/>
  <c r="BP143" i="1" s="1"/>
  <c r="AZ179" i="3"/>
  <c r="BP184" i="1" s="1"/>
  <c r="AZ160" i="3"/>
  <c r="BP165" i="1" s="1"/>
  <c r="AZ168" i="3"/>
  <c r="BP173" i="1" s="1"/>
  <c r="AZ65" i="3"/>
  <c r="BP70" i="1" s="1"/>
  <c r="AZ55" i="3"/>
  <c r="BP60" i="1" s="1"/>
  <c r="AZ40" i="3"/>
  <c r="BP45" i="1" s="1"/>
  <c r="AZ206" i="3"/>
  <c r="BP211" i="1" s="1"/>
  <c r="AZ194" i="3"/>
  <c r="BP199" i="1" s="1"/>
  <c r="AZ236" i="3"/>
  <c r="BP241" i="1" s="1"/>
  <c r="AZ240" i="3"/>
  <c r="BP245" i="1" s="1"/>
  <c r="AZ99" i="3"/>
  <c r="BP104" i="1" s="1"/>
  <c r="AZ122" i="3"/>
  <c r="BP127" i="1" s="1"/>
  <c r="AZ54" i="3"/>
  <c r="BP59" i="1" s="1"/>
  <c r="AZ27" i="3"/>
  <c r="BP31" i="1" s="1"/>
  <c r="AZ199" i="3"/>
  <c r="BP204" i="1" s="1"/>
  <c r="AZ183" i="3"/>
  <c r="BP188" i="1" s="1"/>
  <c r="AZ125" i="3"/>
  <c r="BP130" i="1" s="1"/>
  <c r="AZ161" i="3"/>
  <c r="BP166" i="1" s="1"/>
  <c r="AZ37" i="3"/>
  <c r="BP42" i="1" s="1"/>
  <c r="AZ84" i="3"/>
  <c r="BP89" i="1" s="1"/>
  <c r="AZ147" i="3"/>
  <c r="BP152" i="1" s="1"/>
  <c r="AZ21" i="3"/>
  <c r="BP25" i="1" s="1"/>
  <c r="AZ226" i="3"/>
  <c r="BP231" i="1" s="1"/>
  <c r="AZ208" i="3"/>
  <c r="BP213" i="1" s="1"/>
  <c r="AZ188" i="3"/>
  <c r="BP193" i="1" s="1"/>
  <c r="AZ200" i="3"/>
  <c r="BP205" i="1" s="1"/>
  <c r="AZ61" i="3"/>
  <c r="BP66" i="1" s="1"/>
  <c r="AZ107" i="3"/>
  <c r="BP112" i="1" s="1"/>
  <c r="AZ67" i="3"/>
  <c r="BP72" i="1" s="1"/>
  <c r="AZ22" i="3"/>
  <c r="BP26" i="1" s="1"/>
  <c r="AZ71" i="3"/>
  <c r="BP76" i="1" s="1"/>
  <c r="AZ250" i="3"/>
  <c r="BP255" i="1" s="1"/>
  <c r="AZ253" i="3"/>
  <c r="BP258" i="1" s="1"/>
  <c r="AZ260" i="3"/>
  <c r="BP265" i="1" s="1"/>
  <c r="AZ163" i="3"/>
  <c r="BP168" i="1" s="1"/>
  <c r="AZ50" i="3"/>
  <c r="BP55" i="1" s="1"/>
  <c r="AZ46" i="3"/>
  <c r="BP51" i="1" s="1"/>
  <c r="AZ214" i="3"/>
  <c r="BP219" i="1" s="1"/>
  <c r="AZ216" i="3"/>
  <c r="BP221" i="1" s="1"/>
  <c r="AZ110" i="3"/>
  <c r="BP115" i="1" s="1"/>
  <c r="AZ75" i="3"/>
  <c r="BP80" i="1" s="1"/>
  <c r="AZ38" i="3"/>
  <c r="BP43" i="1" s="1"/>
  <c r="AZ178" i="3"/>
  <c r="BP183" i="1" s="1"/>
  <c r="AZ176" i="3"/>
  <c r="BP181" i="1" s="1"/>
  <c r="AZ106" i="3"/>
  <c r="BP111" i="1" s="1"/>
  <c r="AZ69" i="3"/>
  <c r="BP74" i="1" s="1"/>
  <c r="AZ28" i="3"/>
  <c r="BP32" i="1" s="1"/>
  <c r="AZ258" i="3"/>
  <c r="BP263" i="1" s="1"/>
  <c r="AZ243" i="3"/>
  <c r="BP248" i="1" s="1"/>
  <c r="AZ91" i="3"/>
  <c r="BP96" i="1" s="1"/>
  <c r="AZ15" i="3"/>
  <c r="BP19" i="1" s="1"/>
  <c r="AZ245" i="3"/>
  <c r="BP250" i="1" s="1"/>
  <c r="AZ123" i="3"/>
  <c r="BP128" i="1" s="1"/>
  <c r="AZ41" i="3"/>
  <c r="BP46" i="1" s="1"/>
  <c r="AZ44" i="3"/>
  <c r="BP49" i="1" s="1"/>
  <c r="AZ233" i="3"/>
  <c r="BP238" i="1" s="1"/>
  <c r="AZ117" i="3"/>
  <c r="BP122" i="1" s="1"/>
  <c r="AZ62" i="3"/>
  <c r="BP67" i="1" s="1"/>
  <c r="AZ29" i="3"/>
  <c r="BP33" i="1" s="1"/>
  <c r="AZ263" i="3"/>
  <c r="BP268" i="1" s="1"/>
  <c r="AZ105" i="3"/>
  <c r="BP110" i="1" s="1"/>
  <c r="AZ48" i="3"/>
  <c r="BP53" i="1" s="1"/>
  <c r="AZ56" i="3"/>
  <c r="BP61" i="1" s="1"/>
  <c r="AZ231" i="3"/>
  <c r="BP236" i="1" s="1"/>
  <c r="AZ229" i="3"/>
  <c r="BP234" i="1" s="1"/>
  <c r="AZ58" i="3"/>
  <c r="BP63" i="1" s="1"/>
  <c r="AZ271" i="3"/>
  <c r="BP276" i="1" s="1"/>
  <c r="AZ169" i="3"/>
  <c r="BP174" i="1" s="1"/>
  <c r="AZ97" i="3"/>
  <c r="BP102" i="1" s="1"/>
  <c r="AZ16" i="3"/>
  <c r="BP20" i="1" s="1"/>
  <c r="AZ79" i="3"/>
  <c r="BP84" i="1" s="1"/>
  <c r="AZ77" i="3"/>
  <c r="BP82" i="1" s="1"/>
  <c r="AZ51" i="3"/>
  <c r="BP56" i="1" s="1"/>
  <c r="AZ159" i="3"/>
  <c r="BP164" i="1" s="1"/>
  <c r="AZ257" i="3"/>
  <c r="BP262" i="1" s="1"/>
  <c r="AZ264" i="3"/>
  <c r="BP269" i="1" s="1"/>
  <c r="AZ249" i="3"/>
  <c r="BP254" i="1" s="1"/>
  <c r="AZ72" i="3"/>
  <c r="BP77" i="1" s="1"/>
  <c r="AZ244" i="3"/>
  <c r="BP249" i="1" s="1"/>
  <c r="AZ248" i="3"/>
  <c r="BP253" i="1" s="1"/>
  <c r="AZ246" i="3"/>
  <c r="BP251" i="1" s="1"/>
  <c r="AZ111" i="3"/>
  <c r="BP116" i="1" s="1"/>
  <c r="AZ108" i="3"/>
  <c r="BP113" i="1" s="1"/>
  <c r="AZ175" i="3"/>
  <c r="BP180" i="1" s="1"/>
  <c r="AZ101" i="3"/>
  <c r="BP106" i="1" s="1"/>
  <c r="AZ191" i="3"/>
  <c r="BP196" i="1" s="1"/>
  <c r="AZ43" i="3"/>
  <c r="BP48" i="1" s="1"/>
  <c r="AZ173" i="3"/>
  <c r="BP178" i="1" s="1"/>
  <c r="AZ53" i="3"/>
  <c r="BP58" i="1" s="1"/>
  <c r="AZ180" i="3"/>
  <c r="BP185" i="1" s="1"/>
  <c r="AZ14" i="3"/>
  <c r="BP18" i="1" s="1"/>
  <c r="AZ85" i="3"/>
  <c r="BP90" i="1" s="1"/>
  <c r="E19" i="1"/>
  <c r="BW18" i="1"/>
  <c r="BV18" i="1"/>
  <c r="BU18" i="1"/>
  <c r="BT18" i="1"/>
  <c r="BS18" i="1"/>
  <c r="BR18" i="1"/>
  <c r="BQ18" i="1"/>
  <c r="BK18" i="1"/>
  <c r="BG18" i="1"/>
  <c r="AY18" i="1"/>
  <c r="AX11" i="3" s="1"/>
  <c r="U8" i="3" l="1"/>
  <c r="AJ8" i="3"/>
  <c r="BP34" i="1"/>
  <c r="AU19" i="1"/>
  <c r="AO19" i="1" s="1" a="1"/>
  <c r="AT19" i="1"/>
  <c r="AV19" i="1"/>
  <c r="AS19" i="1"/>
  <c r="AK19" i="1"/>
  <c r="AE19" i="1" s="1" a="1"/>
  <c r="AJ19" i="1"/>
  <c r="AI19" i="1"/>
  <c r="AH19" i="1"/>
  <c r="Z19" i="1"/>
  <c r="T19" i="1" s="1" a="1"/>
  <c r="X19" i="1"/>
  <c r="W19" i="1"/>
  <c r="Y19" i="1"/>
  <c r="S19" i="1" s="1" a="1"/>
  <c r="M19" i="1"/>
  <c r="L19" i="1"/>
  <c r="N19" i="1"/>
  <c r="H19" i="1" s="1" a="1"/>
  <c r="O19" i="1"/>
  <c r="I19" i="1" s="1" a="1"/>
  <c r="AD19" i="1" a="1"/>
  <c r="AP19" i="1" a="1"/>
  <c r="I19" i="1" l="1"/>
  <c r="T19" i="1"/>
  <c r="AD19" i="1"/>
  <c r="AO19" i="1"/>
  <c r="H19" i="1"/>
  <c r="S19" i="1"/>
  <c r="AE19" i="1"/>
  <c r="AP19" i="1"/>
  <c r="BB19" i="1"/>
  <c r="AJ11" i="3" s="1"/>
  <c r="BA19" i="1"/>
  <c r="U11" i="3" s="1"/>
  <c r="U10" i="3" l="1"/>
  <c r="AJ10" i="3"/>
  <c r="AY270" i="3" l="1"/>
  <c r="BO275" i="1" s="1"/>
  <c r="AY45" i="3"/>
  <c r="BO50" i="1" s="1"/>
  <c r="AY245" i="3"/>
  <c r="BO250" i="1" s="1"/>
  <c r="AY208" i="3"/>
  <c r="BO213" i="1" s="1"/>
  <c r="AY205" i="3"/>
  <c r="BO210" i="1" s="1"/>
  <c r="AY148" i="3"/>
  <c r="BO153" i="1" s="1"/>
  <c r="AY25" i="3"/>
  <c r="BO29" i="1" s="1"/>
  <c r="AY120" i="3"/>
  <c r="BO125" i="1" s="1"/>
  <c r="AY201" i="3"/>
  <c r="BO206" i="1" s="1"/>
  <c r="AY235" i="3"/>
  <c r="BO240" i="1" s="1"/>
  <c r="AY135" i="3"/>
  <c r="BO140" i="1" s="1"/>
  <c r="AY138" i="3"/>
  <c r="BO143" i="1" s="1"/>
  <c r="AY190" i="3"/>
  <c r="BO195" i="1" s="1"/>
  <c r="AY113" i="3"/>
  <c r="BO118" i="1" s="1"/>
  <c r="AY33" i="3"/>
  <c r="BO38" i="1" s="1"/>
  <c r="AY168" i="3"/>
  <c r="BO173" i="1" s="1"/>
  <c r="AY216" i="3"/>
  <c r="BO221" i="1" s="1"/>
  <c r="AY196" i="3"/>
  <c r="BO201" i="1" s="1"/>
  <c r="AY173" i="3"/>
  <c r="BO178" i="1" s="1"/>
  <c r="AY215" i="3"/>
  <c r="BO220" i="1" s="1"/>
  <c r="AY79" i="3"/>
  <c r="BO84" i="1" s="1"/>
  <c r="AY73" i="3"/>
  <c r="BO78" i="1" s="1"/>
  <c r="AY41" i="3"/>
  <c r="BO46" i="1" s="1"/>
  <c r="AY149" i="3"/>
  <c r="BO154" i="1" s="1"/>
  <c r="AY116" i="3"/>
  <c r="BO121" i="1" s="1"/>
  <c r="AY220" i="3"/>
  <c r="BO225" i="1" s="1"/>
  <c r="AY123" i="3"/>
  <c r="BO128" i="1" s="1"/>
  <c r="AY271" i="3"/>
  <c r="BO276" i="1" s="1"/>
  <c r="AY172" i="3"/>
  <c r="BO177" i="1" s="1"/>
  <c r="AY56" i="3"/>
  <c r="BO61" i="1" s="1"/>
  <c r="AY90" i="3"/>
  <c r="BO95" i="1" s="1"/>
  <c r="AY42" i="3"/>
  <c r="BO47" i="1" s="1"/>
  <c r="AY127" i="3"/>
  <c r="BO132" i="1" s="1"/>
  <c r="AY95" i="3"/>
  <c r="BO100" i="1" s="1"/>
  <c r="AY180" i="3"/>
  <c r="BO185" i="1" s="1"/>
  <c r="AY80" i="3"/>
  <c r="BO85" i="1" s="1"/>
  <c r="AY179" i="3"/>
  <c r="BO184" i="1" s="1"/>
  <c r="AY106" i="3"/>
  <c r="BO111" i="1" s="1"/>
  <c r="AY40" i="3"/>
  <c r="BO45" i="1" s="1"/>
  <c r="AY89" i="3"/>
  <c r="BO94" i="1" s="1"/>
  <c r="AY24" i="3"/>
  <c r="BO28" i="1" s="1"/>
  <c r="AY126" i="3"/>
  <c r="BO131" i="1" s="1"/>
  <c r="AY115" i="3"/>
  <c r="BO120" i="1" s="1"/>
  <c r="AY209" i="3"/>
  <c r="BO214" i="1" s="1"/>
  <c r="AY133" i="3"/>
  <c r="BO138" i="1" s="1"/>
  <c r="AY261" i="3"/>
  <c r="BO266" i="1" s="1"/>
  <c r="AY96" i="3"/>
  <c r="BO101" i="1" s="1"/>
  <c r="AY251" i="3"/>
  <c r="BO256" i="1" s="1"/>
  <c r="AY171" i="3"/>
  <c r="BO176" i="1" s="1"/>
  <c r="AY14" i="3"/>
  <c r="BO18" i="1" s="1"/>
  <c r="AY174" i="3"/>
  <c r="BO179" i="1" s="1"/>
  <c r="AY59" i="3"/>
  <c r="BO64" i="1" s="1"/>
  <c r="AY158" i="3"/>
  <c r="BO163" i="1" s="1"/>
  <c r="AY50" i="3"/>
  <c r="BO55" i="1" s="1"/>
  <c r="AY178" i="3"/>
  <c r="BO183" i="1" s="1"/>
  <c r="AY98" i="3"/>
  <c r="BO103" i="1" s="1"/>
  <c r="AY260" i="3"/>
  <c r="BO265" i="1" s="1"/>
  <c r="AY233" i="3"/>
  <c r="BO238" i="1" s="1"/>
  <c r="AY19" i="3"/>
  <c r="BO23" i="1" s="1"/>
  <c r="AY273" i="3"/>
  <c r="BO278" i="1" s="1"/>
  <c r="AY107" i="3"/>
  <c r="BO112" i="1" s="1"/>
  <c r="AY185" i="3"/>
  <c r="BO190" i="1" s="1"/>
  <c r="AY104" i="3"/>
  <c r="BO109" i="1" s="1"/>
  <c r="AY206" i="3"/>
  <c r="BO211" i="1" s="1"/>
  <c r="AY117" i="3"/>
  <c r="BO122" i="1" s="1"/>
  <c r="AY259" i="3"/>
  <c r="BO264" i="1" s="1"/>
  <c r="AY134" i="3"/>
  <c r="BO139" i="1" s="1"/>
  <c r="AY88" i="3"/>
  <c r="BO93" i="1" s="1"/>
  <c r="AY78" i="3"/>
  <c r="BO83" i="1" s="1"/>
  <c r="AY27" i="3"/>
  <c r="BO31" i="1" s="1"/>
  <c r="AY156" i="3"/>
  <c r="BO161" i="1" s="1"/>
  <c r="AY256" i="3"/>
  <c r="BO261" i="1" s="1"/>
  <c r="AY244" i="3"/>
  <c r="BO249" i="1" s="1"/>
  <c r="AY75" i="3"/>
  <c r="BO80" i="1" s="1"/>
  <c r="AY189" i="3"/>
  <c r="BO194" i="1" s="1"/>
  <c r="AY94" i="3"/>
  <c r="BO99" i="1" s="1"/>
  <c r="AY37" i="3"/>
  <c r="BO42" i="1" s="1"/>
  <c r="AY77" i="3"/>
  <c r="BO82" i="1" s="1"/>
  <c r="AY23" i="3"/>
  <c r="BO27" i="1" s="1"/>
  <c r="AY268" i="3"/>
  <c r="BO273" i="1" s="1"/>
  <c r="AY53" i="3"/>
  <c r="BO58" i="1" s="1"/>
  <c r="AY147" i="3"/>
  <c r="BO152" i="1" s="1"/>
  <c r="AY131" i="3"/>
  <c r="BO136" i="1" s="1"/>
  <c r="AY252" i="3"/>
  <c r="BO257" i="1" s="1"/>
  <c r="AY84" i="3"/>
  <c r="BO89" i="1" s="1"/>
  <c r="AY239" i="3"/>
  <c r="BO244" i="1" s="1"/>
  <c r="AY111" i="3"/>
  <c r="BO116" i="1" s="1"/>
  <c r="AY13" i="3"/>
  <c r="BO17" i="1" s="1"/>
  <c r="AY170" i="3"/>
  <c r="BO175" i="1" s="1"/>
  <c r="AY34" i="3"/>
  <c r="BO39" i="1" s="1"/>
  <c r="AY266" i="3"/>
  <c r="BO271" i="1" s="1"/>
  <c r="AY38" i="3"/>
  <c r="BO43" i="1" s="1"/>
  <c r="AY166" i="3"/>
  <c r="BO171" i="1" s="1"/>
  <c r="AY91" i="3"/>
  <c r="BO96" i="1" s="1"/>
  <c r="AY248" i="3"/>
  <c r="BO253" i="1" s="1"/>
  <c r="AY214" i="3"/>
  <c r="BO219" i="1" s="1"/>
  <c r="AY71" i="3"/>
  <c r="BO76" i="1" s="1"/>
  <c r="AY243" i="3"/>
  <c r="BO248" i="1" s="1"/>
  <c r="AY70" i="3"/>
  <c r="BO75" i="1" s="1"/>
  <c r="AY183" i="3"/>
  <c r="BO188" i="1" s="1"/>
  <c r="AY63" i="3"/>
  <c r="BO68" i="1" s="1"/>
  <c r="AY163" i="3"/>
  <c r="BO168" i="1" s="1"/>
  <c r="AY221" i="3"/>
  <c r="BO226" i="1" s="1"/>
  <c r="AY247" i="3"/>
  <c r="BO252" i="1" s="1"/>
  <c r="AY122" i="3"/>
  <c r="BO127" i="1" s="1"/>
  <c r="AY46" i="3"/>
  <c r="BO51" i="1" s="1"/>
  <c r="AY257" i="3"/>
  <c r="BO262" i="1" s="1"/>
  <c r="AY20" i="3"/>
  <c r="BO24" i="1" s="1"/>
  <c r="AY155" i="3"/>
  <c r="BO160" i="1" s="1"/>
  <c r="AY52" i="3"/>
  <c r="BO57" i="1" s="1"/>
  <c r="AY153" i="3"/>
  <c r="BO158" i="1" s="1"/>
  <c r="AY69" i="3"/>
  <c r="BO74" i="1" s="1"/>
  <c r="AY188" i="3"/>
  <c r="BO193" i="1" s="1"/>
  <c r="AY82" i="3"/>
  <c r="BO87" i="1" s="1"/>
  <c r="AY30" i="3"/>
  <c r="BO35" i="1" s="1"/>
  <c r="AY253" i="3"/>
  <c r="BO258" i="1" s="1"/>
  <c r="AY22" i="3"/>
  <c r="BO26" i="1" s="1"/>
  <c r="AY258" i="3"/>
  <c r="BO263" i="1" s="1"/>
  <c r="AY93" i="3"/>
  <c r="BO98" i="1" s="1"/>
  <c r="AY146" i="3"/>
  <c r="BO151" i="1" s="1"/>
  <c r="AY76" i="3"/>
  <c r="BO81" i="1" s="1"/>
  <c r="AY187" i="3"/>
  <c r="BO192" i="1" s="1"/>
  <c r="AY62" i="3"/>
  <c r="BO67" i="1" s="1"/>
  <c r="AY227" i="3"/>
  <c r="BO232" i="1" s="1"/>
  <c r="AY99" i="3"/>
  <c r="BO104" i="1" s="1"/>
  <c r="AY267" i="3"/>
  <c r="BO272" i="1" s="1"/>
  <c r="AY65" i="3"/>
  <c r="BO70" i="1" s="1"/>
  <c r="AY254" i="3"/>
  <c r="BO259" i="1" s="1"/>
  <c r="AY100" i="3"/>
  <c r="BO105" i="1" s="1"/>
  <c r="AY230" i="3"/>
  <c r="BO235" i="1" s="1"/>
  <c r="AY86" i="3"/>
  <c r="BO91" i="1" s="1"/>
  <c r="AY236" i="3"/>
  <c r="BO241" i="1" s="1"/>
  <c r="AY204" i="3"/>
  <c r="BO209" i="1" s="1"/>
  <c r="AY29" i="3"/>
  <c r="BO33" i="1" s="1"/>
  <c r="AY229" i="3"/>
  <c r="BO234" i="1" s="1"/>
  <c r="AY60" i="3"/>
  <c r="BO65" i="1" s="1"/>
  <c r="AY176" i="3"/>
  <c r="BO181" i="1" s="1"/>
  <c r="AY18" i="3"/>
  <c r="BO22" i="1" s="1"/>
  <c r="AY162" i="3"/>
  <c r="BO167" i="1" s="1"/>
  <c r="AY124" i="3"/>
  <c r="BO129" i="1" s="1"/>
  <c r="AY231" i="3"/>
  <c r="BO236" i="1" s="1"/>
  <c r="AY21" i="3"/>
  <c r="BO25" i="1" s="1"/>
  <c r="AY121" i="3"/>
  <c r="BO126" i="1" s="1"/>
  <c r="AY35" i="3"/>
  <c r="BO40" i="1" s="1"/>
  <c r="AY219" i="3"/>
  <c r="BO224" i="1" s="1"/>
  <c r="AY103" i="3"/>
  <c r="BO108" i="1" s="1"/>
  <c r="AY145" i="3"/>
  <c r="BO150" i="1" s="1"/>
  <c r="AY47" i="3"/>
  <c r="BO52" i="1" s="1"/>
  <c r="AY152" i="3"/>
  <c r="BO157" i="1" s="1"/>
  <c r="AY210" i="3"/>
  <c r="BO215" i="1" s="1"/>
  <c r="AY154" i="3"/>
  <c r="BO159" i="1" s="1"/>
  <c r="AY167" i="3"/>
  <c r="BO172" i="1" s="1"/>
  <c r="AY39" i="3"/>
  <c r="BO44" i="1" s="1"/>
  <c r="AY242" i="3"/>
  <c r="BO247" i="1" s="1"/>
  <c r="AY17" i="3"/>
  <c r="BO21" i="1" s="1"/>
  <c r="AY238" i="3"/>
  <c r="BO243" i="1" s="1"/>
  <c r="AY67" i="3"/>
  <c r="BO72" i="1" s="1"/>
  <c r="AY141" i="3"/>
  <c r="BO146" i="1" s="1"/>
  <c r="AY72" i="3"/>
  <c r="BO77" i="1" s="1"/>
  <c r="AY262" i="3"/>
  <c r="BO267" i="1" s="1"/>
  <c r="AY137" i="3"/>
  <c r="BO142" i="1" s="1"/>
  <c r="AY223" i="3"/>
  <c r="BO228" i="1" s="1"/>
  <c r="AY269" i="3"/>
  <c r="BO274" i="1" s="1"/>
  <c r="AY66" i="3"/>
  <c r="BO71" i="1" s="1"/>
  <c r="AY255" i="3"/>
  <c r="BO260" i="1" s="1"/>
  <c r="AY49" i="3"/>
  <c r="BO54" i="1" s="1"/>
  <c r="AY249" i="3"/>
  <c r="BO254" i="1" s="1"/>
  <c r="AY83" i="3"/>
  <c r="BO88" i="1" s="1"/>
  <c r="AY202" i="3"/>
  <c r="BO207" i="1" s="1"/>
  <c r="AY234" i="3"/>
  <c r="BO239" i="1" s="1"/>
  <c r="AY186" i="3"/>
  <c r="BO191" i="1" s="1"/>
  <c r="AY195" i="3"/>
  <c r="BO200" i="1" s="1"/>
  <c r="AY31" i="3"/>
  <c r="BO36" i="1" s="1"/>
  <c r="AY114" i="3"/>
  <c r="BO119" i="1" s="1"/>
  <c r="AY54" i="3"/>
  <c r="BO59" i="1" s="1"/>
  <c r="AY169" i="3"/>
  <c r="BO174" i="1" s="1"/>
  <c r="AY64" i="3"/>
  <c r="BO69" i="1" s="1"/>
  <c r="AY161" i="3"/>
  <c r="BO166" i="1" s="1"/>
  <c r="AY112" i="3"/>
  <c r="BO117" i="1" s="1"/>
  <c r="AY222" i="3"/>
  <c r="BO227" i="1" s="1"/>
  <c r="AY132" i="3"/>
  <c r="BO137" i="1" s="1"/>
  <c r="AY28" i="3"/>
  <c r="BO32" i="1" s="1"/>
  <c r="AY200" i="3"/>
  <c r="BO205" i="1" s="1"/>
  <c r="AY58" i="3"/>
  <c r="BO63" i="1" s="1"/>
  <c r="AY144" i="3"/>
  <c r="BO149" i="1" s="1"/>
  <c r="AY32" i="3"/>
  <c r="BO37" i="1" s="1"/>
  <c r="AY151" i="3"/>
  <c r="BO156" i="1" s="1"/>
  <c r="AY241" i="3"/>
  <c r="BO246" i="1" s="1"/>
  <c r="AY142" i="3"/>
  <c r="BO147" i="1" s="1"/>
  <c r="AY265" i="3"/>
  <c r="BO270" i="1" s="1"/>
  <c r="AY224" i="3"/>
  <c r="BO229" i="1" s="1"/>
  <c r="AY225" i="3"/>
  <c r="BO230" i="1" s="1"/>
  <c r="AY16" i="3"/>
  <c r="BO20" i="1" s="1"/>
  <c r="AY213" i="3"/>
  <c r="BO218" i="1" s="1"/>
  <c r="AY57" i="3"/>
  <c r="BO62" i="1" s="1"/>
  <c r="AY140" i="3"/>
  <c r="BO145" i="1" s="1"/>
  <c r="AY207" i="3"/>
  <c r="BO212" i="1" s="1"/>
  <c r="AY232" i="3"/>
  <c r="BO237" i="1" s="1"/>
  <c r="AY92" i="3"/>
  <c r="BO97" i="1" s="1"/>
  <c r="AY211" i="3"/>
  <c r="BO216" i="1" s="1"/>
  <c r="AY119" i="3"/>
  <c r="BO124" i="1" s="1"/>
  <c r="AY55" i="3"/>
  <c r="BO60" i="1" s="1"/>
  <c r="AY237" i="3"/>
  <c r="BO242" i="1" s="1"/>
  <c r="AY43" i="3"/>
  <c r="BO48" i="1" s="1"/>
  <c r="AY246" i="3"/>
  <c r="BO251" i="1" s="1"/>
  <c r="AY61" i="3"/>
  <c r="BO66" i="1" s="1"/>
  <c r="AY194" i="3"/>
  <c r="BO199" i="1" s="1"/>
  <c r="AY165" i="3"/>
  <c r="BO170" i="1" s="1"/>
  <c r="AY193" i="3"/>
  <c r="BO198" i="1" s="1"/>
  <c r="AY136" i="3"/>
  <c r="BO141" i="1" s="1"/>
  <c r="AY85" i="3"/>
  <c r="BO90" i="1" s="1"/>
  <c r="AY102" i="3"/>
  <c r="BO107" i="1" s="1"/>
  <c r="AY74" i="3"/>
  <c r="BO79" i="1" s="1"/>
  <c r="AY164" i="3"/>
  <c r="BO169" i="1" s="1"/>
  <c r="AY109" i="3"/>
  <c r="BO114" i="1" s="1"/>
  <c r="AY160" i="3"/>
  <c r="BO165" i="1" s="1"/>
  <c r="AY108" i="3"/>
  <c r="BO113" i="1" s="1"/>
  <c r="AY217" i="3"/>
  <c r="BO222" i="1" s="1"/>
  <c r="AY125" i="3"/>
  <c r="BO130" i="1" s="1"/>
  <c r="AY191" i="3"/>
  <c r="BO196" i="1" s="1"/>
  <c r="AY182" i="3"/>
  <c r="BO187" i="1" s="1"/>
  <c r="AY26" i="3"/>
  <c r="BO30" i="1" s="1"/>
  <c r="AY143" i="3"/>
  <c r="BO148" i="1" s="1"/>
  <c r="AY97" i="3"/>
  <c r="BO102" i="1" s="1"/>
  <c r="AY150" i="3"/>
  <c r="BO155" i="1" s="1"/>
  <c r="AY181" i="3"/>
  <c r="BO186" i="1" s="1"/>
  <c r="AY250" i="3"/>
  <c r="BO255" i="1" s="1"/>
  <c r="AY130" i="3"/>
  <c r="BO135" i="1" s="1"/>
  <c r="AY212" i="3"/>
  <c r="BO217" i="1" s="1"/>
  <c r="AY192" i="3"/>
  <c r="BO197" i="1" s="1"/>
  <c r="AY15" i="3"/>
  <c r="BO19" i="1" s="1"/>
  <c r="AY197" i="3"/>
  <c r="BO202" i="1" s="1"/>
  <c r="AY48" i="3"/>
  <c r="BO53" i="1" s="1"/>
  <c r="AY139" i="3"/>
  <c r="BO144" i="1" s="1"/>
  <c r="AY105" i="3"/>
  <c r="BO110" i="1" s="1"/>
  <c r="AY218" i="3"/>
  <c r="BO223" i="1" s="1"/>
  <c r="AY87" i="3"/>
  <c r="BO92" i="1" s="1"/>
  <c r="AY199" i="3"/>
  <c r="BO204" i="1" s="1"/>
  <c r="AY118" i="3"/>
  <c r="BO123" i="1" s="1"/>
  <c r="AY51" i="3"/>
  <c r="BO56" i="1" s="1"/>
  <c r="AY101" i="3"/>
  <c r="BO106" i="1" s="1"/>
  <c r="AY36" i="3"/>
  <c r="BO41" i="1" s="1"/>
  <c r="AY228" i="3"/>
  <c r="BO233" i="1" s="1"/>
  <c r="AY177" i="3"/>
  <c r="BO182" i="1" s="1"/>
  <c r="AY226" i="3"/>
  <c r="BO231" i="1" s="1"/>
  <c r="AY240" i="3"/>
  <c r="BO245" i="1" s="1"/>
  <c r="AY184" i="3"/>
  <c r="BO189" i="1" s="1"/>
  <c r="AY129" i="3"/>
  <c r="BO134" i="1" s="1"/>
  <c r="AY263" i="3"/>
  <c r="BO268" i="1" s="1"/>
  <c r="AY175" i="3"/>
  <c r="BO180" i="1" s="1"/>
  <c r="AY44" i="3"/>
  <c r="BO49" i="1" s="1"/>
  <c r="AY157" i="3"/>
  <c r="BO162" i="1" s="1"/>
  <c r="AY81" i="3"/>
  <c r="BO86" i="1" s="1"/>
  <c r="AY159" i="3"/>
  <c r="BO164" i="1" s="1"/>
  <c r="AY68" i="3"/>
  <c r="BO73" i="1" s="1"/>
  <c r="AY198" i="3"/>
  <c r="BO203" i="1" s="1"/>
  <c r="AY110" i="3"/>
  <c r="BO115" i="1" s="1"/>
  <c r="AY272" i="3"/>
  <c r="BO277" i="1" s="1"/>
  <c r="AY128" i="3"/>
  <c r="BO133" i="1" s="1"/>
  <c r="AY264" i="3"/>
  <c r="BO269" i="1" s="1"/>
  <c r="AY203" i="3"/>
  <c r="BO208" i="1" s="1"/>
  <c r="E18" i="1"/>
  <c r="BW17" i="1"/>
  <c r="BV17" i="1"/>
  <c r="BU17" i="1"/>
  <c r="BT17" i="1"/>
  <c r="BS17" i="1"/>
  <c r="BR17" i="1"/>
  <c r="BQ17" i="1"/>
  <c r="BP17" i="1"/>
  <c r="BK17" i="1"/>
  <c r="BG17" i="1"/>
  <c r="AY17" i="1"/>
  <c r="AW11" i="3" s="1"/>
  <c r="AI8" i="3" l="1"/>
  <c r="T8" i="3"/>
  <c r="BO34" i="1"/>
  <c r="AU18" i="1"/>
  <c r="AO18" i="1" s="1" a="1"/>
  <c r="AT18" i="1"/>
  <c r="AS18" i="1"/>
  <c r="AV18" i="1"/>
  <c r="AK18" i="1"/>
  <c r="AE18" i="1" s="1" a="1"/>
  <c r="AJ18" i="1"/>
  <c r="AI18" i="1"/>
  <c r="AH18" i="1"/>
  <c r="Y18" i="1"/>
  <c r="S18" i="1" s="1" a="1"/>
  <c r="W18" i="1"/>
  <c r="Z18" i="1"/>
  <c r="X18" i="1"/>
  <c r="M18" i="1"/>
  <c r="L18" i="1"/>
  <c r="N18" i="1"/>
  <c r="H18" i="1" s="1" a="1"/>
  <c r="O18" i="1"/>
  <c r="I18" i="1" s="1" a="1"/>
  <c r="AP18" i="1" a="1"/>
  <c r="AD18" i="1" a="1"/>
  <c r="T18" i="1" a="1"/>
  <c r="I18" i="1" l="1"/>
  <c r="AD18" i="1"/>
  <c r="AO18" i="1"/>
  <c r="AP18" i="1"/>
  <c r="T18" i="1"/>
  <c r="H18" i="1"/>
  <c r="S18" i="1"/>
  <c r="AE18" i="1"/>
  <c r="BA18" i="1"/>
  <c r="T11" i="3" s="1"/>
  <c r="BB18" i="1"/>
  <c r="AI11" i="3" s="1"/>
  <c r="AI10" i="3" l="1"/>
  <c r="T10" i="3"/>
  <c r="E17" i="1"/>
  <c r="BG16" i="1"/>
  <c r="AY16" i="1"/>
  <c r="AV11" i="3" s="1"/>
  <c r="AH8" i="3" l="1"/>
  <c r="S8" i="3"/>
  <c r="AX273" i="3"/>
  <c r="BN278" i="1" s="1"/>
  <c r="AU17" i="1"/>
  <c r="AO17" i="1" s="1" a="1"/>
  <c r="AT17" i="1"/>
  <c r="AS17" i="1"/>
  <c r="AV17" i="1"/>
  <c r="AP17" i="1" s="1" a="1"/>
  <c r="AK17" i="1"/>
  <c r="AE17" i="1" s="1" a="1"/>
  <c r="AJ17" i="1"/>
  <c r="AD17" i="1" s="1" a="1"/>
  <c r="AI17" i="1"/>
  <c r="AH17" i="1"/>
  <c r="Y17" i="1"/>
  <c r="S17" i="1" s="1" a="1"/>
  <c r="X17" i="1"/>
  <c r="W17" i="1"/>
  <c r="Z17" i="1"/>
  <c r="T17" i="1" s="1" a="1"/>
  <c r="O17" i="1"/>
  <c r="I17" i="1" s="1" a="1"/>
  <c r="N17" i="1"/>
  <c r="L17" i="1"/>
  <c r="M17" i="1"/>
  <c r="H17" i="1" a="1"/>
  <c r="S17" i="1" l="1"/>
  <c r="H17" i="1"/>
  <c r="AP17" i="1"/>
  <c r="AO17" i="1"/>
  <c r="AE17" i="1"/>
  <c r="I17" i="1"/>
  <c r="T17" i="1"/>
  <c r="AD17" i="1"/>
  <c r="BA17" i="1"/>
  <c r="S11" i="3" s="1"/>
  <c r="BB17" i="1"/>
  <c r="AH11" i="3" s="1"/>
  <c r="AH10" i="3" l="1"/>
  <c r="S10" i="3"/>
  <c r="E16" i="1"/>
  <c r="BW15" i="1"/>
  <c r="BV15" i="1"/>
  <c r="BU15" i="1"/>
  <c r="BT15" i="1"/>
  <c r="BS15" i="1"/>
  <c r="BR15" i="1"/>
  <c r="BQ15" i="1"/>
  <c r="BP15" i="1"/>
  <c r="BO15" i="1"/>
  <c r="BN15" i="1"/>
  <c r="BM15" i="1"/>
  <c r="BL15" i="1"/>
  <c r="BK15" i="1"/>
  <c r="CE14" i="1"/>
  <c r="CD14" i="1"/>
  <c r="CC14" i="1"/>
  <c r="CB14" i="1"/>
  <c r="J12" i="1"/>
  <c r="AC10" i="1"/>
  <c r="G12" i="1"/>
  <c r="D12" i="1"/>
  <c r="AD12" i="1"/>
  <c r="AO12" i="1"/>
  <c r="S12" i="1"/>
  <c r="AN12" i="1"/>
  <c r="T12" i="1"/>
  <c r="R12" i="1"/>
  <c r="AN10" i="1"/>
  <c r="J8" i="1"/>
  <c r="AQ12" i="1"/>
  <c r="U12" i="1"/>
  <c r="AC12" i="1"/>
  <c r="H12" i="1"/>
  <c r="I12" i="1"/>
  <c r="R10" i="1"/>
  <c r="AF12" i="1"/>
  <c r="AP12" i="1"/>
  <c r="AE12" i="1"/>
  <c r="G10" i="1"/>
  <c r="AG8" i="3" l="1"/>
  <c r="R8" i="3"/>
  <c r="AW226" i="3"/>
  <c r="BM231" i="1" s="1"/>
  <c r="AW259" i="3"/>
  <c r="BM264" i="1" s="1"/>
  <c r="AW206" i="3"/>
  <c r="BM211" i="1" s="1"/>
  <c r="AW156" i="3"/>
  <c r="BM161" i="1" s="1"/>
  <c r="AW204" i="3"/>
  <c r="BM209" i="1" s="1"/>
  <c r="AW128" i="3"/>
  <c r="BM133" i="1" s="1"/>
  <c r="AW158" i="3"/>
  <c r="BM163" i="1" s="1"/>
  <c r="AW150" i="3"/>
  <c r="BM155" i="1" s="1"/>
  <c r="AW163" i="3"/>
  <c r="BM168" i="1" s="1"/>
  <c r="AW224" i="3"/>
  <c r="BM229" i="1" s="1"/>
  <c r="AW109" i="3"/>
  <c r="BM114" i="1" s="1"/>
  <c r="AW74" i="3"/>
  <c r="BM79" i="1" s="1"/>
  <c r="AW165" i="3"/>
  <c r="BM170" i="1" s="1"/>
  <c r="AW233" i="3"/>
  <c r="BM238" i="1" s="1"/>
  <c r="AW102" i="3"/>
  <c r="BM107" i="1" s="1"/>
  <c r="AW20" i="3"/>
  <c r="BM24" i="1" s="1"/>
  <c r="AW31" i="3"/>
  <c r="BM36" i="1" s="1"/>
  <c r="AW34" i="3"/>
  <c r="BM39" i="1" s="1"/>
  <c r="AW76" i="3"/>
  <c r="BM81" i="1" s="1"/>
  <c r="AW53" i="3"/>
  <c r="BM58" i="1" s="1"/>
  <c r="AW95" i="3"/>
  <c r="BM100" i="1" s="1"/>
  <c r="AW229" i="3"/>
  <c r="BM234" i="1" s="1"/>
  <c r="AW249" i="3"/>
  <c r="BM254" i="1" s="1"/>
  <c r="AW197" i="3"/>
  <c r="BM202" i="1" s="1"/>
  <c r="AW174" i="3"/>
  <c r="BM179" i="1" s="1"/>
  <c r="AW236" i="3"/>
  <c r="BM241" i="1" s="1"/>
  <c r="AW216" i="3"/>
  <c r="BM221" i="1" s="1"/>
  <c r="AW190" i="3"/>
  <c r="BM195" i="1" s="1"/>
  <c r="AW104" i="3"/>
  <c r="BM109" i="1" s="1"/>
  <c r="AW91" i="3"/>
  <c r="BM96" i="1" s="1"/>
  <c r="AW127" i="3"/>
  <c r="BM132" i="1" s="1"/>
  <c r="AW245" i="3"/>
  <c r="BM250" i="1" s="1"/>
  <c r="AW178" i="3"/>
  <c r="BM183" i="1" s="1"/>
  <c r="AW258" i="3"/>
  <c r="BM263" i="1" s="1"/>
  <c r="AW117" i="3"/>
  <c r="BM122" i="1" s="1"/>
  <c r="AW169" i="3"/>
  <c r="BM174" i="1" s="1"/>
  <c r="AW67" i="3"/>
  <c r="BM72" i="1" s="1"/>
  <c r="AW207" i="3"/>
  <c r="BM212" i="1" s="1"/>
  <c r="AW32" i="3"/>
  <c r="BM37" i="1" s="1"/>
  <c r="AW60" i="3"/>
  <c r="BM65" i="1" s="1"/>
  <c r="AW82" i="3"/>
  <c r="BM87" i="1" s="1"/>
  <c r="AW14" i="3"/>
  <c r="BM18" i="1" s="1"/>
  <c r="AW217" i="3"/>
  <c r="BM222" i="1" s="1"/>
  <c r="AW237" i="3"/>
  <c r="BM242" i="1" s="1"/>
  <c r="AW181" i="3"/>
  <c r="BM186" i="1" s="1"/>
  <c r="AW268" i="3"/>
  <c r="BM273" i="1" s="1"/>
  <c r="AW215" i="3"/>
  <c r="BM220" i="1" s="1"/>
  <c r="AW209" i="3"/>
  <c r="BM214" i="1" s="1"/>
  <c r="AW184" i="3"/>
  <c r="BM189" i="1" s="1"/>
  <c r="AW92" i="3"/>
  <c r="BM97" i="1" s="1"/>
  <c r="AW79" i="3"/>
  <c r="BM84" i="1" s="1"/>
  <c r="AW113" i="3"/>
  <c r="BM118" i="1" s="1"/>
  <c r="AW64" i="3"/>
  <c r="BM69" i="1" s="1"/>
  <c r="AW157" i="3"/>
  <c r="BM162" i="1" s="1"/>
  <c r="AW252" i="3"/>
  <c r="BM257" i="1" s="1"/>
  <c r="AW90" i="3"/>
  <c r="BM95" i="1" s="1"/>
  <c r="AW160" i="3"/>
  <c r="BM165" i="1" s="1"/>
  <c r="AW59" i="3"/>
  <c r="BM64" i="1" s="1"/>
  <c r="AW46" i="3"/>
  <c r="BM51" i="1" s="1"/>
  <c r="AW100" i="3"/>
  <c r="BM105" i="1" s="1"/>
  <c r="AW49" i="3"/>
  <c r="BM54" i="1" s="1"/>
  <c r="AW68" i="3"/>
  <c r="BM73" i="1" s="1"/>
  <c r="AW58" i="3"/>
  <c r="BM63" i="1" s="1"/>
  <c r="AW55" i="3"/>
  <c r="BM60" i="1" s="1"/>
  <c r="AW238" i="3"/>
  <c r="BM243" i="1" s="1"/>
  <c r="AW271" i="3"/>
  <c r="BM276" i="1" s="1"/>
  <c r="AW218" i="3"/>
  <c r="BM223" i="1" s="1"/>
  <c r="AW168" i="3"/>
  <c r="BM173" i="1" s="1"/>
  <c r="AW227" i="3"/>
  <c r="BM232" i="1" s="1"/>
  <c r="AW191" i="3"/>
  <c r="BM196" i="1" s="1"/>
  <c r="AW162" i="3"/>
  <c r="BM167" i="1" s="1"/>
  <c r="AW185" i="3"/>
  <c r="BM190" i="1" s="1"/>
  <c r="AW166" i="3"/>
  <c r="BM171" i="1" s="1"/>
  <c r="AW145" i="3"/>
  <c r="BM150" i="1" s="1"/>
  <c r="AW134" i="3"/>
  <c r="BM139" i="1" s="1"/>
  <c r="AW86" i="3"/>
  <c r="BM91" i="1" s="1"/>
  <c r="AW240" i="3"/>
  <c r="BM245" i="1" s="1"/>
  <c r="AW28" i="3"/>
  <c r="BM32" i="1" s="1"/>
  <c r="AW123" i="3"/>
  <c r="BM128" i="1" s="1"/>
  <c r="AW69" i="3"/>
  <c r="BM74" i="1" s="1"/>
  <c r="AW56" i="3"/>
  <c r="BM61" i="1" s="1"/>
  <c r="AW42" i="3"/>
  <c r="BM47" i="1" s="1"/>
  <c r="AW170" i="3"/>
  <c r="BM175" i="1" s="1"/>
  <c r="AW61" i="3"/>
  <c r="BM66" i="1" s="1"/>
  <c r="AW13" i="3"/>
  <c r="BM17" i="1" s="1"/>
  <c r="AW23" i="3"/>
  <c r="BM27" i="1" s="1"/>
  <c r="AW202" i="3"/>
  <c r="BM207" i="1" s="1"/>
  <c r="AW254" i="3"/>
  <c r="BM259" i="1" s="1"/>
  <c r="AW264" i="3"/>
  <c r="BM269" i="1" s="1"/>
  <c r="AW221" i="3"/>
  <c r="BM226" i="1" s="1"/>
  <c r="AW136" i="3"/>
  <c r="BM141" i="1" s="1"/>
  <c r="AW219" i="3"/>
  <c r="BM224" i="1" s="1"/>
  <c r="AW108" i="3"/>
  <c r="BM113" i="1" s="1"/>
  <c r="AW110" i="3"/>
  <c r="BM115" i="1" s="1"/>
  <c r="AW138" i="3"/>
  <c r="BM143" i="1" s="1"/>
  <c r="AW97" i="3"/>
  <c r="BM102" i="1" s="1"/>
  <c r="AW99" i="3"/>
  <c r="BM104" i="1" s="1"/>
  <c r="AW77" i="3"/>
  <c r="BM82" i="1" s="1"/>
  <c r="AW37" i="3"/>
  <c r="BM42" i="1" s="1"/>
  <c r="AW51" i="3"/>
  <c r="BM56" i="1" s="1"/>
  <c r="AW241" i="3"/>
  <c r="BM246" i="1" s="1"/>
  <c r="AW189" i="3"/>
  <c r="BM194" i="1" s="1"/>
  <c r="AW186" i="3"/>
  <c r="BM191" i="1" s="1"/>
  <c r="AW248" i="3"/>
  <c r="BM253" i="1" s="1"/>
  <c r="AW222" i="3"/>
  <c r="BM227" i="1" s="1"/>
  <c r="AW194" i="3"/>
  <c r="BM199" i="1" s="1"/>
  <c r="AW139" i="3"/>
  <c r="BM144" i="1" s="1"/>
  <c r="AW147" i="3"/>
  <c r="BM152" i="1" s="1"/>
  <c r="AW126" i="3"/>
  <c r="BM131" i="1" s="1"/>
  <c r="AW40" i="3"/>
  <c r="BM45" i="1" s="1"/>
  <c r="AW88" i="3"/>
  <c r="BM93" i="1" s="1"/>
  <c r="AW75" i="3"/>
  <c r="BM80" i="1" s="1"/>
  <c r="AW70" i="3"/>
  <c r="BM75" i="1" s="1"/>
  <c r="AW39" i="3"/>
  <c r="BM44" i="1" s="1"/>
  <c r="AW26" i="3"/>
  <c r="BM30" i="1" s="1"/>
  <c r="AW265" i="3"/>
  <c r="BM270" i="1" s="1"/>
  <c r="AW247" i="3"/>
  <c r="BM252" i="1" s="1"/>
  <c r="AW176" i="3"/>
  <c r="BM181" i="1" s="1"/>
  <c r="AW244" i="3"/>
  <c r="BM249" i="1" s="1"/>
  <c r="AW116" i="3"/>
  <c r="BM121" i="1" s="1"/>
  <c r="AW155" i="3"/>
  <c r="BM160" i="1" s="1"/>
  <c r="AW105" i="3"/>
  <c r="BM110" i="1" s="1"/>
  <c r="AW148" i="3"/>
  <c r="BM153" i="1" s="1"/>
  <c r="AW121" i="3"/>
  <c r="BM126" i="1" s="1"/>
  <c r="AW63" i="3"/>
  <c r="BM68" i="1" s="1"/>
  <c r="AW107" i="3"/>
  <c r="BM112" i="1" s="1"/>
  <c r="AW27" i="3"/>
  <c r="BM31" i="1" s="1"/>
  <c r="AW16" i="3"/>
  <c r="BM20" i="1" s="1"/>
  <c r="AW214" i="3"/>
  <c r="BM219" i="1" s="1"/>
  <c r="AW230" i="3"/>
  <c r="BM235" i="1" s="1"/>
  <c r="AW269" i="3"/>
  <c r="BM274" i="1" s="1"/>
  <c r="AW171" i="3"/>
  <c r="BM176" i="1" s="1"/>
  <c r="AW115" i="3"/>
  <c r="BM120" i="1" s="1"/>
  <c r="AW132" i="3"/>
  <c r="BM137" i="1" s="1"/>
  <c r="AW98" i="3"/>
  <c r="BM103" i="1" s="1"/>
  <c r="AW65" i="3"/>
  <c r="BM70" i="1" s="1"/>
  <c r="AW119" i="3"/>
  <c r="BM124" i="1" s="1"/>
  <c r="AW118" i="3"/>
  <c r="BM123" i="1" s="1"/>
  <c r="AW54" i="3"/>
  <c r="BM59" i="1" s="1"/>
  <c r="AW25" i="3"/>
  <c r="BM29" i="1" s="1"/>
  <c r="AW273" i="3"/>
  <c r="BM278" i="1" s="1"/>
  <c r="AW192" i="3"/>
  <c r="BM197" i="1" s="1"/>
  <c r="AW239" i="3"/>
  <c r="BM244" i="1" s="1"/>
  <c r="AW246" i="3"/>
  <c r="BM251" i="1" s="1"/>
  <c r="AW263" i="3"/>
  <c r="BM268" i="1" s="1"/>
  <c r="AW71" i="3"/>
  <c r="BM76" i="1" s="1"/>
  <c r="AW112" i="3"/>
  <c r="BM117" i="1" s="1"/>
  <c r="AW73" i="3"/>
  <c r="BM78" i="1" s="1"/>
  <c r="AW43" i="3"/>
  <c r="BM48" i="1" s="1"/>
  <c r="AW17" i="3"/>
  <c r="BM21" i="1" s="1"/>
  <c r="AW261" i="3"/>
  <c r="BM266" i="1" s="1"/>
  <c r="AW210" i="3"/>
  <c r="BM215" i="1" s="1"/>
  <c r="AW129" i="3"/>
  <c r="BM134" i="1" s="1"/>
  <c r="AW232" i="3"/>
  <c r="BM237" i="1" s="1"/>
  <c r="AW212" i="3"/>
  <c r="BM217" i="1" s="1"/>
  <c r="AW146" i="3"/>
  <c r="BM151" i="1" s="1"/>
  <c r="AW85" i="3"/>
  <c r="BM90" i="1" s="1"/>
  <c r="AW30" i="3"/>
  <c r="BM35" i="1" s="1"/>
  <c r="AW36" i="3"/>
  <c r="BM41" i="1" s="1"/>
  <c r="AW45" i="3"/>
  <c r="BM50" i="1" s="1"/>
  <c r="AW223" i="3"/>
  <c r="BM228" i="1" s="1"/>
  <c r="AW243" i="3"/>
  <c r="BM248" i="1" s="1"/>
  <c r="AW167" i="3"/>
  <c r="BM172" i="1" s="1"/>
  <c r="AW203" i="3"/>
  <c r="BM208" i="1" s="1"/>
  <c r="AW149" i="3"/>
  <c r="BM154" i="1" s="1"/>
  <c r="AW142" i="3"/>
  <c r="BM147" i="1" s="1"/>
  <c r="AW199" i="3"/>
  <c r="BM204" i="1" s="1"/>
  <c r="AW47" i="3"/>
  <c r="BM52" i="1" s="1"/>
  <c r="AW50" i="3"/>
  <c r="BM55" i="1" s="1"/>
  <c r="AW21" i="3"/>
  <c r="BM25" i="1" s="1"/>
  <c r="AW205" i="3"/>
  <c r="BM210" i="1" s="1"/>
  <c r="AW188" i="3"/>
  <c r="BM193" i="1" s="1"/>
  <c r="AW251" i="3"/>
  <c r="BM256" i="1" s="1"/>
  <c r="AW159" i="3"/>
  <c r="BM164" i="1" s="1"/>
  <c r="AW106" i="3"/>
  <c r="BM111" i="1" s="1"/>
  <c r="AW130" i="3"/>
  <c r="BM135" i="1" s="1"/>
  <c r="AW57" i="3"/>
  <c r="BM62" i="1" s="1"/>
  <c r="AW24" i="3"/>
  <c r="BM28" i="1" s="1"/>
  <c r="AW193" i="3"/>
  <c r="BM198" i="1" s="1"/>
  <c r="AW195" i="3"/>
  <c r="BM200" i="1" s="1"/>
  <c r="AW179" i="3"/>
  <c r="BM184" i="1" s="1"/>
  <c r="AW151" i="3"/>
  <c r="BM156" i="1" s="1"/>
  <c r="AW135" i="3"/>
  <c r="BM140" i="1" s="1"/>
  <c r="AW89" i="3"/>
  <c r="BM94" i="1" s="1"/>
  <c r="AW48" i="3"/>
  <c r="BM53" i="1" s="1"/>
  <c r="AW19" i="3"/>
  <c r="BM23" i="1" s="1"/>
  <c r="AW262" i="3"/>
  <c r="BM267" i="1" s="1"/>
  <c r="AW175" i="3"/>
  <c r="BM180" i="1" s="1"/>
  <c r="AW270" i="3"/>
  <c r="BM275" i="1" s="1"/>
  <c r="AW101" i="3"/>
  <c r="BM106" i="1" s="1"/>
  <c r="AW234" i="3"/>
  <c r="BM239" i="1" s="1"/>
  <c r="AW131" i="3"/>
  <c r="BM136" i="1" s="1"/>
  <c r="AW122" i="3"/>
  <c r="BM127" i="1" s="1"/>
  <c r="AW18" i="3"/>
  <c r="BM22" i="1" s="1"/>
  <c r="AW250" i="3"/>
  <c r="BM255" i="1" s="1"/>
  <c r="AW144" i="3"/>
  <c r="BM149" i="1" s="1"/>
  <c r="AW180" i="3"/>
  <c r="BM185" i="1" s="1"/>
  <c r="AW272" i="3"/>
  <c r="BM277" i="1" s="1"/>
  <c r="AW173" i="3"/>
  <c r="BM178" i="1" s="1"/>
  <c r="AW62" i="3"/>
  <c r="BM67" i="1" s="1"/>
  <c r="AW72" i="3"/>
  <c r="BM77" i="1" s="1"/>
  <c r="AW33" i="3"/>
  <c r="BM38" i="1" s="1"/>
  <c r="AW235" i="3"/>
  <c r="BM240" i="1" s="1"/>
  <c r="AW196" i="3"/>
  <c r="BM201" i="1" s="1"/>
  <c r="AW137" i="3"/>
  <c r="BM142" i="1" s="1"/>
  <c r="AW164" i="3"/>
  <c r="BM169" i="1" s="1"/>
  <c r="AW66" i="3"/>
  <c r="BM71" i="1" s="1"/>
  <c r="AW29" i="3"/>
  <c r="BM33" i="1" s="1"/>
  <c r="AW153" i="3"/>
  <c r="BM158" i="1" s="1"/>
  <c r="AW211" i="3"/>
  <c r="BM216" i="1" s="1"/>
  <c r="AW124" i="3"/>
  <c r="BM129" i="1" s="1"/>
  <c r="AW120" i="3"/>
  <c r="BM125" i="1" s="1"/>
  <c r="AW93" i="3"/>
  <c r="BM98" i="1" s="1"/>
  <c r="AW266" i="3"/>
  <c r="BM271" i="1" s="1"/>
  <c r="AW80" i="3"/>
  <c r="BM85" i="1" s="1"/>
  <c r="AW140" i="3"/>
  <c r="BM145" i="1" s="1"/>
  <c r="AW41" i="3"/>
  <c r="BM46" i="1" s="1"/>
  <c r="AW183" i="3"/>
  <c r="BM188" i="1" s="1"/>
  <c r="AW177" i="3"/>
  <c r="BM182" i="1" s="1"/>
  <c r="AW114" i="3"/>
  <c r="BM119" i="1" s="1"/>
  <c r="AW161" i="3"/>
  <c r="BM166" i="1" s="1"/>
  <c r="AW200" i="3"/>
  <c r="BM205" i="1" s="1"/>
  <c r="AW84" i="3"/>
  <c r="BM89" i="1" s="1"/>
  <c r="AW220" i="3"/>
  <c r="BM225" i="1" s="1"/>
  <c r="AW231" i="3"/>
  <c r="BM236" i="1" s="1"/>
  <c r="AW133" i="3"/>
  <c r="BM138" i="1" s="1"/>
  <c r="AW38" i="3"/>
  <c r="BM43" i="1" s="1"/>
  <c r="AW256" i="3"/>
  <c r="BM261" i="1" s="1"/>
  <c r="AW198" i="3"/>
  <c r="BM203" i="1" s="1"/>
  <c r="AW187" i="3"/>
  <c r="BM192" i="1" s="1"/>
  <c r="AW253" i="3"/>
  <c r="BM258" i="1" s="1"/>
  <c r="AW154" i="3"/>
  <c r="BM159" i="1" s="1"/>
  <c r="AW52" i="3"/>
  <c r="BM57" i="1" s="1"/>
  <c r="AW15" i="3"/>
  <c r="BM19" i="1" s="1"/>
  <c r="AW201" i="3"/>
  <c r="BM206" i="1" s="1"/>
  <c r="AW228" i="3"/>
  <c r="BM233" i="1" s="1"/>
  <c r="AW111" i="3"/>
  <c r="BM116" i="1" s="1"/>
  <c r="AW78" i="3"/>
  <c r="BM83" i="1" s="1"/>
  <c r="AW242" i="3"/>
  <c r="BM247" i="1" s="1"/>
  <c r="AW96" i="3"/>
  <c r="BM101" i="1" s="1"/>
  <c r="AW87" i="3"/>
  <c r="BM92" i="1" s="1"/>
  <c r="AW260" i="3"/>
  <c r="BM265" i="1" s="1"/>
  <c r="AW208" i="3"/>
  <c r="BM213" i="1" s="1"/>
  <c r="AW125" i="3"/>
  <c r="BM130" i="1" s="1"/>
  <c r="AW22" i="3"/>
  <c r="BM26" i="1" s="1"/>
  <c r="AW267" i="3"/>
  <c r="BM272" i="1" s="1"/>
  <c r="AW103" i="3"/>
  <c r="BM108" i="1" s="1"/>
  <c r="AW35" i="3"/>
  <c r="BM40" i="1" s="1"/>
  <c r="AW143" i="3"/>
  <c r="BM148" i="1" s="1"/>
  <c r="AW141" i="3"/>
  <c r="BM146" i="1" s="1"/>
  <c r="AW182" i="3"/>
  <c r="BM187" i="1" s="1"/>
  <c r="AW255" i="3"/>
  <c r="BM260" i="1" s="1"/>
  <c r="AW44" i="3"/>
  <c r="BM49" i="1" s="1"/>
  <c r="AW172" i="3"/>
  <c r="BM177" i="1" s="1"/>
  <c r="AW225" i="3"/>
  <c r="BM230" i="1" s="1"/>
  <c r="AW152" i="3"/>
  <c r="BM157" i="1" s="1"/>
  <c r="AW213" i="3"/>
  <c r="BM218" i="1" s="1"/>
  <c r="AW94" i="3"/>
  <c r="BM99" i="1" s="1"/>
  <c r="AW257" i="3"/>
  <c r="BM262" i="1" s="1"/>
  <c r="AW81" i="3"/>
  <c r="BM86" i="1" s="1"/>
  <c r="AW83" i="3"/>
  <c r="BM88" i="1" s="1"/>
  <c r="U27" i="1"/>
  <c r="BI27" i="1" s="1"/>
  <c r="AQ27" i="1"/>
  <c r="J27" i="1"/>
  <c r="AF27" i="1"/>
  <c r="AF26" i="1"/>
  <c r="J26" i="1"/>
  <c r="U26" i="1"/>
  <c r="BI26" i="1" s="1"/>
  <c r="AQ26" i="1"/>
  <c r="J25" i="1"/>
  <c r="AQ25" i="1"/>
  <c r="AF25" i="1"/>
  <c r="U25" i="1"/>
  <c r="BI25" i="1" s="1"/>
  <c r="AQ24" i="1"/>
  <c r="J24" i="1"/>
  <c r="AF24" i="1"/>
  <c r="U24" i="1"/>
  <c r="BI24" i="1" s="1"/>
  <c r="U23" i="1"/>
  <c r="BI23" i="1" s="1"/>
  <c r="J23" i="1"/>
  <c r="AQ23" i="1"/>
  <c r="AF23" i="1"/>
  <c r="U22" i="1"/>
  <c r="BI22" i="1" s="1"/>
  <c r="J22" i="1"/>
  <c r="AQ22" i="1"/>
  <c r="AF22" i="1"/>
  <c r="U21" i="1"/>
  <c r="BI21" i="1" s="1"/>
  <c r="J21" i="1"/>
  <c r="AQ21" i="1"/>
  <c r="AF21" i="1"/>
  <c r="U20" i="1"/>
  <c r="BI20" i="1" s="1"/>
  <c r="J20" i="1"/>
  <c r="AQ20" i="1"/>
  <c r="AF20" i="1"/>
  <c r="U19" i="1"/>
  <c r="BI19" i="1" s="1"/>
  <c r="J19" i="1"/>
  <c r="AQ19" i="1"/>
  <c r="AF19" i="1"/>
  <c r="AQ18" i="1"/>
  <c r="J18" i="1"/>
  <c r="AF18" i="1"/>
  <c r="U18" i="1"/>
  <c r="BI18" i="1" s="1"/>
  <c r="U17" i="1"/>
  <c r="BI17" i="1" s="1"/>
  <c r="J17" i="1"/>
  <c r="AQ17" i="1"/>
  <c r="AF17" i="1"/>
  <c r="D33" i="1"/>
  <c r="AT16" i="1"/>
  <c r="AS16" i="1"/>
  <c r="AV16" i="1"/>
  <c r="AP16" i="1" s="1" a="1"/>
  <c r="AU16" i="1"/>
  <c r="AO16" i="1" s="1" a="1"/>
  <c r="AI16" i="1"/>
  <c r="AK16" i="1"/>
  <c r="AJ16" i="1"/>
  <c r="AD16" i="1" s="1" a="1"/>
  <c r="AH16" i="1"/>
  <c r="Y16" i="1"/>
  <c r="S16" i="1" s="1" a="1"/>
  <c r="X16" i="1"/>
  <c r="Z16" i="1"/>
  <c r="T16" i="1" s="1" a="1"/>
  <c r="W16" i="1"/>
  <c r="O16" i="1"/>
  <c r="I16" i="1" s="1" a="1"/>
  <c r="N16" i="1"/>
  <c r="H16" i="1" s="1" a="1"/>
  <c r="L16" i="1"/>
  <c r="M16" i="1"/>
  <c r="B7" i="1"/>
  <c r="AE16" i="1" a="1"/>
  <c r="D8" i="1"/>
  <c r="AC6" i="1"/>
  <c r="T16" i="1" l="1"/>
  <c r="AE16" i="1"/>
  <c r="AO16" i="1"/>
  <c r="AD16" i="1"/>
  <c r="AF16" i="1" s="1"/>
  <c r="S16" i="1"/>
  <c r="U16" i="1" s="1"/>
  <c r="BI16" i="1" s="1"/>
  <c r="AP16" i="1"/>
  <c r="H16" i="1"/>
  <c r="I16" i="1"/>
  <c r="J16" i="1" s="1"/>
  <c r="BM34" i="1"/>
  <c r="BA16" i="1"/>
  <c r="R11" i="3" s="1"/>
  <c r="BB16" i="1"/>
  <c r="AG11" i="3" s="1"/>
  <c r="AR27" i="1"/>
  <c r="AG27" i="1"/>
  <c r="V27" i="1"/>
  <c r="K27" i="1"/>
  <c r="AR26" i="1"/>
  <c r="AG26" i="1"/>
  <c r="V26" i="1"/>
  <c r="K26" i="1"/>
  <c r="AR25" i="1"/>
  <c r="AG25" i="1"/>
  <c r="V25" i="1"/>
  <c r="K25" i="1"/>
  <c r="AR24" i="1"/>
  <c r="AG24" i="1"/>
  <c r="V24" i="1"/>
  <c r="K24" i="1"/>
  <c r="AR23" i="1"/>
  <c r="AG23" i="1"/>
  <c r="V23" i="1"/>
  <c r="K23" i="1"/>
  <c r="AR22" i="1"/>
  <c r="AG22" i="1"/>
  <c r="V22" i="1"/>
  <c r="K22" i="1"/>
  <c r="AR21" i="1"/>
  <c r="AG21" i="1"/>
  <c r="V21" i="1"/>
  <c r="K21" i="1"/>
  <c r="AR20" i="1"/>
  <c r="AG20" i="1"/>
  <c r="V20" i="1"/>
  <c r="K20" i="1"/>
  <c r="AR19" i="1"/>
  <c r="AG19" i="1"/>
  <c r="V19" i="1"/>
  <c r="K19" i="1"/>
  <c r="AR18" i="1"/>
  <c r="AG18" i="1"/>
  <c r="V18" i="1"/>
  <c r="K18" i="1"/>
  <c r="AR17" i="1"/>
  <c r="AG17" i="1"/>
  <c r="V17" i="1"/>
  <c r="K17" i="1"/>
  <c r="AR16" i="1"/>
  <c r="AG16" i="1"/>
  <c r="V16" i="1"/>
  <c r="K16" i="1"/>
  <c r="AF12" i="3" a="1"/>
  <c r="Q12" i="3" a="1"/>
  <c r="AQ16" i="1" l="1"/>
  <c r="Q12" i="3"/>
  <c r="AF12" i="3"/>
  <c r="AG10" i="3"/>
  <c r="R10" i="3"/>
  <c r="BH17" i="1"/>
  <c r="BH18" i="1"/>
  <c r="BH21" i="1"/>
  <c r="BH24" i="1"/>
  <c r="BH27" i="1"/>
  <c r="BH23" i="1"/>
  <c r="BH16" i="1"/>
  <c r="BH19" i="1"/>
  <c r="BH22" i="1"/>
  <c r="BH25" i="1"/>
  <c r="BH20" i="1"/>
  <c r="BH26" i="1"/>
  <c r="AZ18" i="1"/>
  <c r="E11" i="3" s="1"/>
  <c r="AZ21" i="1"/>
  <c r="H11" i="3" s="1"/>
  <c r="AZ24" i="1"/>
  <c r="K11" i="3" s="1"/>
  <c r="AZ27" i="1"/>
  <c r="N11" i="3" s="1"/>
  <c r="AZ17" i="1"/>
  <c r="D11" i="3" s="1"/>
  <c r="AZ23" i="1"/>
  <c r="J11" i="3" s="1"/>
  <c r="AZ19" i="1"/>
  <c r="F11" i="3" s="1"/>
  <c r="AZ22" i="1"/>
  <c r="I11" i="3" s="1"/>
  <c r="AZ25" i="1"/>
  <c r="L11" i="3" s="1"/>
  <c r="AZ20" i="1"/>
  <c r="G11" i="3" s="1"/>
  <c r="AZ26" i="1"/>
  <c r="M11" i="3" s="1"/>
  <c r="AZ16" i="1"/>
  <c r="C11" i="3" s="1"/>
  <c r="AX150" i="3" l="1"/>
  <c r="BN155" i="1" s="1"/>
  <c r="AX246" i="3"/>
  <c r="BN251" i="1" s="1"/>
  <c r="AX47" i="3"/>
  <c r="BN52" i="1" s="1"/>
  <c r="AX245" i="3"/>
  <c r="BN250" i="1" s="1"/>
  <c r="AX148" i="3"/>
  <c r="BN153" i="1" s="1"/>
  <c r="AX48" i="3"/>
  <c r="BN53" i="1" s="1"/>
  <c r="AX247" i="3"/>
  <c r="BN252" i="1" s="1"/>
  <c r="AX77" i="3"/>
  <c r="BN82" i="1" s="1"/>
  <c r="AX218" i="3"/>
  <c r="BN223" i="1" s="1"/>
  <c r="AX236" i="3"/>
  <c r="BN241" i="1" s="1"/>
  <c r="AX199" i="3"/>
  <c r="BN204" i="1" s="1"/>
  <c r="AX18" i="3"/>
  <c r="BN22" i="1" s="1"/>
  <c r="AX204" i="3"/>
  <c r="BN209" i="1" s="1"/>
  <c r="AX100" i="3"/>
  <c r="BN105" i="1" s="1"/>
  <c r="AX90" i="3"/>
  <c r="BN95" i="1" s="1"/>
  <c r="AX21" i="3"/>
  <c r="BN25" i="1" s="1"/>
  <c r="AX169" i="3"/>
  <c r="BN174" i="1" s="1"/>
  <c r="AX261" i="3"/>
  <c r="BN266" i="1" s="1"/>
  <c r="AX105" i="3"/>
  <c r="BN110" i="1" s="1"/>
  <c r="AX168" i="3"/>
  <c r="BN173" i="1" s="1"/>
  <c r="AX135" i="3"/>
  <c r="BN140" i="1" s="1"/>
  <c r="AX193" i="3"/>
  <c r="BN198" i="1" s="1"/>
  <c r="AX229" i="3"/>
  <c r="BN234" i="1" s="1"/>
  <c r="AX82" i="3"/>
  <c r="BN87" i="1" s="1"/>
  <c r="AX156" i="3"/>
  <c r="BN161" i="1" s="1"/>
  <c r="AX190" i="3"/>
  <c r="BN195" i="1" s="1"/>
  <c r="AX126" i="3"/>
  <c r="BN131" i="1" s="1"/>
  <c r="AX186" i="3"/>
  <c r="BN191" i="1" s="1"/>
  <c r="AX254" i="3"/>
  <c r="BN259" i="1" s="1"/>
  <c r="AX250" i="3"/>
  <c r="BN255" i="1" s="1"/>
  <c r="AX124" i="3"/>
  <c r="BN129" i="1" s="1"/>
  <c r="AX37" i="3"/>
  <c r="BN42" i="1" s="1"/>
  <c r="AX125" i="3"/>
  <c r="BN130" i="1" s="1"/>
  <c r="AX170" i="3"/>
  <c r="BN175" i="1" s="1"/>
  <c r="AX197" i="3"/>
  <c r="BN202" i="1" s="1"/>
  <c r="AX131" i="3"/>
  <c r="BN136" i="1" s="1"/>
  <c r="AX181" i="3"/>
  <c r="BN186" i="1" s="1"/>
  <c r="AX205" i="3"/>
  <c r="BN210" i="1" s="1"/>
  <c r="AX61" i="3"/>
  <c r="BN66" i="1" s="1"/>
  <c r="AX262" i="3"/>
  <c r="BN267" i="1" s="1"/>
  <c r="AX195" i="3"/>
  <c r="BN200" i="1" s="1"/>
  <c r="AX52" i="3"/>
  <c r="BN57" i="1" s="1"/>
  <c r="AX19" i="3"/>
  <c r="BN23" i="1" s="1"/>
  <c r="AX94" i="3"/>
  <c r="BN99" i="1" s="1"/>
  <c r="AX206" i="3"/>
  <c r="BN211" i="1" s="1"/>
  <c r="AX154" i="3"/>
  <c r="BN159" i="1" s="1"/>
  <c r="AX72" i="3"/>
  <c r="BN77" i="1" s="1"/>
  <c r="AX234" i="3"/>
  <c r="BN239" i="1" s="1"/>
  <c r="AX114" i="3"/>
  <c r="BN119" i="1" s="1"/>
  <c r="AX25" i="3"/>
  <c r="BN29" i="1" s="1"/>
  <c r="AX145" i="3"/>
  <c r="BN150" i="1" s="1"/>
  <c r="AX40" i="3"/>
  <c r="BN45" i="1" s="1"/>
  <c r="AX104" i="3"/>
  <c r="BN109" i="1" s="1"/>
  <c r="AX167" i="3"/>
  <c r="BN172" i="1" s="1"/>
  <c r="AX102" i="3"/>
  <c r="BN107" i="1" s="1"/>
  <c r="AX55" i="3"/>
  <c r="BN60" i="1" s="1"/>
  <c r="AX127" i="3"/>
  <c r="BN132" i="1" s="1"/>
  <c r="AX174" i="3"/>
  <c r="BN179" i="1" s="1"/>
  <c r="AX62" i="3"/>
  <c r="BN67" i="1" s="1"/>
  <c r="AX89" i="3"/>
  <c r="BN94" i="1" s="1"/>
  <c r="AX192" i="3"/>
  <c r="BN197" i="1" s="1"/>
  <c r="AX176" i="3"/>
  <c r="BN181" i="1" s="1"/>
  <c r="AX96" i="3"/>
  <c r="BN101" i="1" s="1"/>
  <c r="AX187" i="3"/>
  <c r="BN192" i="1" s="1"/>
  <c r="AX17" i="3"/>
  <c r="BN21" i="1" s="1"/>
  <c r="AX16" i="3"/>
  <c r="BN20" i="1" s="1"/>
  <c r="AX182" i="3"/>
  <c r="BN187" i="1" s="1"/>
  <c r="AX33" i="3"/>
  <c r="BN38" i="1" s="1"/>
  <c r="AX155" i="3"/>
  <c r="BN160" i="1" s="1"/>
  <c r="AX160" i="3"/>
  <c r="BN165" i="1" s="1"/>
  <c r="AX163" i="3"/>
  <c r="BN168" i="1" s="1"/>
  <c r="AX239" i="3"/>
  <c r="BN244" i="1" s="1"/>
  <c r="AX259" i="3"/>
  <c r="BN264" i="1" s="1"/>
  <c r="AX118" i="3"/>
  <c r="BN123" i="1" s="1"/>
  <c r="AX58" i="3"/>
  <c r="BN63" i="1" s="1"/>
  <c r="AX224" i="3"/>
  <c r="BN229" i="1" s="1"/>
  <c r="AX99" i="3"/>
  <c r="BN104" i="1" s="1"/>
  <c r="AX68" i="3"/>
  <c r="BN73" i="1" s="1"/>
  <c r="AX220" i="3"/>
  <c r="BN225" i="1" s="1"/>
  <c r="AX34" i="3"/>
  <c r="BN39" i="1" s="1"/>
  <c r="AX15" i="3"/>
  <c r="BN19" i="1" s="1"/>
  <c r="AX44" i="3"/>
  <c r="BN49" i="1" s="1"/>
  <c r="AX251" i="3"/>
  <c r="BN256" i="1" s="1"/>
  <c r="AX151" i="3"/>
  <c r="BN156" i="1" s="1"/>
  <c r="AX74" i="3"/>
  <c r="BN79" i="1" s="1"/>
  <c r="AX70" i="3"/>
  <c r="BN75" i="1" s="1"/>
  <c r="AX103" i="3"/>
  <c r="BN108" i="1" s="1"/>
  <c r="AX153" i="3"/>
  <c r="BN158" i="1" s="1"/>
  <c r="AX93" i="3"/>
  <c r="BN98" i="1" s="1"/>
  <c r="AX228" i="3"/>
  <c r="BN233" i="1" s="1"/>
  <c r="AX80" i="3"/>
  <c r="BN85" i="1" s="1"/>
  <c r="AX183" i="3"/>
  <c r="BN188" i="1" s="1"/>
  <c r="AX73" i="3"/>
  <c r="BN78" i="1" s="1"/>
  <c r="AX27" i="3"/>
  <c r="BN31" i="1" s="1"/>
  <c r="AX237" i="3"/>
  <c r="BN242" i="1" s="1"/>
  <c r="AX144" i="3"/>
  <c r="BN149" i="1" s="1"/>
  <c r="AX270" i="3"/>
  <c r="BN275" i="1" s="1"/>
  <c r="AX14" i="3"/>
  <c r="BN18" i="1" s="1"/>
  <c r="AX158" i="3"/>
  <c r="BN163" i="1" s="1"/>
  <c r="AX107" i="3"/>
  <c r="BN112" i="1" s="1"/>
  <c r="AX24" i="3"/>
  <c r="BN28" i="1" s="1"/>
  <c r="AX85" i="3"/>
  <c r="BN90" i="1" s="1"/>
  <c r="AX53" i="3"/>
  <c r="BN58" i="1" s="1"/>
  <c r="AX38" i="3"/>
  <c r="BN43" i="1" s="1"/>
  <c r="AX115" i="3"/>
  <c r="BN120" i="1" s="1"/>
  <c r="AX117" i="3"/>
  <c r="BN122" i="1" s="1"/>
  <c r="AX232" i="3"/>
  <c r="BN237" i="1" s="1"/>
  <c r="AX57" i="3"/>
  <c r="BN62" i="1" s="1"/>
  <c r="AX64" i="3"/>
  <c r="BN69" i="1" s="1"/>
  <c r="AX129" i="3"/>
  <c r="BN134" i="1" s="1"/>
  <c r="AX106" i="3"/>
  <c r="BN111" i="1" s="1"/>
  <c r="AX257" i="3"/>
  <c r="BN262" i="1" s="1"/>
  <c r="AX201" i="3"/>
  <c r="BN206" i="1" s="1"/>
  <c r="AX36" i="3"/>
  <c r="BN41" i="1" s="1"/>
  <c r="AX65" i="3"/>
  <c r="BN70" i="1" s="1"/>
  <c r="AX109" i="3"/>
  <c r="BN114" i="1" s="1"/>
  <c r="AX238" i="3"/>
  <c r="BN243" i="1" s="1"/>
  <c r="AX112" i="3"/>
  <c r="BN117" i="1" s="1"/>
  <c r="AX46" i="3"/>
  <c r="BN51" i="1" s="1"/>
  <c r="AX60" i="3"/>
  <c r="BN65" i="1" s="1"/>
  <c r="AX54" i="3"/>
  <c r="BN59" i="1" s="1"/>
  <c r="AX140" i="3"/>
  <c r="BN145" i="1" s="1"/>
  <c r="AX133" i="3"/>
  <c r="BN138" i="1" s="1"/>
  <c r="AX146" i="3"/>
  <c r="BN151" i="1" s="1"/>
  <c r="AX130" i="3"/>
  <c r="BN135" i="1" s="1"/>
  <c r="AX142" i="3"/>
  <c r="BN147" i="1" s="1"/>
  <c r="AX134" i="3"/>
  <c r="BN139" i="1" s="1"/>
  <c r="AX91" i="3"/>
  <c r="BN96" i="1" s="1"/>
  <c r="AX43" i="3"/>
  <c r="BN48" i="1" s="1"/>
  <c r="AX165" i="3"/>
  <c r="BN170" i="1" s="1"/>
  <c r="AX266" i="3"/>
  <c r="BN271" i="1" s="1"/>
  <c r="AX178" i="3"/>
  <c r="BN183" i="1" s="1"/>
  <c r="AX35" i="3"/>
  <c r="BN40" i="1" s="1"/>
  <c r="AX213" i="3"/>
  <c r="BN218" i="1" s="1"/>
  <c r="AX225" i="3"/>
  <c r="BN230" i="1" s="1"/>
  <c r="AX50" i="3"/>
  <c r="BN55" i="1" s="1"/>
  <c r="AX88" i="3"/>
  <c r="BN93" i="1" s="1"/>
  <c r="AX226" i="3"/>
  <c r="BN231" i="1" s="1"/>
  <c r="AX272" i="3"/>
  <c r="BN277" i="1" s="1"/>
  <c r="AX30" i="3"/>
  <c r="BN35" i="1" s="1"/>
  <c r="AX202" i="3"/>
  <c r="BN207" i="1" s="1"/>
  <c r="AX241" i="3"/>
  <c r="BN246" i="1" s="1"/>
  <c r="AX253" i="3"/>
  <c r="BN258" i="1" s="1"/>
  <c r="AX222" i="3"/>
  <c r="BN227" i="1" s="1"/>
  <c r="AX138" i="3"/>
  <c r="BN143" i="1" s="1"/>
  <c r="AX13" i="3"/>
  <c r="BN17" i="1" s="1"/>
  <c r="AX210" i="3"/>
  <c r="BN215" i="1" s="1"/>
  <c r="AX123" i="3"/>
  <c r="BN128" i="1" s="1"/>
  <c r="AX49" i="3"/>
  <c r="BN54" i="1" s="1"/>
  <c r="AX81" i="3"/>
  <c r="BN86" i="1" s="1"/>
  <c r="AX98" i="3"/>
  <c r="BN103" i="1" s="1"/>
  <c r="AX260" i="3"/>
  <c r="BN265" i="1" s="1"/>
  <c r="AX120" i="3"/>
  <c r="BN125" i="1" s="1"/>
  <c r="AX87" i="3"/>
  <c r="BN92" i="1" s="1"/>
  <c r="AX152" i="3"/>
  <c r="BN157" i="1" s="1"/>
  <c r="AX207" i="3"/>
  <c r="BN212" i="1" s="1"/>
  <c r="AX121" i="3"/>
  <c r="BN126" i="1" s="1"/>
  <c r="AX177" i="3"/>
  <c r="BN182" i="1" s="1"/>
  <c r="AX122" i="3"/>
  <c r="BN127" i="1" s="1"/>
  <c r="AX189" i="3"/>
  <c r="BN194" i="1" s="1"/>
  <c r="AX212" i="3"/>
  <c r="BN217" i="1" s="1"/>
  <c r="AX39" i="3"/>
  <c r="BN44" i="1" s="1"/>
  <c r="AX188" i="3"/>
  <c r="BN193" i="1" s="1"/>
  <c r="AX184" i="3"/>
  <c r="BN189" i="1" s="1"/>
  <c r="AX159" i="3"/>
  <c r="BN164" i="1" s="1"/>
  <c r="AX149" i="3"/>
  <c r="BN154" i="1" s="1"/>
  <c r="AX173" i="3"/>
  <c r="BN178" i="1" s="1"/>
  <c r="AX166" i="3"/>
  <c r="BN171" i="1" s="1"/>
  <c r="AX252" i="3"/>
  <c r="BN257" i="1" s="1"/>
  <c r="AX249" i="3"/>
  <c r="BN254" i="1" s="1"/>
  <c r="AX235" i="3"/>
  <c r="BN240" i="1" s="1"/>
  <c r="AX79" i="3"/>
  <c r="BN84" i="1" s="1"/>
  <c r="AX258" i="3"/>
  <c r="BN263" i="1" s="1"/>
  <c r="AX215" i="3"/>
  <c r="BN220" i="1" s="1"/>
  <c r="AX41" i="3"/>
  <c r="BN46" i="1" s="1"/>
  <c r="AX95" i="3"/>
  <c r="BN100" i="1" s="1"/>
  <c r="AX162" i="3"/>
  <c r="BN167" i="1" s="1"/>
  <c r="AX83" i="3"/>
  <c r="BN88" i="1" s="1"/>
  <c r="AX242" i="3"/>
  <c r="BN247" i="1" s="1"/>
  <c r="AX31" i="3"/>
  <c r="BN36" i="1" s="1"/>
  <c r="AX63" i="3"/>
  <c r="BN68" i="1" s="1"/>
  <c r="AX263" i="3"/>
  <c r="BN268" i="1" s="1"/>
  <c r="AX233" i="3"/>
  <c r="BN238" i="1" s="1"/>
  <c r="AX172" i="3"/>
  <c r="BN177" i="1" s="1"/>
  <c r="AX92" i="3"/>
  <c r="BN97" i="1" s="1"/>
  <c r="AX240" i="3"/>
  <c r="BN245" i="1" s="1"/>
  <c r="AX265" i="3"/>
  <c r="BN270" i="1" s="1"/>
  <c r="AX171" i="3"/>
  <c r="BN176" i="1" s="1"/>
  <c r="AX191" i="3"/>
  <c r="BN196" i="1" s="1"/>
  <c r="AX86" i="3"/>
  <c r="BN91" i="1" s="1"/>
  <c r="AX243" i="3"/>
  <c r="BN248" i="1" s="1"/>
  <c r="AX214" i="3"/>
  <c r="BN219" i="1" s="1"/>
  <c r="AX203" i="3"/>
  <c r="BN208" i="1" s="1"/>
  <c r="AX200" i="3"/>
  <c r="BN205" i="1" s="1"/>
  <c r="AX110" i="3"/>
  <c r="BN115" i="1" s="1"/>
  <c r="AX217" i="3"/>
  <c r="BN222" i="1" s="1"/>
  <c r="AX157" i="3"/>
  <c r="BN162" i="1" s="1"/>
  <c r="AX101" i="3"/>
  <c r="BN106" i="1" s="1"/>
  <c r="AX256" i="3"/>
  <c r="BN261" i="1" s="1"/>
  <c r="AX23" i="3"/>
  <c r="BN27" i="1" s="1"/>
  <c r="AX269" i="3"/>
  <c r="BN274" i="1" s="1"/>
  <c r="AX132" i="3"/>
  <c r="BN137" i="1" s="1"/>
  <c r="AX45" i="3"/>
  <c r="BN50" i="1" s="1"/>
  <c r="AX198" i="3"/>
  <c r="BN203" i="1" s="1"/>
  <c r="AX56" i="3"/>
  <c r="BN61" i="1" s="1"/>
  <c r="AX211" i="3"/>
  <c r="BN216" i="1" s="1"/>
  <c r="AX268" i="3"/>
  <c r="BN273" i="1" s="1"/>
  <c r="AX69" i="3"/>
  <c r="BN74" i="1" s="1"/>
  <c r="AX164" i="3"/>
  <c r="BN169" i="1" s="1"/>
  <c r="AX42" i="3"/>
  <c r="BN47" i="1" s="1"/>
  <c r="AX29" i="3"/>
  <c r="AX141" i="3"/>
  <c r="BN146" i="1" s="1"/>
  <c r="AX20" i="3"/>
  <c r="BN24" i="1" s="1"/>
  <c r="AX28" i="3"/>
  <c r="BN32" i="1" s="1"/>
  <c r="AX267" i="3"/>
  <c r="BN272" i="1" s="1"/>
  <c r="AX137" i="3"/>
  <c r="BN142" i="1" s="1"/>
  <c r="AX75" i="3"/>
  <c r="BN80" i="1" s="1"/>
  <c r="AX67" i="3"/>
  <c r="BN72" i="1" s="1"/>
  <c r="AX108" i="3"/>
  <c r="BN113" i="1" s="1"/>
  <c r="AX78" i="3"/>
  <c r="BN83" i="1" s="1"/>
  <c r="AX231" i="3"/>
  <c r="BN236" i="1" s="1"/>
  <c r="AX113" i="3"/>
  <c r="BN118" i="1" s="1"/>
  <c r="AX223" i="3"/>
  <c r="BN228" i="1" s="1"/>
  <c r="AX147" i="3"/>
  <c r="BN152" i="1" s="1"/>
  <c r="AX175" i="3"/>
  <c r="BN180" i="1" s="1"/>
  <c r="AX209" i="3"/>
  <c r="BN214" i="1" s="1"/>
  <c r="AX255" i="3"/>
  <c r="BN260" i="1" s="1"/>
  <c r="AX216" i="3"/>
  <c r="BN221" i="1" s="1"/>
  <c r="AX196" i="3"/>
  <c r="BN201" i="1" s="1"/>
  <c r="AX22" i="3"/>
  <c r="BN26" i="1" s="1"/>
  <c r="AX111" i="3"/>
  <c r="BN116" i="1" s="1"/>
  <c r="AX71" i="3"/>
  <c r="BN76" i="1" s="1"/>
  <c r="AX248" i="3"/>
  <c r="BN253" i="1" s="1"/>
  <c r="AX194" i="3"/>
  <c r="BN199" i="1" s="1"/>
  <c r="AX271" i="3"/>
  <c r="BN276" i="1" s="1"/>
  <c r="AX66" i="3"/>
  <c r="BN71" i="1" s="1"/>
  <c r="AX59" i="3"/>
  <c r="BN64" i="1" s="1"/>
  <c r="AX180" i="3"/>
  <c r="BN185" i="1" s="1"/>
  <c r="AX227" i="3"/>
  <c r="BN232" i="1" s="1"/>
  <c r="AX84" i="3"/>
  <c r="BN89" i="1" s="1"/>
  <c r="AX26" i="3"/>
  <c r="BN30" i="1" s="1"/>
  <c r="AX244" i="3"/>
  <c r="BN249" i="1" s="1"/>
  <c r="AX208" i="3"/>
  <c r="BN213" i="1" s="1"/>
  <c r="AX264" i="3"/>
  <c r="BN269" i="1" s="1"/>
  <c r="AX97" i="3"/>
  <c r="BN102" i="1" s="1"/>
  <c r="AX116" i="3"/>
  <c r="BN121" i="1" s="1"/>
  <c r="AX221" i="3"/>
  <c r="BN226" i="1" s="1"/>
  <c r="AX32" i="3"/>
  <c r="BN37" i="1" s="1"/>
  <c r="AX219" i="3"/>
  <c r="BN224" i="1" s="1"/>
  <c r="AX230" i="3"/>
  <c r="BN235" i="1" s="1"/>
  <c r="AX139" i="3"/>
  <c r="BN144" i="1" s="1"/>
  <c r="AX143" i="3"/>
  <c r="BN148" i="1" s="1"/>
  <c r="AX136" i="3"/>
  <c r="BN141" i="1" s="1"/>
  <c r="AX185" i="3"/>
  <c r="BN190" i="1" s="1"/>
  <c r="AX51" i="3"/>
  <c r="BN56" i="1" s="1"/>
  <c r="AX128" i="3"/>
  <c r="BN133" i="1" s="1"/>
  <c r="AX179" i="3"/>
  <c r="BN184" i="1" s="1"/>
  <c r="AX161" i="3"/>
  <c r="BN166" i="1" s="1"/>
  <c r="AX76" i="3"/>
  <c r="BN81" i="1" s="1"/>
  <c r="AX119" i="3"/>
  <c r="BN124" i="1" s="1"/>
  <c r="BE12" i="3"/>
  <c r="BU16" i="1" s="1"/>
  <c r="BC12" i="3"/>
  <c r="BS16" i="1" s="1"/>
  <c r="AZ12" i="3"/>
  <c r="BP16" i="1" s="1"/>
  <c r="BD12" i="3"/>
  <c r="BT16" i="1" s="1"/>
  <c r="BA12" i="3"/>
  <c r="BQ16" i="1" s="1"/>
  <c r="BB12" i="3"/>
  <c r="BR16" i="1" s="1"/>
  <c r="AX12" i="3"/>
  <c r="BN16" i="1" s="1"/>
  <c r="AY12" i="3"/>
  <c r="BO16" i="1" s="1"/>
  <c r="AW12" i="3"/>
  <c r="BM16" i="1" s="1"/>
  <c r="AU12" i="3"/>
  <c r="BK16" i="1" s="1"/>
  <c r="BG12" i="3"/>
  <c r="BW16" i="1" s="1"/>
  <c r="BF12" i="3"/>
  <c r="BV16" i="1" s="1"/>
  <c r="AV194" i="3"/>
  <c r="BL199" i="1" s="1"/>
  <c r="AV202" i="3"/>
  <c r="BL207" i="1" s="1"/>
  <c r="AV273" i="3"/>
  <c r="BL278" i="1" s="1"/>
  <c r="AV201" i="3"/>
  <c r="BL206" i="1" s="1"/>
  <c r="AV240" i="3"/>
  <c r="BL245" i="1" s="1"/>
  <c r="AV246" i="3"/>
  <c r="BL251" i="1" s="1"/>
  <c r="AV221" i="3"/>
  <c r="BL226" i="1" s="1"/>
  <c r="AV135" i="3"/>
  <c r="BL140" i="1" s="1"/>
  <c r="AV116" i="3"/>
  <c r="BL121" i="1" s="1"/>
  <c r="AV102" i="3"/>
  <c r="BL107" i="1" s="1"/>
  <c r="AV147" i="3"/>
  <c r="BL152" i="1" s="1"/>
  <c r="AV89" i="3"/>
  <c r="BL94" i="1" s="1"/>
  <c r="AV186" i="3"/>
  <c r="BL191" i="1" s="1"/>
  <c r="AV156" i="3"/>
  <c r="BL161" i="1" s="1"/>
  <c r="AV74" i="3"/>
  <c r="BL79" i="1" s="1"/>
  <c r="AV223" i="3"/>
  <c r="BL228" i="1" s="1"/>
  <c r="AV62" i="3"/>
  <c r="BL67" i="1" s="1"/>
  <c r="AV75" i="3"/>
  <c r="BL80" i="1" s="1"/>
  <c r="AV35" i="3"/>
  <c r="BL40" i="1" s="1"/>
  <c r="AV13" i="3"/>
  <c r="BL17" i="1" s="1"/>
  <c r="AV42" i="3"/>
  <c r="BL47" i="1" s="1"/>
  <c r="AV48" i="3"/>
  <c r="BL53" i="1" s="1"/>
  <c r="AV215" i="3"/>
  <c r="BL220" i="1" s="1"/>
  <c r="AV272" i="3"/>
  <c r="BL277" i="1" s="1"/>
  <c r="AV243" i="3"/>
  <c r="BL248" i="1" s="1"/>
  <c r="AV232" i="3"/>
  <c r="BL237" i="1" s="1"/>
  <c r="AV229" i="3"/>
  <c r="BL234" i="1" s="1"/>
  <c r="AV264" i="3"/>
  <c r="BL269" i="1" s="1"/>
  <c r="AV245" i="3"/>
  <c r="BL250" i="1" s="1"/>
  <c r="AV81" i="3"/>
  <c r="BL86" i="1" s="1"/>
  <c r="AV235" i="3"/>
  <c r="BL240" i="1" s="1"/>
  <c r="AV159" i="3"/>
  <c r="BL164" i="1" s="1"/>
  <c r="AV85" i="3"/>
  <c r="BL90" i="1" s="1"/>
  <c r="AV211" i="3"/>
  <c r="BL216" i="1" s="1"/>
  <c r="AV204" i="3"/>
  <c r="BL209" i="1" s="1"/>
  <c r="AV115" i="3"/>
  <c r="BL120" i="1" s="1"/>
  <c r="AV119" i="3"/>
  <c r="BL124" i="1" s="1"/>
  <c r="AV111" i="3"/>
  <c r="BL116" i="1" s="1"/>
  <c r="AV71" i="3"/>
  <c r="BL76" i="1" s="1"/>
  <c r="AV183" i="3"/>
  <c r="BL188" i="1" s="1"/>
  <c r="AV43" i="3"/>
  <c r="BL48" i="1" s="1"/>
  <c r="AV61" i="3"/>
  <c r="BL66" i="1" s="1"/>
  <c r="AV12" i="3"/>
  <c r="BL16" i="1" s="1"/>
  <c r="AV266" i="3"/>
  <c r="BL271" i="1" s="1"/>
  <c r="AV203" i="3"/>
  <c r="BL208" i="1" s="1"/>
  <c r="AV260" i="3"/>
  <c r="BL265" i="1" s="1"/>
  <c r="AV237" i="3"/>
  <c r="BL242" i="1" s="1"/>
  <c r="AV220" i="3"/>
  <c r="BL225" i="1" s="1"/>
  <c r="AV222" i="3"/>
  <c r="BL227" i="1" s="1"/>
  <c r="AV200" i="3"/>
  <c r="BL205" i="1" s="1"/>
  <c r="AV192" i="3"/>
  <c r="BL197" i="1" s="1"/>
  <c r="AV270" i="3"/>
  <c r="BL275" i="1" s="1"/>
  <c r="AV228" i="3"/>
  <c r="BL233" i="1" s="1"/>
  <c r="AV155" i="3"/>
  <c r="BL160" i="1" s="1"/>
  <c r="AV176" i="3"/>
  <c r="BL181" i="1" s="1"/>
  <c r="AV153" i="3"/>
  <c r="BL158" i="1" s="1"/>
  <c r="AV152" i="3"/>
  <c r="BL157" i="1" s="1"/>
  <c r="AV171" i="3"/>
  <c r="BL176" i="1" s="1"/>
  <c r="AV106" i="3"/>
  <c r="BL111" i="1" s="1"/>
  <c r="AV107" i="3"/>
  <c r="BL112" i="1" s="1"/>
  <c r="AV64" i="3"/>
  <c r="BL69" i="1" s="1"/>
  <c r="AV142" i="3"/>
  <c r="BL147" i="1" s="1"/>
  <c r="AV36" i="3"/>
  <c r="BL41" i="1" s="1"/>
  <c r="AV44" i="3"/>
  <c r="BL49" i="1" s="1"/>
  <c r="AV28" i="3"/>
  <c r="BL32" i="1" s="1"/>
  <c r="AV206" i="3"/>
  <c r="BL211" i="1" s="1"/>
  <c r="AV214" i="3"/>
  <c r="BL219" i="1" s="1"/>
  <c r="AV199" i="3"/>
  <c r="BL204" i="1" s="1"/>
  <c r="AV207" i="3"/>
  <c r="BL212" i="1" s="1"/>
  <c r="AV247" i="3"/>
  <c r="BL252" i="1" s="1"/>
  <c r="AV253" i="3"/>
  <c r="BL258" i="1" s="1"/>
  <c r="AV259" i="3"/>
  <c r="BL264" i="1" s="1"/>
  <c r="AV143" i="3"/>
  <c r="BL148" i="1" s="1"/>
  <c r="AV124" i="3"/>
  <c r="BL129" i="1" s="1"/>
  <c r="AV114" i="3"/>
  <c r="BL119" i="1" s="1"/>
  <c r="AV164" i="3"/>
  <c r="BL169" i="1" s="1"/>
  <c r="AV95" i="3"/>
  <c r="BL100" i="1" s="1"/>
  <c r="AV265" i="3"/>
  <c r="BL270" i="1" s="1"/>
  <c r="AV252" i="3"/>
  <c r="BL257" i="1" s="1"/>
  <c r="AV84" i="3"/>
  <c r="BL89" i="1" s="1"/>
  <c r="AV70" i="3"/>
  <c r="BL75" i="1" s="1"/>
  <c r="AV185" i="3"/>
  <c r="BL190" i="1" s="1"/>
  <c r="AV47" i="3"/>
  <c r="BL52" i="1" s="1"/>
  <c r="AV57" i="3"/>
  <c r="BL62" i="1" s="1"/>
  <c r="AV25" i="3"/>
  <c r="BL29" i="1" s="1"/>
  <c r="AV16" i="3"/>
  <c r="BL20" i="1" s="1"/>
  <c r="AV55" i="3"/>
  <c r="BL60" i="1" s="1"/>
  <c r="AV250" i="3"/>
  <c r="BL255" i="1" s="1"/>
  <c r="AV261" i="3"/>
  <c r="BL266" i="1" s="1"/>
  <c r="AV191" i="3"/>
  <c r="BL196" i="1" s="1"/>
  <c r="AV184" i="3"/>
  <c r="BL189" i="1" s="1"/>
  <c r="AV210" i="3"/>
  <c r="BL215" i="1" s="1"/>
  <c r="AV92" i="3"/>
  <c r="BL97" i="1" s="1"/>
  <c r="AV139" i="3"/>
  <c r="BL144" i="1" s="1"/>
  <c r="AV77" i="3"/>
  <c r="BL82" i="1" s="1"/>
  <c r="AV146" i="3"/>
  <c r="BL151" i="1" s="1"/>
  <c r="AV41" i="3"/>
  <c r="BL46" i="1" s="1"/>
  <c r="AV58" i="3"/>
  <c r="BL63" i="1" s="1"/>
  <c r="AV56" i="3"/>
  <c r="BL61" i="1" s="1"/>
  <c r="AV54" i="3"/>
  <c r="BL59" i="1" s="1"/>
  <c r="AV38" i="3"/>
  <c r="BL43" i="1" s="1"/>
  <c r="AV218" i="3"/>
  <c r="BL223" i="1" s="1"/>
  <c r="AV170" i="3"/>
  <c r="BL175" i="1" s="1"/>
  <c r="AV213" i="3"/>
  <c r="BL218" i="1" s="1"/>
  <c r="AV145" i="3"/>
  <c r="BL150" i="1" s="1"/>
  <c r="AV130" i="3"/>
  <c r="BL135" i="1" s="1"/>
  <c r="AV93" i="3"/>
  <c r="BL98" i="1" s="1"/>
  <c r="AV126" i="3"/>
  <c r="BL131" i="1" s="1"/>
  <c r="AV97" i="3"/>
  <c r="BL102" i="1" s="1"/>
  <c r="AV125" i="3"/>
  <c r="BL130" i="1" s="1"/>
  <c r="AV118" i="3"/>
  <c r="BL123" i="1" s="1"/>
  <c r="AV82" i="3"/>
  <c r="BL87" i="1" s="1"/>
  <c r="AV78" i="3"/>
  <c r="BL83" i="1" s="1"/>
  <c r="AV86" i="3"/>
  <c r="BL91" i="1" s="1"/>
  <c r="AV20" i="3"/>
  <c r="BL24" i="1" s="1"/>
  <c r="AV14" i="3"/>
  <c r="BL18" i="1" s="1"/>
  <c r="AV263" i="3"/>
  <c r="BL268" i="1" s="1"/>
  <c r="AV224" i="3"/>
  <c r="BL229" i="1" s="1"/>
  <c r="AV208" i="3"/>
  <c r="BL213" i="1" s="1"/>
  <c r="AV271" i="3"/>
  <c r="BL276" i="1" s="1"/>
  <c r="AV117" i="3"/>
  <c r="BL122" i="1" s="1"/>
  <c r="AV193" i="3"/>
  <c r="BL198" i="1" s="1"/>
  <c r="AV108" i="3"/>
  <c r="BL113" i="1" s="1"/>
  <c r="AV150" i="3"/>
  <c r="BL155" i="1" s="1"/>
  <c r="AV161" i="3"/>
  <c r="BL166" i="1" s="1"/>
  <c r="AV133" i="3"/>
  <c r="BL138" i="1" s="1"/>
  <c r="AV37" i="3"/>
  <c r="BL42" i="1" s="1"/>
  <c r="AV15" i="3"/>
  <c r="BL19" i="1" s="1"/>
  <c r="AV226" i="3"/>
  <c r="BL231" i="1" s="1"/>
  <c r="AV225" i="3"/>
  <c r="BL230" i="1" s="1"/>
  <c r="AV178" i="3"/>
  <c r="BL183" i="1" s="1"/>
  <c r="AV195" i="3"/>
  <c r="BL200" i="1" s="1"/>
  <c r="AV104" i="3"/>
  <c r="BL109" i="1" s="1"/>
  <c r="AV167" i="3"/>
  <c r="BL172" i="1" s="1"/>
  <c r="AV101" i="3"/>
  <c r="BL106" i="1" s="1"/>
  <c r="AV128" i="3"/>
  <c r="BL133" i="1" s="1"/>
  <c r="AV79" i="3"/>
  <c r="BL84" i="1" s="1"/>
  <c r="AV59" i="3"/>
  <c r="BL64" i="1" s="1"/>
  <c r="AV66" i="3"/>
  <c r="BL71" i="1" s="1"/>
  <c r="AV110" i="3"/>
  <c r="BL115" i="1" s="1"/>
  <c r="AV190" i="3"/>
  <c r="BL195" i="1" s="1"/>
  <c r="AV268" i="3"/>
  <c r="BL273" i="1" s="1"/>
  <c r="AV180" i="3"/>
  <c r="BL185" i="1" s="1"/>
  <c r="AV162" i="3"/>
  <c r="BL167" i="1" s="1"/>
  <c r="AV151" i="3"/>
  <c r="BL156" i="1" s="1"/>
  <c r="AV134" i="3"/>
  <c r="BL139" i="1" s="1"/>
  <c r="AV87" i="3"/>
  <c r="BL92" i="1" s="1"/>
  <c r="AV21" i="3"/>
  <c r="BL25" i="1" s="1"/>
  <c r="AV60" i="3"/>
  <c r="BL65" i="1" s="1"/>
  <c r="AV18" i="3"/>
  <c r="BL22" i="1" s="1"/>
  <c r="AV196" i="3"/>
  <c r="BL201" i="1" s="1"/>
  <c r="AV256" i="3"/>
  <c r="BL261" i="1" s="1"/>
  <c r="AV198" i="3"/>
  <c r="BL203" i="1" s="1"/>
  <c r="AV158" i="3"/>
  <c r="BL163" i="1" s="1"/>
  <c r="AV127" i="3"/>
  <c r="BL132" i="1" s="1"/>
  <c r="AV132" i="3"/>
  <c r="BL137" i="1" s="1"/>
  <c r="AV53" i="3"/>
  <c r="BL58" i="1" s="1"/>
  <c r="AV69" i="3"/>
  <c r="BL74" i="1" s="1"/>
  <c r="AV49" i="3"/>
  <c r="BL54" i="1" s="1"/>
  <c r="AV19" i="3"/>
  <c r="BL23" i="1" s="1"/>
  <c r="AV230" i="3"/>
  <c r="BL235" i="1" s="1"/>
  <c r="AV267" i="3"/>
  <c r="BL272" i="1" s="1"/>
  <c r="AV169" i="3"/>
  <c r="BL174" i="1" s="1"/>
  <c r="AV181" i="3"/>
  <c r="BL186" i="1" s="1"/>
  <c r="AV197" i="3"/>
  <c r="BL202" i="1" s="1"/>
  <c r="AV112" i="3"/>
  <c r="BL117" i="1" s="1"/>
  <c r="AV258" i="3"/>
  <c r="BL263" i="1" s="1"/>
  <c r="AV137" i="3"/>
  <c r="BL142" i="1" s="1"/>
  <c r="AV52" i="3"/>
  <c r="BL57" i="1" s="1"/>
  <c r="AV34" i="3"/>
  <c r="BL39" i="1" s="1"/>
  <c r="AV239" i="3"/>
  <c r="BL244" i="1" s="1"/>
  <c r="AV189" i="3"/>
  <c r="BL194" i="1" s="1"/>
  <c r="AV209" i="3"/>
  <c r="BL214" i="1" s="1"/>
  <c r="AV138" i="3"/>
  <c r="BL143" i="1" s="1"/>
  <c r="AV113" i="3"/>
  <c r="BL118" i="1" s="1"/>
  <c r="AV174" i="3"/>
  <c r="BL179" i="1" s="1"/>
  <c r="AV90" i="3"/>
  <c r="BL95" i="1" s="1"/>
  <c r="AV17" i="3"/>
  <c r="BL21" i="1" s="1"/>
  <c r="AV227" i="3"/>
  <c r="BL232" i="1" s="1"/>
  <c r="AV244" i="3"/>
  <c r="BL249" i="1" s="1"/>
  <c r="AV129" i="3"/>
  <c r="BL134" i="1" s="1"/>
  <c r="AV177" i="3"/>
  <c r="BL182" i="1" s="1"/>
  <c r="AV73" i="3"/>
  <c r="BL78" i="1" s="1"/>
  <c r="AV88" i="3"/>
  <c r="BL93" i="1" s="1"/>
  <c r="AV33" i="3"/>
  <c r="BL38" i="1" s="1"/>
  <c r="AV26" i="3"/>
  <c r="BL30" i="1" s="1"/>
  <c r="AV262" i="3"/>
  <c r="BL267" i="1" s="1"/>
  <c r="AV187" i="3"/>
  <c r="BL192" i="1" s="1"/>
  <c r="AV216" i="3"/>
  <c r="BL221" i="1" s="1"/>
  <c r="AV166" i="3"/>
  <c r="BL171" i="1" s="1"/>
  <c r="AV72" i="3"/>
  <c r="BL77" i="1" s="1"/>
  <c r="AV94" i="3"/>
  <c r="BL99" i="1" s="1"/>
  <c r="AV96" i="3"/>
  <c r="BL101" i="1" s="1"/>
  <c r="AV51" i="3"/>
  <c r="BL56" i="1" s="1"/>
  <c r="AV238" i="3"/>
  <c r="BL243" i="1" s="1"/>
  <c r="AV175" i="3"/>
  <c r="BL180" i="1" s="1"/>
  <c r="AV165" i="3"/>
  <c r="BL170" i="1" s="1"/>
  <c r="AV163" i="3"/>
  <c r="BL168" i="1" s="1"/>
  <c r="AV269" i="3"/>
  <c r="BL274" i="1" s="1"/>
  <c r="AV120" i="3"/>
  <c r="BL125" i="1" s="1"/>
  <c r="AV63" i="3"/>
  <c r="BL68" i="1" s="1"/>
  <c r="AV23" i="3"/>
  <c r="BL27" i="1" s="1"/>
  <c r="AV212" i="3"/>
  <c r="BL217" i="1" s="1"/>
  <c r="AV234" i="3"/>
  <c r="BL239" i="1" s="1"/>
  <c r="AV154" i="3"/>
  <c r="BL159" i="1" s="1"/>
  <c r="AV160" i="3"/>
  <c r="BL165" i="1" s="1"/>
  <c r="AV121" i="3"/>
  <c r="BL126" i="1" s="1"/>
  <c r="AV46" i="3"/>
  <c r="BL51" i="1" s="1"/>
  <c r="AV39" i="3"/>
  <c r="BL44" i="1" s="1"/>
  <c r="AV182" i="3"/>
  <c r="BL187" i="1" s="1"/>
  <c r="AV172" i="3"/>
  <c r="BL177" i="1" s="1"/>
  <c r="AV100" i="3"/>
  <c r="BL105" i="1" s="1"/>
  <c r="AV205" i="3"/>
  <c r="BL210" i="1" s="1"/>
  <c r="AV32" i="3"/>
  <c r="BL37" i="1" s="1"/>
  <c r="AV248" i="3"/>
  <c r="BL253" i="1" s="1"/>
  <c r="AV168" i="3"/>
  <c r="BL173" i="1" s="1"/>
  <c r="AV83" i="3"/>
  <c r="BL88" i="1" s="1"/>
  <c r="AV68" i="3"/>
  <c r="BL73" i="1" s="1"/>
  <c r="AV45" i="3"/>
  <c r="BL50" i="1" s="1"/>
  <c r="AV231" i="3"/>
  <c r="BL236" i="1" s="1"/>
  <c r="AV136" i="3"/>
  <c r="BL141" i="1" s="1"/>
  <c r="AV148" i="3"/>
  <c r="BL153" i="1" s="1"/>
  <c r="AV31" i="3"/>
  <c r="BL36" i="1" s="1"/>
  <c r="AV242" i="3"/>
  <c r="BL247" i="1" s="1"/>
  <c r="AV123" i="3"/>
  <c r="BL128" i="1" s="1"/>
  <c r="AV122" i="3"/>
  <c r="BL127" i="1" s="1"/>
  <c r="AV24" i="3"/>
  <c r="BL28" i="1" s="1"/>
  <c r="AV219" i="3"/>
  <c r="BL224" i="1" s="1"/>
  <c r="AV141" i="3"/>
  <c r="BL146" i="1" s="1"/>
  <c r="AV40" i="3"/>
  <c r="BL45" i="1" s="1"/>
  <c r="AV233" i="3"/>
  <c r="BL238" i="1" s="1"/>
  <c r="AV131" i="3"/>
  <c r="BL136" i="1" s="1"/>
  <c r="AV30" i="3"/>
  <c r="BL35" i="1" s="1"/>
  <c r="AV157" i="3"/>
  <c r="BL162" i="1" s="1"/>
  <c r="AV109" i="3"/>
  <c r="BL114" i="1" s="1"/>
  <c r="AV67" i="3"/>
  <c r="BL72" i="1" s="1"/>
  <c r="AV188" i="3"/>
  <c r="BL193" i="1" s="1"/>
  <c r="AV144" i="3"/>
  <c r="BL149" i="1" s="1"/>
  <c r="AV50" i="3"/>
  <c r="BL55" i="1" s="1"/>
  <c r="AV254" i="3"/>
  <c r="BL259" i="1" s="1"/>
  <c r="AV149" i="3"/>
  <c r="BL154" i="1" s="1"/>
  <c r="AV140" i="3"/>
  <c r="BL145" i="1" s="1"/>
  <c r="AV27" i="3"/>
  <c r="BL31" i="1" s="1"/>
  <c r="AV257" i="3"/>
  <c r="BL262" i="1" s="1"/>
  <c r="AV173" i="3"/>
  <c r="BL178" i="1" s="1"/>
  <c r="AV65" i="3"/>
  <c r="BL70" i="1" s="1"/>
  <c r="AV99" i="3"/>
  <c r="BL104" i="1" s="1"/>
  <c r="AV217" i="3"/>
  <c r="BL222" i="1" s="1"/>
  <c r="AV236" i="3"/>
  <c r="BL241" i="1" s="1"/>
  <c r="AV249" i="3"/>
  <c r="BL254" i="1" s="1"/>
  <c r="AV251" i="3"/>
  <c r="BL256" i="1" s="1"/>
  <c r="AV103" i="3"/>
  <c r="BL108" i="1" s="1"/>
  <c r="AV29" i="3"/>
  <c r="BL34" i="1" s="1"/>
  <c r="AV255" i="3"/>
  <c r="BL260" i="1" s="1"/>
  <c r="AV98" i="3"/>
  <c r="BL103" i="1" s="1"/>
  <c r="AV241" i="3"/>
  <c r="BL246" i="1" s="1"/>
  <c r="AV76" i="3"/>
  <c r="BL81" i="1" s="1"/>
  <c r="AV179" i="3"/>
  <c r="BL184" i="1" s="1"/>
  <c r="AV91" i="3"/>
  <c r="BL96" i="1" s="1"/>
  <c r="AV105" i="3"/>
  <c r="BL110" i="1" s="1"/>
  <c r="AV22" i="3"/>
  <c r="BL26" i="1" s="1"/>
  <c r="AV80" i="3"/>
  <c r="BL85" i="1" s="1"/>
  <c r="BN34" i="1" l="1"/>
  <c r="BN33" i="1"/>
  <c r="BL33" i="1"/>
  <c r="BZ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<sst xmlns="http://schemas.openxmlformats.org/spreadsheetml/2006/main" count="3326" uniqueCount="2214">
  <si>
    <t>EURGBP</t>
  </si>
  <si>
    <t>1M</t>
  </si>
  <si>
    <t>3M</t>
  </si>
  <si>
    <t>6M</t>
  </si>
  <si>
    <t>1W</t>
  </si>
  <si>
    <t>1Y</t>
  </si>
  <si>
    <t>2Y</t>
  </si>
  <si>
    <t>3Y</t>
  </si>
  <si>
    <t>4Y</t>
  </si>
  <si>
    <t>5Y</t>
  </si>
  <si>
    <t>6Y</t>
  </si>
  <si>
    <t>2M</t>
  </si>
  <si>
    <t>4M</t>
  </si>
  <si>
    <t>5M</t>
  </si>
  <si>
    <t>7M</t>
  </si>
  <si>
    <t>9M</t>
  </si>
  <si>
    <t>8M</t>
  </si>
  <si>
    <t>7Y</t>
  </si>
  <si>
    <t>10Y</t>
  </si>
  <si>
    <t>15Y</t>
  </si>
  <si>
    <t>20Y</t>
  </si>
  <si>
    <t>30Y</t>
  </si>
  <si>
    <t>ATM Imp Vol ticker</t>
  </si>
  <si>
    <t>Hisorical vol ticker</t>
  </si>
  <si>
    <t>int. rate ticker for CCY1</t>
  </si>
  <si>
    <t>int rate ticker for CCY2</t>
  </si>
  <si>
    <t>AUD</t>
  </si>
  <si>
    <t>GBP</t>
  </si>
  <si>
    <t>CAD</t>
  </si>
  <si>
    <t>DKK</t>
  </si>
  <si>
    <t>EUR</t>
  </si>
  <si>
    <t>JPY</t>
  </si>
  <si>
    <t>NZD</t>
  </si>
  <si>
    <t>SEK</t>
  </si>
  <si>
    <t>CHF</t>
  </si>
  <si>
    <t>USD</t>
  </si>
  <si>
    <t>CZK</t>
  </si>
  <si>
    <t>HKD</t>
  </si>
  <si>
    <t>INR</t>
  </si>
  <si>
    <t>MYR</t>
  </si>
  <si>
    <t>NOK</t>
  </si>
  <si>
    <t>PLN</t>
  </si>
  <si>
    <t>SGD</t>
  </si>
  <si>
    <t>ZAR</t>
  </si>
  <si>
    <t>PX_LAST</t>
  </si>
  <si>
    <t>Curve Index</t>
  </si>
  <si>
    <t>CURVE_MEMBERS</t>
  </si>
  <si>
    <t>Name</t>
  </si>
  <si>
    <t>Rate</t>
  </si>
  <si>
    <t>NAME</t>
  </si>
  <si>
    <t>CURVE_TERMS</t>
  </si>
  <si>
    <t>8Y</t>
  </si>
  <si>
    <t>9Y</t>
  </si>
  <si>
    <t>Curve Tickers</t>
  </si>
  <si>
    <t>Curve Number</t>
  </si>
  <si>
    <t>BRL</t>
  </si>
  <si>
    <t>Tenors</t>
  </si>
  <si>
    <t>Tenor:</t>
  </si>
  <si>
    <t>Currency Pair</t>
  </si>
  <si>
    <t>As of:</t>
  </si>
  <si>
    <t>ATM Implied Vol.</t>
  </si>
  <si>
    <t>Int. Rate CCY1</t>
  </si>
  <si>
    <t>Int. Rate CCY2</t>
  </si>
  <si>
    <t>Available Tenors</t>
  </si>
  <si>
    <t>Selected Tenors</t>
  </si>
  <si>
    <t>CCY Pair</t>
  </si>
  <si>
    <t>Volatility</t>
  </si>
  <si>
    <t>Int. Rate Diff</t>
  </si>
  <si>
    <t>Chart:</t>
  </si>
  <si>
    <t>Vol Ticker to use</t>
  </si>
  <si>
    <t>Vol tickers</t>
  </si>
  <si>
    <t>Vol ticker to use</t>
  </si>
  <si>
    <t>IR ccy1 ticker</t>
  </si>
  <si>
    <t>IR ccy2 ticker</t>
  </si>
  <si>
    <t>IR CCY2 Tickers</t>
  </si>
  <si>
    <t>Date</t>
  </si>
  <si>
    <t>Ccy Ticker</t>
  </si>
  <si>
    <t>Int. Rate Diff/Vol</t>
  </si>
  <si>
    <t>Scatter Chart Data</t>
  </si>
  <si>
    <t>Historical Chart data</t>
  </si>
  <si>
    <t>AED</t>
  </si>
  <si>
    <t>Currency</t>
  </si>
  <si>
    <t>CNY</t>
  </si>
  <si>
    <t>IDR</t>
  </si>
  <si>
    <t>PHP</t>
  </si>
  <si>
    <t>KRW</t>
  </si>
  <si>
    <t>TWD</t>
  </si>
  <si>
    <t>THB</t>
  </si>
  <si>
    <t>HUF</t>
  </si>
  <si>
    <t>ISK</t>
  </si>
  <si>
    <t>RUB</t>
  </si>
  <si>
    <t>TRY</t>
  </si>
  <si>
    <t>CLP</t>
  </si>
  <si>
    <t>COP</t>
  </si>
  <si>
    <t>MXN</t>
  </si>
  <si>
    <t>ILS</t>
  </si>
  <si>
    <t>SAR</t>
  </si>
  <si>
    <t>Usage:</t>
  </si>
  <si>
    <t>1. Input the date as of which you would like to analyze data. Specify whether you want to use Realized Volatility or ATM Implied Volatility.</t>
  </si>
  <si>
    <t>2. Specify currency pairs and select up to 4 tenors.</t>
  </si>
  <si>
    <t xml:space="preserve">You should see the tables populated. </t>
  </si>
  <si>
    <t>3. You can chart specific tenors in a scatter plot, or 1 year historical data for a selected tenor.</t>
  </si>
  <si>
    <t>Description of inputs and output:</t>
  </si>
  <si>
    <t>* This list is used in the 'Interest Rate Curves' sheet to lookup the curve terms.</t>
  </si>
  <si>
    <t>Notes:</t>
  </si>
  <si>
    <t>Related Functions on the Bloomberg Terminal:</t>
  </si>
  <si>
    <t>Detailed description of inputs and outputs are provided below.</t>
  </si>
  <si>
    <t>* If you need to add more currencies, copy 10-18 and enter the currency. Make sure the Currency-Curve List sheet is updated as well.</t>
  </si>
  <si>
    <t xml:space="preserve">1. ''Interest Rate Curves' sheet holds the various interest rate curve terms for currencies. </t>
  </si>
  <si>
    <t>2. ''Currency-Curve List' sheet contains the curve number mapping for various currencies.</t>
  </si>
  <si>
    <t xml:space="preserve">This spreadsheet allows you to compare the interest rate differentials ("carry") for various currencies against their implied/realized volatilities. </t>
  </si>
  <si>
    <t>It also plots a 1 year historical chart of the ratio: (Int. Rate / Volatility).</t>
  </si>
  <si>
    <t>Curve #</t>
  </si>
  <si>
    <t>Curve Name</t>
  </si>
  <si>
    <t>WCRS &lt;GO&gt;</t>
  </si>
  <si>
    <t>1. To rank currencies by volatility and other measures</t>
  </si>
  <si>
    <t>XDSH &lt;GO&gt;</t>
  </si>
  <si>
    <t>2. For dynamic and customizable currency monitoring</t>
  </si>
  <si>
    <t>VOLC &lt;GO&gt;</t>
  </si>
  <si>
    <t>3. To compare Historical and Implied Volatilities.</t>
  </si>
  <si>
    <t>XCRV &lt;GO&gt;</t>
  </si>
  <si>
    <t>4. To study various term structures for FX</t>
  </si>
  <si>
    <t>OVDV &lt;GO&gt;</t>
  </si>
  <si>
    <t>5. To study ATM Implied Vols and Risk Reversals.</t>
  </si>
  <si>
    <t>CURV &lt;GO&gt;</t>
  </si>
  <si>
    <t>6. To find the curve numbers to use for Interest Rates.</t>
  </si>
  <si>
    <t>Context</t>
  </si>
  <si>
    <t>Key</t>
  </si>
  <si>
    <t>English</t>
  </si>
  <si>
    <t>Japanese</t>
  </si>
  <si>
    <t>Korean</t>
  </si>
  <si>
    <t>Chinese_Simplified</t>
  </si>
  <si>
    <t>Chinese_Traditional</t>
  </si>
  <si>
    <t>Français</t>
  </si>
  <si>
    <t>Deutsch</t>
  </si>
  <si>
    <t>Español</t>
  </si>
  <si>
    <t>Português</t>
  </si>
  <si>
    <t>Italiano</t>
  </si>
  <si>
    <t>SYSTEM</t>
  </si>
  <si>
    <t>LANG_INDEX</t>
  </si>
  <si>
    <t>日本語</t>
  </si>
  <si>
    <t>한국어</t>
  </si>
  <si>
    <t>简体中文</t>
  </si>
  <si>
    <t>繁體中文</t>
  </si>
  <si>
    <t>Add above Ticker to Security List</t>
  </si>
  <si>
    <t>上記のティッカーを銘柄リストに追加</t>
  </si>
  <si>
    <t>Add Index Ticker to Security List</t>
  </si>
  <si>
    <t>指数ティッカーを銘柄リストに追加</t>
  </si>
  <si>
    <t>Allow Duplicates</t>
  </si>
  <si>
    <t>重複を容認する</t>
  </si>
  <si>
    <t>STATUS_AVAIL</t>
  </si>
  <si>
    <t>Available Entities: {0}</t>
  </si>
  <si>
    <t>{0}個の銘柄が選択可能です</t>
  </si>
  <si>
    <t>Bloomberg Peers</t>
  </si>
  <si>
    <t>BBG 同業グループ</t>
  </si>
  <si>
    <t>Cancel</t>
  </si>
  <si>
    <t>キャンセル</t>
  </si>
  <si>
    <t>Currency Forwards Chain</t>
  </si>
  <si>
    <t>通貨ﾌｫﾜｰﾄﾞ･ﾁｪｰﾝ期間</t>
  </si>
  <si>
    <t>STATUS_CUR_SEL</t>
  </si>
  <si>
    <t>Currently Selected: {0}</t>
  </si>
  <si>
    <t>{0}個が選択されています</t>
  </si>
  <si>
    <t>Custom</t>
  </si>
  <si>
    <t>カスタム</t>
  </si>
  <si>
    <t>Enter a Security Ticker</t>
  </si>
  <si>
    <t>ﾃｨｯｶｰを入力してください</t>
  </si>
  <si>
    <t>Enter Issuer Ticker or Bond Index Ticker</t>
  </si>
  <si>
    <t>発行体ﾃｨｯｶｰまたは債券指数ﾃｨｯｶｰを入力してください</t>
  </si>
  <si>
    <t>Enter Ticker(s) (or drag / paste list)</t>
  </si>
  <si>
    <t>ﾃｨｯｶｰを入力・貼付・ﾄﾞﾗｯｸﾞｱﾝﾄﾞﾄﾞﾛｯﾌﾟしてください</t>
  </si>
  <si>
    <t>EQS Folder</t>
  </si>
  <si>
    <t>EQS フォルダ</t>
  </si>
  <si>
    <t>EQS Screen Name</t>
  </si>
  <si>
    <t>EQS スクリーニング名</t>
  </si>
  <si>
    <t>Equity Exchange Code</t>
  </si>
  <si>
    <t>株式取引所ｺｰﾄﾞ</t>
  </si>
  <si>
    <t>Filter Settings</t>
  </si>
  <si>
    <t>フィルター設定</t>
  </si>
  <si>
    <t>Future Chain</t>
  </si>
  <si>
    <t>先物チェーン</t>
  </si>
  <si>
    <t>General</t>
  </si>
  <si>
    <t>一般</t>
  </si>
  <si>
    <t>Groups</t>
  </si>
  <si>
    <t>グループ</t>
  </si>
  <si>
    <t>Horizontal</t>
  </si>
  <si>
    <t>横方向</t>
  </si>
  <si>
    <t>Members</t>
  </si>
  <si>
    <t>指数構成銘柄</t>
  </si>
  <si>
    <t>No</t>
  </si>
  <si>
    <t>Option Chain</t>
  </si>
  <si>
    <t>ｵﾌﾟｼｮﾝﾁｪｰﾝ</t>
  </si>
  <si>
    <t>Pricing Source / Session</t>
  </si>
  <si>
    <t>情報提供社・セッション</t>
  </si>
  <si>
    <t>Quarterly Future Chain</t>
  </si>
  <si>
    <t>3ｶ月毎の先物限月</t>
  </si>
  <si>
    <t>Related Equities</t>
  </si>
  <si>
    <t>関連株式銘柄</t>
  </si>
  <si>
    <t>Screen Type</t>
  </si>
  <si>
    <t>スクリーニング　タイプ</t>
  </si>
  <si>
    <t>Select / Enter Index Ticker</t>
  </si>
  <si>
    <t>指数を選択、または入力してください</t>
  </si>
  <si>
    <t>Select / Enter portfolio ID</t>
  </si>
  <si>
    <t>ﾎﾟｰﾄﾌｫﾘｵIDを選択、または入力してください</t>
  </si>
  <si>
    <t>Select the desired data type</t>
  </si>
  <si>
    <t>希望のデータタイプを選択してください</t>
  </si>
  <si>
    <t>Specific Date</t>
  </si>
  <si>
    <t>特定の日付</t>
  </si>
  <si>
    <t>Symmetric Matrix</t>
  </si>
  <si>
    <t>シンメトリックマトリックス</t>
  </si>
  <si>
    <t>Use Composite</t>
  </si>
  <si>
    <t>コンポジットを使用</t>
  </si>
  <si>
    <t>Use Original</t>
  </si>
  <si>
    <t>オリジナルを使用</t>
  </si>
  <si>
    <t>Use Primary</t>
  </si>
  <si>
    <t>主要取引所</t>
  </si>
  <si>
    <t>User Defined</t>
  </si>
  <si>
    <t>ユーザ指定</t>
  </si>
  <si>
    <t>Vertical</t>
  </si>
  <si>
    <t>縦方向</t>
  </si>
  <si>
    <t>Warrant Chain</t>
  </si>
  <si>
    <t>ﾜﾗﾝﾄﾁｪｰﾝ</t>
  </si>
  <si>
    <t>Yes</t>
  </si>
  <si>
    <t>Max</t>
  </si>
  <si>
    <t>最大</t>
  </si>
  <si>
    <t>Min</t>
  </si>
  <si>
    <t>最少</t>
  </si>
  <si>
    <t>OK</t>
  </si>
  <si>
    <t>Start</t>
  </si>
  <si>
    <t>開始日</t>
  </si>
  <si>
    <t>End</t>
  </si>
  <si>
    <t>終了日</t>
  </si>
  <si>
    <t>Issue outstanding
in native currency
(millions)</t>
  </si>
  <si>
    <t>発行通貨での\n残存額 (百万)</t>
  </si>
  <si>
    <t>All</t>
  </si>
  <si>
    <t>すべて</t>
  </si>
  <si>
    <t>전체</t>
  </si>
  <si>
    <t>所有</t>
  </si>
  <si>
    <t>Include All</t>
  </si>
  <si>
    <t>すべてを含む</t>
  </si>
  <si>
    <t>Select desired currencies-&gt; 
OR
Enter ISO codes, separated by spaces here-&gt;</t>
  </si>
  <si>
    <t>Select desired currencies-&gt;\n\n\nOR\n
\nEnter ISO codes, separated by spaces here-&gt;</t>
  </si>
  <si>
    <t>通貨を選択\n\n\nまたは\n\nISOコードを入力スペースで区切って複数選択可能</t>
  </si>
  <si>
    <t>Indices</t>
  </si>
  <si>
    <t>指数</t>
  </si>
  <si>
    <t>Portfolios</t>
  </si>
  <si>
    <t>ﾎﾟｰﾄﾌｫﾘｵ</t>
  </si>
  <si>
    <t>Bonds</t>
  </si>
  <si>
    <t>債券</t>
  </si>
  <si>
    <t>Options</t>
  </si>
  <si>
    <t>ｵﾌﾟｼｮﾝ</t>
  </si>
  <si>
    <t>Others</t>
  </si>
  <si>
    <t>その他</t>
  </si>
  <si>
    <t>기타</t>
  </si>
  <si>
    <t>其他</t>
  </si>
  <si>
    <t>Settings</t>
  </si>
  <si>
    <t>設定</t>
  </si>
  <si>
    <t>Invalid Date!</t>
  </si>
  <si>
    <t>無効な日付です！</t>
  </si>
  <si>
    <t>Input Error</t>
  </si>
  <si>
    <t>入力エラー</t>
  </si>
  <si>
    <t>Invalid Start and/or End Date!</t>
  </si>
  <si>
    <t>開始日、または終了日が無効です！</t>
  </si>
  <si>
    <t>End Date cannot be prior to Start Date!</t>
  </si>
  <si>
    <t>終了日が開始日より前になっています！</t>
  </si>
  <si>
    <t>Do you want to open this file?</t>
  </si>
  <si>
    <t>このファイルを開きますか？</t>
  </si>
  <si>
    <t>Please log into Bloomberg.</t>
  </si>
  <si>
    <t>ブルームバーグにログインしてください</t>
  </si>
  <si>
    <t>Sort Settings</t>
  </si>
  <si>
    <t>並べ替え</t>
  </si>
  <si>
    <t>Column:</t>
  </si>
  <si>
    <t>項目</t>
  </si>
  <si>
    <t>Order:</t>
  </si>
  <si>
    <t>順序</t>
  </si>
  <si>
    <t>Type:</t>
  </si>
  <si>
    <t>ﾃﾞｰﾀﾀｲﾌﾟ</t>
  </si>
  <si>
    <t>Sort 1:</t>
  </si>
  <si>
    <t>項目1</t>
  </si>
  <si>
    <t>Sort 2:</t>
  </si>
  <si>
    <t>項目2</t>
  </si>
  <si>
    <t>Sort 3:</t>
  </si>
  <si>
    <t>項目3</t>
  </si>
  <si>
    <t>Apply</t>
  </si>
  <si>
    <t>適用</t>
  </si>
  <si>
    <t>Close</t>
  </si>
  <si>
    <t>閉じる</t>
  </si>
  <si>
    <t>Asc</t>
  </si>
  <si>
    <t>昇順</t>
  </si>
  <si>
    <t>Desc</t>
  </si>
  <si>
    <t>降順</t>
  </si>
  <si>
    <t>Abs</t>
  </si>
  <si>
    <t>絶対値</t>
  </si>
  <si>
    <t>Act</t>
  </si>
  <si>
    <t>実績</t>
  </si>
  <si>
    <t>(None)</t>
  </si>
  <si>
    <t>（なし）</t>
  </si>
  <si>
    <t>Ticker</t>
  </si>
  <si>
    <t>ティッカー</t>
  </si>
  <si>
    <t>티커</t>
  </si>
  <si>
    <t>代码</t>
  </si>
  <si>
    <t>代碼</t>
  </si>
  <si>
    <t>MATURITY</t>
  </si>
  <si>
    <t>マチュリティ</t>
  </si>
  <si>
    <t>AMOUNT OUTSTANDING</t>
  </si>
  <si>
    <t>残存額</t>
  </si>
  <si>
    <t>DEBT RANK</t>
  </si>
  <si>
    <t>債務ランク</t>
  </si>
  <si>
    <t>CURRENCY</t>
  </si>
  <si>
    <t>通貨</t>
  </si>
  <si>
    <t>통화</t>
  </si>
  <si>
    <t>货币</t>
  </si>
  <si>
    <t>貨幣</t>
  </si>
  <si>
    <t>COUPON TYPE</t>
  </si>
  <si>
    <t>クーポンタイプ</t>
  </si>
  <si>
    <t>FIXED</t>
  </si>
  <si>
    <t>固定</t>
  </si>
  <si>
    <t>FLOATING</t>
  </si>
  <si>
    <t>変動</t>
  </si>
  <si>
    <t>VARIABLE</t>
  </si>
  <si>
    <t>変数</t>
  </si>
  <si>
    <t>ZERO</t>
  </si>
  <si>
    <t>ゼロ</t>
  </si>
  <si>
    <t>STEP</t>
  </si>
  <si>
    <t>ステップ</t>
  </si>
  <si>
    <t>DEFAULTED</t>
  </si>
  <si>
    <t>デフォルト</t>
  </si>
  <si>
    <t>PIK</t>
  </si>
  <si>
    <t>PIK債</t>
  </si>
  <si>
    <t>EXCH</t>
  </si>
  <si>
    <t>Senior</t>
  </si>
  <si>
    <t>シニア</t>
  </si>
  <si>
    <t>Subordinated</t>
  </si>
  <si>
    <t>劣後</t>
  </si>
  <si>
    <t>Jr_Subordinated</t>
  </si>
  <si>
    <t>劣後（ジュニア)</t>
  </si>
  <si>
    <t>Covered</t>
  </si>
  <si>
    <t>カバード</t>
  </si>
  <si>
    <t>All Application Settings have been saved under:</t>
  </si>
  <si>
    <t>設定データは下記のフォルダーに保存されました</t>
  </si>
  <si>
    <t>All Application Settings have been reset.</t>
  </si>
  <si>
    <t>全てのアプリケーションの設定はリセットされました</t>
  </si>
  <si>
    <t>No Help File is currently available for this application.</t>
  </si>
  <si>
    <t>ヘルプファイルは残念ながらありません。</t>
  </si>
  <si>
    <t>No valid Security was found in cell</t>
  </si>
  <si>
    <t>セル内に有効な銘柄が見つかりません。</t>
  </si>
  <si>
    <t>Month</t>
  </si>
  <si>
    <t>ヶ月</t>
  </si>
  <si>
    <t>Months</t>
  </si>
  <si>
    <t>Year</t>
  </si>
  <si>
    <t>年</t>
  </si>
  <si>
    <t>Years</t>
  </si>
  <si>
    <t>points</t>
  </si>
  <si>
    <t>ﾎﾟｲﾝﾄ</t>
  </si>
  <si>
    <t>points)</t>
  </si>
  <si>
    <t>ﾎﾟｲﾝﾄ)</t>
  </si>
  <si>
    <t>An error occured while generating the Help File!</t>
  </si>
  <si>
    <t>ヘルプファイルを生成中に問題が起こりました。</t>
  </si>
  <si>
    <t>Default</t>
  </si>
  <si>
    <t>初期設定</t>
  </si>
  <si>
    <t>Display Defaults</t>
  </si>
  <si>
    <t>初期設定表示</t>
  </si>
  <si>
    <t>Finish</t>
  </si>
  <si>
    <t>完了</t>
  </si>
  <si>
    <t>First and Last Days of Week must be different!</t>
  </si>
  <si>
    <t>週初日と最終日は異なる日にして下さい</t>
  </si>
  <si>
    <t>Hide Dividend Defaults</t>
  </si>
  <si>
    <t>配当初期設定を非表示</t>
  </si>
  <si>
    <t>Invalid End Date!</t>
  </si>
  <si>
    <t>終了日が正しく入力されているか確認してください</t>
  </si>
  <si>
    <t>Invalid Start Date!</t>
  </si>
  <si>
    <t>開始日が正しく入力されているか確認してください</t>
  </si>
  <si>
    <t>Number of Periods must be greater than 2!</t>
  </si>
  <si>
    <t>周期数は2以上に設定してください</t>
  </si>
  <si>
    <t>Next &gt;</t>
  </si>
  <si>
    <t>次へ &gt;</t>
  </si>
  <si>
    <t xml:space="preserve">No constituents found for </t>
  </si>
  <si>
    <t>構成銘柄が見つかりませんでした</t>
  </si>
  <si>
    <t>No Valid Relative Index was recognised!</t>
  </si>
  <si>
    <t>対象指数が見つかりません</t>
  </si>
  <si>
    <t xml:space="preserve">No History available for Independent Security: </t>
  </si>
  <si>
    <t>比較対象銘柄の過去ﾃﾞｰﾀがありません</t>
  </si>
  <si>
    <t>Please enter an Index ticker below.</t>
  </si>
  <si>
    <t>指数ティッカーを入力してください。</t>
  </si>
  <si>
    <t>Please select at least one Security.</t>
  </si>
  <si>
    <t>銘柄を選択してください</t>
  </si>
  <si>
    <t>Please select at least one Series under Display Selection.</t>
  </si>
  <si>
    <t>表示項目が選択されていません</t>
  </si>
  <si>
    <t>Select Securities</t>
  </si>
  <si>
    <t>銘柄選択</t>
  </si>
  <si>
    <t>Select Study</t>
  </si>
  <si>
    <t>分析項目選択</t>
  </si>
  <si>
    <t>Study Defaults</t>
  </si>
  <si>
    <t>分析項目初期設定</t>
  </si>
  <si>
    <t>Show Dividend Defaults</t>
  </si>
  <si>
    <t>配当初期設定の表示</t>
  </si>
  <si>
    <t xml:space="preserve"> could be not found!\nDo you want to download the helpfile from Bloomberg?</t>
  </si>
  <si>
    <t>が見つかりません。\nブルームバーグからヘルプファイルをダウンロードしますか？</t>
  </si>
  <si>
    <t>It is not recommended to use First Security Only and Only Active Days settings simultaneously.\nThe date series might be invalid for some securities in case selected securities are illiquid or trade on different markets with different working days.\nDo you want to continue with these settings?</t>
  </si>
  <si>
    <t>流動性の少ない銘柄や営業日の異なる市場の銘柄が選択されている場、\n最初の銘柄のみと営業日のみのを設定すると、\n表示される日付と各銘柄のデータが一致しなくなるため、お薦めしません。\nこの設定を続行しますか？</t>
  </si>
  <si>
    <t>The data you have selected is too large to be downloaded on the existing spreadsheets on this workbook!\nClick OK to create additional spreadsheets.</t>
  </si>
  <si>
    <t>"リクエストしたデータ量は既存のワークブックのシートにダウンロードできる限界をこえています\nシートを追加する場合はOKをクリックしてください"</t>
  </si>
  <si>
    <t>The number of Return Rolling Period cannot be less than 1!</t>
  </si>
  <si>
    <t>周期数は１以上に設定して下さい</t>
  </si>
  <si>
    <t>You must select at least one volatility term!</t>
  </si>
  <si>
    <t>ボラティリティーの期間をひとつ以上選択して下さい。</t>
  </si>
  <si>
    <t>You must select at least one custom date range!</t>
  </si>
  <si>
    <t>少なくとも一つカスタム日付レンジを選択してください</t>
  </si>
  <si>
    <t>Changing Display Periodicity will reset Study Periodicity.</t>
  </si>
  <si>
    <t>表示周期の変更によりｽﾀﾃﾞｨの周期は初期化されます。</t>
  </si>
  <si>
    <t>日付</t>
  </si>
  <si>
    <t>날짜</t>
  </si>
  <si>
    <t>日期</t>
  </si>
  <si>
    <t>Dividends</t>
  </si>
  <si>
    <t>配当</t>
  </si>
  <si>
    <t>Annual Equivalent</t>
  </si>
  <si>
    <t>年率</t>
  </si>
  <si>
    <t>Ann Equi</t>
  </si>
  <si>
    <t>Price Appreciation</t>
  </si>
  <si>
    <t>価格騰落率</t>
  </si>
  <si>
    <t>Price App</t>
  </si>
  <si>
    <t>Total Return</t>
  </si>
  <si>
    <t>ﾄｰﾀﾙﾘﾀｰﾝ</t>
  </si>
  <si>
    <t>Total Ret</t>
  </si>
  <si>
    <t>Price App Idx</t>
  </si>
  <si>
    <t>指数化価格</t>
  </si>
  <si>
    <t>Px App Idx</t>
  </si>
  <si>
    <t>TR Idx</t>
  </si>
  <si>
    <t>指数化ﾄｰﾀﾙﾘﾀｰﾝ</t>
  </si>
  <si>
    <t>Dvd Return Idx</t>
  </si>
  <si>
    <t xml:space="preserve">配当ﾘﾀｰﾝ指数    </t>
  </si>
  <si>
    <t>Call Implied Volatility</t>
  </si>
  <si>
    <t>ｺｰﾙ ｲﾝﾌﾟﾗｲﾄﾞ ﾎﾞﾗﾃｨﾘﾃｨ</t>
  </si>
  <si>
    <t>Put Implied Volatility</t>
  </si>
  <si>
    <t>ﾌﾟｯﾄ ｲﾝﾌﾟﾗｲﾄﾞ ﾎﾞﾗﾃｨﾘﾃｨ</t>
  </si>
  <si>
    <t>Historical Volatility</t>
  </si>
  <si>
    <t>ﾋｽﾄﾘｶﾙ ﾎﾞﾗﾃｨﾘﾃｨ</t>
  </si>
  <si>
    <t>Correlation</t>
  </si>
  <si>
    <t>相関係数</t>
  </si>
  <si>
    <t>Intercept</t>
  </si>
  <si>
    <t>Y切片</t>
  </si>
  <si>
    <t>Number of Std Dev</t>
  </si>
  <si>
    <t>標準偏差数</t>
  </si>
  <si>
    <t>Number of Points</t>
  </si>
  <si>
    <t>ｻﾝﾌﾟﾙ数</t>
  </si>
  <si>
    <t>R2</t>
  </si>
  <si>
    <t>R2(決定係数)</t>
  </si>
  <si>
    <t>Adjusted Beta</t>
  </si>
  <si>
    <t>修正ﾍﾞｰﾀ</t>
  </si>
  <si>
    <t>Raw Beta</t>
  </si>
  <si>
    <t>未修正ﾍﾞｰﾀ</t>
  </si>
  <si>
    <t>t-Test</t>
  </si>
  <si>
    <t>t 検定</t>
  </si>
  <si>
    <t>Residuals</t>
  </si>
  <si>
    <t>残差</t>
  </si>
  <si>
    <t>Std Dev of Error</t>
  </si>
  <si>
    <t>誤差の標準偏差</t>
  </si>
  <si>
    <t>Std Error of Beta</t>
  </si>
  <si>
    <t>ﾍﾞｰﾀの標準誤差</t>
  </si>
  <si>
    <t>Securities_Selection</t>
  </si>
  <si>
    <t>銘柄の選択</t>
  </si>
  <si>
    <t>General_Defaults</t>
  </si>
  <si>
    <t>共通の初期設定</t>
  </si>
  <si>
    <t>Dividend_Defaults</t>
  </si>
  <si>
    <t>配当の初期設定</t>
  </si>
  <si>
    <t>Total_Return_Defaults</t>
  </si>
  <si>
    <t>トータルリターン分析の初期設定</t>
  </si>
  <si>
    <t>Volatility_Defaults</t>
  </si>
  <si>
    <t>ボラティリティ分析の初期設定</t>
  </si>
  <si>
    <t>Statistic_Defaults</t>
  </si>
  <si>
    <t>統計分析の初期設定</t>
  </si>
  <si>
    <t>Display_Defaults</t>
  </si>
  <si>
    <t>表示形式の初期設定</t>
  </si>
  <si>
    <t>Last Price</t>
  </si>
  <si>
    <t>直近値</t>
  </si>
  <si>
    <t>NAV</t>
  </si>
  <si>
    <t>基準価額</t>
  </si>
  <si>
    <t>Bid</t>
  </si>
  <si>
    <t>ﾋﾞｯﾄﾞ</t>
  </si>
  <si>
    <t>Ask</t>
  </si>
  <si>
    <t>ｱｽｸ</t>
  </si>
  <si>
    <t>Open</t>
  </si>
  <si>
    <t>始値</t>
  </si>
  <si>
    <t>High</t>
  </si>
  <si>
    <t>高値</t>
  </si>
  <si>
    <t>Low</t>
  </si>
  <si>
    <t>安値</t>
  </si>
  <si>
    <t>VWAP</t>
  </si>
  <si>
    <t>加重平均</t>
  </si>
  <si>
    <t>Last Yield</t>
  </si>
  <si>
    <t>直近利回り</t>
  </si>
  <si>
    <t>Next</t>
  </si>
  <si>
    <t>次へ</t>
  </si>
  <si>
    <t>Monday</t>
  </si>
  <si>
    <t>月曜日</t>
  </si>
  <si>
    <t>Tuesday</t>
  </si>
  <si>
    <t>火曜日</t>
  </si>
  <si>
    <t>Wednesday</t>
  </si>
  <si>
    <t>水曜日</t>
  </si>
  <si>
    <t>Thursday</t>
  </si>
  <si>
    <t>木曜日</t>
  </si>
  <si>
    <t>Friday</t>
  </si>
  <si>
    <t>金曜日</t>
  </si>
  <si>
    <t>Saturday</t>
  </si>
  <si>
    <t>土曜日</t>
  </si>
  <si>
    <t>Sunday</t>
  </si>
  <si>
    <t>日曜日</t>
  </si>
  <si>
    <t>January</t>
  </si>
  <si>
    <t>1 月</t>
  </si>
  <si>
    <t>February</t>
  </si>
  <si>
    <t>2 月</t>
  </si>
  <si>
    <t>March</t>
  </si>
  <si>
    <t>3 月</t>
  </si>
  <si>
    <t>April</t>
  </si>
  <si>
    <t>4 月</t>
  </si>
  <si>
    <t>May</t>
  </si>
  <si>
    <t>5 月</t>
  </si>
  <si>
    <t>June</t>
  </si>
  <si>
    <t>6 月</t>
  </si>
  <si>
    <t>July</t>
  </si>
  <si>
    <t>7 月</t>
  </si>
  <si>
    <t>August</t>
  </si>
  <si>
    <t>8 月</t>
  </si>
  <si>
    <t>September</t>
  </si>
  <si>
    <t>9 月</t>
  </si>
  <si>
    <t>October</t>
  </si>
  <si>
    <t>10 月</t>
  </si>
  <si>
    <t>November</t>
  </si>
  <si>
    <t>11 月</t>
  </si>
  <si>
    <t>December</t>
  </si>
  <si>
    <t>12 月</t>
  </si>
  <si>
    <t>Daily</t>
  </si>
  <si>
    <t>日次</t>
  </si>
  <si>
    <t>Weekly</t>
  </si>
  <si>
    <t>週次</t>
  </si>
  <si>
    <t>Monthly</t>
  </si>
  <si>
    <t>月次</t>
  </si>
  <si>
    <t>Quarterly</t>
  </si>
  <si>
    <t>四半期次</t>
  </si>
  <si>
    <t>Yearly</t>
  </si>
  <si>
    <t>年次</t>
  </si>
  <si>
    <t>PriceValue</t>
  </si>
  <si>
    <t>価格</t>
  </si>
  <si>
    <t>Difference</t>
  </si>
  <si>
    <t>差</t>
  </si>
  <si>
    <t>Percent</t>
  </si>
  <si>
    <t>パーセント</t>
  </si>
  <si>
    <t>None</t>
  </si>
  <si>
    <t>なし</t>
  </si>
  <si>
    <t>Exponential</t>
  </si>
  <si>
    <t>Ten</t>
  </si>
  <si>
    <t>BBg Defaults</t>
  </si>
  <si>
    <t>BBG初期設定</t>
  </si>
  <si>
    <t>chkDvd</t>
  </si>
  <si>
    <t xml:space="preserve">配当 </t>
  </si>
  <si>
    <t>chkAnnRetTR</t>
  </si>
  <si>
    <t xml:space="preserve">年率 </t>
  </si>
  <si>
    <t>chkAppTR</t>
  </si>
  <si>
    <t xml:space="preserve">価格騰落率 </t>
  </si>
  <si>
    <t>chkTR</t>
  </si>
  <si>
    <t xml:space="preserve">ﾄｰﾀﾙﾘﾀｰﾝ </t>
  </si>
  <si>
    <t>chkAppTRIndex</t>
  </si>
  <si>
    <t xml:space="preserve">指数化価格    </t>
  </si>
  <si>
    <t>chkTRIndex</t>
  </si>
  <si>
    <t xml:space="preserve">指数化ﾄｰﾀﾙﾘﾀｰﾝ   </t>
  </si>
  <si>
    <t>chkDvdIndex</t>
  </si>
  <si>
    <t>chkCallImpVol</t>
  </si>
  <si>
    <t xml:space="preserve">ｺｰﾙ ｲﾝﾌﾟﾗｲﾄﾞ ﾎﾞﾗﾃｨﾘﾃｨ </t>
  </si>
  <si>
    <t>chkPutImpVol</t>
  </si>
  <si>
    <t xml:space="preserve">ﾌﾟｯﾄ ｲﾝﾌﾟﾗｲﾄﾞ ﾎﾞﾗﾃｨﾘﾃｨ </t>
  </si>
  <si>
    <t>chkHistVol</t>
  </si>
  <si>
    <t xml:space="preserve">ﾋｽﾄﾘｶﾙ ﾎﾞﾗﾃｨﾘﾃｨ </t>
  </si>
  <si>
    <t>chkCorrelationStat</t>
  </si>
  <si>
    <t xml:space="preserve">相関係数 </t>
  </si>
  <si>
    <t>chkInterceptStat</t>
  </si>
  <si>
    <t xml:space="preserve">Y切片 </t>
  </si>
  <si>
    <t>chkNrOfStdDevStat</t>
  </si>
  <si>
    <t xml:space="preserve">標準偏差数 </t>
  </si>
  <si>
    <t>chkNrPointsStat</t>
  </si>
  <si>
    <t xml:space="preserve">ｻﾝﾌﾟﾙ数 </t>
  </si>
  <si>
    <t>chkR2Stat</t>
  </si>
  <si>
    <t xml:space="preserve">R2(決定係数) </t>
  </si>
  <si>
    <t>chkAdjBetaStat</t>
  </si>
  <si>
    <t xml:space="preserve">修正ﾍﾞｰﾀ </t>
  </si>
  <si>
    <t>chkRawBetaStat</t>
  </si>
  <si>
    <t xml:space="preserve">未修正ﾍﾞｰﾀ </t>
  </si>
  <si>
    <t>chkTTestStat</t>
  </si>
  <si>
    <t>chkResiduals</t>
  </si>
  <si>
    <t xml:space="preserve">残差 </t>
  </si>
  <si>
    <t>chkStdDevErrStat</t>
  </si>
  <si>
    <t xml:space="preserve">誤差の標準偏差 </t>
  </si>
  <si>
    <t>chkStdErrBetaStat</t>
  </si>
  <si>
    <t xml:space="preserve">ﾍﾞｰﾀの標準誤差 </t>
  </si>
  <si>
    <t>chkAdvancedVolFields</t>
  </si>
  <si>
    <t>Advanced Volatility Field</t>
  </si>
  <si>
    <t xml:space="preserve">上級ボラティリティ項目 </t>
  </si>
  <si>
    <t>chkShowIncompleteCust</t>
  </si>
  <si>
    <t>Show data when full history is not available</t>
  </si>
  <si>
    <t xml:space="preserve">指定期間ﾃﾞｰﾀが全てない場合も結果表示 </t>
  </si>
  <si>
    <t>chkShowSecurityTicker</t>
  </si>
  <si>
    <t>Display Security Ticker</t>
  </si>
  <si>
    <t xml:space="preserve">ティッカーの表示          </t>
  </si>
  <si>
    <t>chkShowSecurityName</t>
  </si>
  <si>
    <t>Display Security Name</t>
  </si>
  <si>
    <t xml:space="preserve">銘柄名を表示                </t>
  </si>
  <si>
    <t>chkMultiplyPctBy100</t>
  </si>
  <si>
    <t>Multiply Pct Values by 100</t>
  </si>
  <si>
    <t xml:space="preserve">パーセントを100倍           </t>
  </si>
  <si>
    <t>chk1stInterim</t>
  </si>
  <si>
    <t>1st Interim</t>
  </si>
  <si>
    <t xml:space="preserve">第1中間配当 </t>
  </si>
  <si>
    <t>chk2ndInterim</t>
  </si>
  <si>
    <t>2nd Interim</t>
  </si>
  <si>
    <t xml:space="preserve">第2中間配当 </t>
  </si>
  <si>
    <t>chk3rdInterim</t>
  </si>
  <si>
    <t>3rd Interim</t>
  </si>
  <si>
    <t xml:space="preserve">第3中間配当 </t>
  </si>
  <si>
    <t>chk4thInterim</t>
  </si>
  <si>
    <t>4th Interim</t>
  </si>
  <si>
    <t xml:space="preserve">第4中間配当 </t>
  </si>
  <si>
    <t>chk5thInterim</t>
  </si>
  <si>
    <t>5th Interim</t>
  </si>
  <si>
    <t xml:space="preserve">第5中間配当 </t>
  </si>
  <si>
    <t>chkCapitalGains</t>
  </si>
  <si>
    <t>Capital Gains</t>
  </si>
  <si>
    <t xml:space="preserve">キャピタルゲイン配当 </t>
  </si>
  <si>
    <t>chkDistribution</t>
  </si>
  <si>
    <t>Distribution</t>
  </si>
  <si>
    <t xml:space="preserve">分配 </t>
  </si>
  <si>
    <t>chkEstimated</t>
  </si>
  <si>
    <t>Estimated</t>
  </si>
  <si>
    <t xml:space="preserve">予想配当 </t>
  </si>
  <si>
    <t>chkFinal</t>
  </si>
  <si>
    <t>Final</t>
  </si>
  <si>
    <t xml:space="preserve">期末配当 </t>
  </si>
  <si>
    <t>chkIncome</t>
  </si>
  <si>
    <t>Income</t>
  </si>
  <si>
    <t xml:space="preserve">分配金 </t>
  </si>
  <si>
    <t>chkInterestOnCapital</t>
  </si>
  <si>
    <t>Interest on Capital</t>
  </si>
  <si>
    <t xml:space="preserve">資本利子 </t>
  </si>
  <si>
    <t>chkInterim</t>
  </si>
  <si>
    <t>Interim</t>
  </si>
  <si>
    <t xml:space="preserve">中間配当 </t>
  </si>
  <si>
    <t>chkLiquidation</t>
  </si>
  <si>
    <t>Liquidation</t>
  </si>
  <si>
    <t xml:space="preserve">清算 </t>
  </si>
  <si>
    <t>chkLongTermCapGain</t>
  </si>
  <si>
    <t>Long Term Cap Gain</t>
  </si>
  <si>
    <t xml:space="preserve">長期ｷｬﾋﾟﾀﾙｹﾞｲﾝ </t>
  </si>
  <si>
    <t>chkMemorial</t>
  </si>
  <si>
    <t>Memorial</t>
  </si>
  <si>
    <t xml:space="preserve">記念配当 </t>
  </si>
  <si>
    <t>chkMisc</t>
  </si>
  <si>
    <t>Misc</t>
  </si>
  <si>
    <t xml:space="preserve">その他 </t>
  </si>
  <si>
    <t>chkPartnershipDist</t>
  </si>
  <si>
    <t>Partnership Dist</t>
  </si>
  <si>
    <t xml:space="preserve">有限会社の配当 </t>
  </si>
  <si>
    <t>chkPfdRightsRedemption</t>
  </si>
  <si>
    <t>Pfd Rights Redemption</t>
  </si>
  <si>
    <t xml:space="preserve">優先株引受権償還 </t>
  </si>
  <si>
    <t>chkProRata</t>
  </si>
  <si>
    <t>Pro Rata</t>
  </si>
  <si>
    <t xml:space="preserve">ﾌﾟﾛﾗﾀ </t>
  </si>
  <si>
    <t>chkProceedsFromSaleOfRights</t>
  </si>
  <si>
    <t>Proceeds from sale of Rights</t>
  </si>
  <si>
    <t xml:space="preserve">引受権代替利益 </t>
  </si>
  <si>
    <t>chkProceedsFromSaleOfShares</t>
  </si>
  <si>
    <t>Proceeds from sale of Shares</t>
  </si>
  <si>
    <t xml:space="preserve">割当代替利益 </t>
  </si>
  <si>
    <t>chkProceedsFromSaleOfWarrants</t>
  </si>
  <si>
    <t>Proceeds from sale of Warrants</t>
  </si>
  <si>
    <t xml:space="preserve">ﾜﾗﾝﾄ代替利益 </t>
  </si>
  <si>
    <t>chkRegularCash</t>
  </si>
  <si>
    <t>Regular Cash</t>
  </si>
  <si>
    <t xml:space="preserve">普通配当 </t>
  </si>
  <si>
    <t>chkReturnOfCapital</t>
  </si>
  <si>
    <t>Return of Capital</t>
  </si>
  <si>
    <t xml:space="preserve">資本の返還 </t>
  </si>
  <si>
    <t>chkReturnPrem</t>
  </si>
  <si>
    <t>Return Prem.</t>
  </si>
  <si>
    <t xml:space="preserve">リターンプレミアム </t>
  </si>
  <si>
    <t>chkRightsRedemption</t>
  </si>
  <si>
    <t>Rights Redemption</t>
  </si>
  <si>
    <t xml:space="preserve">新株引受権行使 </t>
  </si>
  <si>
    <t>chkShortTermCapGain</t>
  </si>
  <si>
    <t>Short Term Cap Gain</t>
  </si>
  <si>
    <t xml:space="preserve">短期ｷｬﾋﾟﾀﾙｹﾞｲﾝ </t>
  </si>
  <si>
    <t>chkSpecialCash</t>
  </si>
  <si>
    <t>Special Cash</t>
  </si>
  <si>
    <t xml:space="preserve">特別配当 </t>
  </si>
  <si>
    <t>chkStockReformCash</t>
  </si>
  <si>
    <t>Stock Reform-Cash</t>
  </si>
  <si>
    <t xml:space="preserve">株式再編-現金配当 </t>
  </si>
  <si>
    <t>chkDailyAccrual</t>
  </si>
  <si>
    <t>Daily Accrual</t>
  </si>
  <si>
    <t xml:space="preserve">毎日分配型 </t>
  </si>
  <si>
    <t>chkIdxDvd</t>
  </si>
  <si>
    <t>Apply to Equity Indices</t>
  </si>
  <si>
    <t xml:space="preserve">株価指数に適用 </t>
  </si>
  <si>
    <t>chkJapaneseDefaultsStat</t>
  </si>
  <si>
    <t>Japanese Regulation</t>
  </si>
  <si>
    <t xml:space="preserve">60ヶ月ﾍﾞｰﾀ </t>
  </si>
  <si>
    <t>chkUseRelIdx</t>
  </si>
  <si>
    <t>Use Relative Index</t>
  </si>
  <si>
    <t xml:space="preserve">比較対象指数を使用 </t>
  </si>
  <si>
    <t>cmdBack</t>
  </si>
  <si>
    <t>&lt; Back</t>
  </si>
  <si>
    <t xml:space="preserve">&lt; 戻る </t>
  </si>
  <si>
    <t>cmdCancel</t>
  </si>
  <si>
    <t xml:space="preserve">ｷｬﾝｾﾙ </t>
  </si>
  <si>
    <t>cmdHelp</t>
  </si>
  <si>
    <t>Help</t>
  </si>
  <si>
    <t xml:space="preserve">ﾍﾙﾌﾟ </t>
  </si>
  <si>
    <t>fraActionTypes</t>
  </si>
  <si>
    <t>Included Dividend Types</t>
  </si>
  <si>
    <t xml:space="preserve">含まれる配当ﾀｲﾌﾟ </t>
  </si>
  <si>
    <t>fraCrncy</t>
  </si>
  <si>
    <t xml:space="preserve">通貨 </t>
  </si>
  <si>
    <t>fraDataSelection</t>
  </si>
  <si>
    <t>Display Selection</t>
  </si>
  <si>
    <t xml:space="preserve">表示項目 </t>
  </si>
  <si>
    <t>fraDvdType</t>
  </si>
  <si>
    <t>Dividend Amount</t>
  </si>
  <si>
    <t xml:space="preserve">配当額 </t>
  </si>
  <si>
    <t>fraHistRetDefaults</t>
  </si>
  <si>
    <t>Defaults for Historical Return Series</t>
  </si>
  <si>
    <t xml:space="preserve">ﾋｽﾄﾘｶﾙﾘﾀｰﾝの初期設定 </t>
  </si>
  <si>
    <t>fraMarket</t>
  </si>
  <si>
    <t>Market</t>
  </si>
  <si>
    <t xml:space="preserve">ﾃﾞｰﾀ項目 </t>
  </si>
  <si>
    <t>fraNTD</t>
  </si>
  <si>
    <t>Non-trading days and weekends</t>
  </si>
  <si>
    <t xml:space="preserve">ﾃﾞｰﾀ処理法 </t>
  </si>
  <si>
    <t>fraOrientation</t>
  </si>
  <si>
    <t>Orientation</t>
  </si>
  <si>
    <t xml:space="preserve">表示項目のﾌｫｰﾏｯﾄ </t>
  </si>
  <si>
    <t>fraPeriodicityDefaults</t>
  </si>
  <si>
    <t>Periodicity Defaults</t>
  </si>
  <si>
    <t xml:space="preserve">周期 </t>
  </si>
  <si>
    <t>fraQuarterDefaults</t>
  </si>
  <si>
    <t>Year Quarters:</t>
  </si>
  <si>
    <t xml:space="preserve">四半期月 </t>
  </si>
  <si>
    <t>fraReinDvd</t>
  </si>
  <si>
    <t>Account for dividends on</t>
  </si>
  <si>
    <t>fraSelectStudy</t>
  </si>
  <si>
    <t>Available Studies</t>
  </si>
  <si>
    <t xml:space="preserve">分析項目の選択 </t>
  </si>
  <si>
    <t>fraShowHistoricalDates</t>
  </si>
  <si>
    <t>Historical dates</t>
  </si>
  <si>
    <t xml:space="preserve">日付の表示 </t>
  </si>
  <si>
    <t>fraStatDefaults</t>
  </si>
  <si>
    <t>Statistic Defaults</t>
  </si>
  <si>
    <t xml:space="preserve">統計初期設定 </t>
  </si>
  <si>
    <t>fraTimeOrdering</t>
  </si>
  <si>
    <t>Date Ordering</t>
  </si>
  <si>
    <t xml:space="preserve">日付の順序 </t>
  </si>
  <si>
    <t>fraVolDefaults</t>
  </si>
  <si>
    <t>Volatility Terms</t>
  </si>
  <si>
    <t xml:space="preserve">ﾎﾞﾗﾃｨﾘﾃｨ期間 </t>
  </si>
  <si>
    <t>fraApplyDefaults</t>
  </si>
  <si>
    <t>Apply Default Settings</t>
  </si>
  <si>
    <t xml:space="preserve">初期設定を適応 </t>
  </si>
  <si>
    <t>fraProjectableDvdType</t>
  </si>
  <si>
    <t>Projectable Dividend Types</t>
  </si>
  <si>
    <t xml:space="preserve">定期　配当タイプ 　　 </t>
  </si>
  <si>
    <t>fraNonProjectableDvdType</t>
  </si>
  <si>
    <t>Non-Projectable Dividend Types</t>
  </si>
  <si>
    <t xml:space="preserve">不定期　配当タイプ </t>
  </si>
  <si>
    <t>fraStartAndEndDates</t>
  </si>
  <si>
    <t>Start and End Dates Defaults</t>
  </si>
  <si>
    <t xml:space="preserve">開始日/終了日の初期設定 </t>
  </si>
  <si>
    <t>fraSaveSettings</t>
  </si>
  <si>
    <t>Save Settings Mode</t>
  </si>
  <si>
    <t xml:space="preserve">この設定を保存  </t>
  </si>
  <si>
    <t>lblEndDate</t>
  </si>
  <si>
    <t>End Date</t>
  </si>
  <si>
    <t xml:space="preserve">終了日 </t>
  </si>
  <si>
    <t>lblStartDate</t>
  </si>
  <si>
    <t>Start Date</t>
  </si>
  <si>
    <t xml:space="preserve">開始日 </t>
  </si>
  <si>
    <t>lblEndDateCust</t>
  </si>
  <si>
    <t>lblStartDateCust</t>
  </si>
  <si>
    <t>lblAnFact</t>
  </si>
  <si>
    <t>Ann. Factor:</t>
  </si>
  <si>
    <t xml:space="preserve">年率換算係数 </t>
  </si>
  <si>
    <t>lblBeginningOfWeek</t>
  </si>
  <si>
    <t>First Day Of Week:</t>
  </si>
  <si>
    <t xml:space="preserve">週初日 </t>
  </si>
  <si>
    <t>lblDataType</t>
  </si>
  <si>
    <t>Data Type:</t>
  </si>
  <si>
    <t xml:space="preserve">ﾃﾞｰﾀ ﾀｲﾌﾟ </t>
  </si>
  <si>
    <t>lblEndOfmonth</t>
  </si>
  <si>
    <t>Month End:</t>
  </si>
  <si>
    <t xml:space="preserve">月末日 </t>
  </si>
  <si>
    <t>lblEndOfWeek</t>
  </si>
  <si>
    <t>Last Day Of Week:</t>
  </si>
  <si>
    <t xml:space="preserve">週最終日 </t>
  </si>
  <si>
    <t>lblEndOfYear</t>
  </si>
  <si>
    <t>Year End:</t>
  </si>
  <si>
    <t xml:space="preserve">年末日 </t>
  </si>
  <si>
    <t>lblIndependent</t>
  </si>
  <si>
    <t>Independent Security:</t>
  </si>
  <si>
    <t xml:space="preserve">比較対象銘柄 </t>
  </si>
  <si>
    <t>lblInstructions1</t>
  </si>
  <si>
    <t>Select below which analytical study you wish to perform.</t>
  </si>
  <si>
    <t xml:space="preserve">分析項目を選択して下さい </t>
  </si>
  <si>
    <t>lblInstructions2</t>
  </si>
  <si>
    <t>Select below the Market Field, Currency,  and Display defaults for the study.</t>
  </si>
  <si>
    <t xml:space="preserve">項目を選択して下さい </t>
  </si>
  <si>
    <t>lblInstructions3</t>
  </si>
  <si>
    <t>Select below the Start Date, End date, Periodicity, Non-Trading day, and Display defaults for the study.</t>
  </si>
  <si>
    <t xml:space="preserve">ﾃﾞｰﾀ項目、通貨、表示初期設定を選択して下さい </t>
  </si>
  <si>
    <t>lblLagDep</t>
  </si>
  <si>
    <t>Lag for Dep. Sec:</t>
  </si>
  <si>
    <t xml:space="preserve">分析銘柄のﾗｸﾞ </t>
  </si>
  <si>
    <t>lblLagIndep</t>
  </si>
  <si>
    <t>Lag for Indep. Sec:</t>
  </si>
  <si>
    <t xml:space="preserve">比較対象銘柄のﾗｸﾞ </t>
  </si>
  <si>
    <t>lblLogType</t>
  </si>
  <si>
    <t>Log Type:</t>
  </si>
  <si>
    <t xml:space="preserve">ﾛｸﾞ ﾀｲﾌﾟ </t>
  </si>
  <si>
    <t>lblMinNumObs</t>
  </si>
  <si>
    <t>Min Number of Obs:</t>
  </si>
  <si>
    <t xml:space="preserve">最小標本数 </t>
  </si>
  <si>
    <t>lblMktIndep</t>
  </si>
  <si>
    <t>Market for Indep. Sec:</t>
  </si>
  <si>
    <t xml:space="preserve">比較対象銘柄ﾃﾞｰﾀ項目 </t>
  </si>
  <si>
    <t>lblNPer</t>
  </si>
  <si>
    <t>N Period:</t>
  </si>
  <si>
    <t xml:space="preserve">N 周期 </t>
  </si>
  <si>
    <t>lblPeriodicity</t>
  </si>
  <si>
    <t>Periodicity:</t>
  </si>
  <si>
    <t>lblPeriodRule</t>
  </si>
  <si>
    <t>for non-daily Periodicity:</t>
  </si>
  <si>
    <t xml:space="preserve">日次周期以外 </t>
  </si>
  <si>
    <t>lblStudyPeriodicityStat</t>
  </si>
  <si>
    <t>Study Periodicity:</t>
  </si>
  <si>
    <t>lblStudyPeriodicityTR</t>
  </si>
  <si>
    <t>lblStudyPeriodicityVol</t>
  </si>
  <si>
    <t>lblDvdDisclaimer</t>
  </si>
  <si>
    <t>IMPORTANT: Reinvestment on Pay Date and Included Dividend Types settings are only available for &lt;Equity&gt; tickers.</t>
  </si>
  <si>
    <t xml:space="preserve">重要: 支払日における再投資と含まれる配当タイプの設定は&lt;Equity&gt;ティッカーのみ有効 </t>
  </si>
  <si>
    <t>lblNumPeriodsStats</t>
  </si>
  <si>
    <t>Number of Periods:</t>
  </si>
  <si>
    <t xml:space="preserve">周期数 </t>
  </si>
  <si>
    <t>lblNumPeriodsTR</t>
  </si>
  <si>
    <t>Periods:</t>
  </si>
  <si>
    <t>lblOn</t>
  </si>
  <si>
    <t>on</t>
  </si>
  <si>
    <t xml:space="preserve"> </t>
  </si>
  <si>
    <t>lblVs</t>
  </si>
  <si>
    <t>vs</t>
  </si>
  <si>
    <t xml:space="preserve">対 </t>
  </si>
  <si>
    <t>lblIdxBase</t>
  </si>
  <si>
    <t>Base Value:</t>
  </si>
  <si>
    <t>基準値</t>
  </si>
  <si>
    <t>lblBaseDateAdj</t>
  </si>
  <si>
    <t>Base Date Adjustment:</t>
  </si>
  <si>
    <t>営業日調整</t>
  </si>
  <si>
    <t>optActiveDays</t>
  </si>
  <si>
    <t>Only active days</t>
  </si>
  <si>
    <t xml:space="preserve">営業日のみ </t>
  </si>
  <si>
    <t>optAllCal</t>
  </si>
  <si>
    <t>Include all calendar days</t>
  </si>
  <si>
    <t xml:space="preserve">ｶﾚﾝﾀﾞｰ通りの全ての日 </t>
  </si>
  <si>
    <t>optCarryOver</t>
  </si>
  <si>
    <t>Carry over last value</t>
  </si>
  <si>
    <t xml:space="preserve">前営業日のﾃﾞｰﾀ </t>
  </si>
  <si>
    <t>optChronological</t>
  </si>
  <si>
    <t>Chronological</t>
  </si>
  <si>
    <t xml:space="preserve">昇順 </t>
  </si>
  <si>
    <t>optCurrentToEnd</t>
  </si>
  <si>
    <t>Show accumulated Returns to End Point</t>
  </si>
  <si>
    <t xml:space="preserve">最終ﾎﾟｲﾝﾄまでのﾘﾀｰﾝを表示 </t>
  </si>
  <si>
    <t>optDaily</t>
  </si>
  <si>
    <t xml:space="preserve">日次 </t>
  </si>
  <si>
    <t>optDeclaredDate</t>
  </si>
  <si>
    <t>Declared Date</t>
  </si>
  <si>
    <t>発表日</t>
  </si>
  <si>
    <t>optDisplayNA</t>
  </si>
  <si>
    <t>Show</t>
  </si>
  <si>
    <t xml:space="preserve">表記 </t>
  </si>
  <si>
    <t>optDoNotShowDates</t>
  </si>
  <si>
    <t>Do not show dates</t>
  </si>
  <si>
    <t xml:space="preserve">非表示 </t>
  </si>
  <si>
    <t>optEndOfPeriod</t>
  </si>
  <si>
    <t>At the end of period</t>
  </si>
  <si>
    <t xml:space="preserve">周期の最後 </t>
  </si>
  <si>
    <t>optEqyTotRet</t>
  </si>
  <si>
    <t xml:space="preserve">ﾋｽﾄﾘｶﾙ ﾄｰﾀﾙﾘﾀｰﾝ </t>
  </si>
  <si>
    <t>optExactDate</t>
  </si>
  <si>
    <t>On exact date</t>
  </si>
  <si>
    <t xml:space="preserve">当日 </t>
  </si>
  <si>
    <t>optExDate</t>
  </si>
  <si>
    <t>Ex Date</t>
  </si>
  <si>
    <t xml:space="preserve">落ち日 </t>
  </si>
  <si>
    <t>optFirstSecurity</t>
  </si>
  <si>
    <t>First security only</t>
  </si>
  <si>
    <t xml:space="preserve">最初の銘柄のみ </t>
  </si>
  <si>
    <t>optGross</t>
  </si>
  <si>
    <t>Gross Amount</t>
  </si>
  <si>
    <t xml:space="preserve">ｸﾞﾛｽ </t>
  </si>
  <si>
    <t>optHistVol</t>
  </si>
  <si>
    <t>optHorizontal</t>
  </si>
  <si>
    <t>Dates along the row</t>
  </si>
  <si>
    <t xml:space="preserve">日付を横列 </t>
  </si>
  <si>
    <t>optMonthly</t>
  </si>
  <si>
    <t xml:space="preserve">月次 </t>
  </si>
  <si>
    <t>optNet</t>
  </si>
  <si>
    <t>Net Amount</t>
  </si>
  <si>
    <t xml:space="preserve">ﾈｯﾄ </t>
  </si>
  <si>
    <t>optNoDvd</t>
  </si>
  <si>
    <t>Do not account</t>
  </si>
  <si>
    <t xml:space="preserve">考慮にいれない </t>
  </si>
  <si>
    <t>optNTWD</t>
  </si>
  <si>
    <t>Include non-trading weekday</t>
  </si>
  <si>
    <t xml:space="preserve">休日を含む平日(月-金) </t>
  </si>
  <si>
    <t>optPayDate</t>
  </si>
  <si>
    <t>Pay Date</t>
  </si>
  <si>
    <t xml:space="preserve">支払日 </t>
  </si>
  <si>
    <t>optPeriodToPeriod</t>
  </si>
  <si>
    <t xml:space="preserve">Show Rolling Returns over: </t>
  </si>
  <si>
    <t xml:space="preserve">ﾛｰﾘﾝｸﾞ ﾘﾀｰﾝを表示 </t>
  </si>
  <si>
    <t>optQuarterFeb</t>
  </si>
  <si>
    <t>Feb, May, Aug, Nov</t>
  </si>
  <si>
    <t xml:space="preserve">2月、5月、8月、11月 </t>
  </si>
  <si>
    <t>optQuarterJan</t>
  </si>
  <si>
    <t>Jan, Apr, Jul, Oct</t>
  </si>
  <si>
    <t xml:space="preserve">1月、4月、7月、10月 </t>
  </si>
  <si>
    <t>optQuarterly</t>
  </si>
  <si>
    <t xml:space="preserve">四半期 </t>
  </si>
  <si>
    <t>optQuarterMar</t>
  </si>
  <si>
    <t>Mar, Jun, Sep, Dec</t>
  </si>
  <si>
    <t xml:space="preserve">3月、6月、9月、12月 </t>
  </si>
  <si>
    <t>optReverse</t>
  </si>
  <si>
    <t>Reverse Chronological</t>
  </si>
  <si>
    <t xml:space="preserve">降順 </t>
  </si>
  <si>
    <t>optShowAllDates</t>
  </si>
  <si>
    <t>Show all dates</t>
  </si>
  <si>
    <t xml:space="preserve">全て </t>
  </si>
  <si>
    <t>optStartToCurrent</t>
  </si>
  <si>
    <t>Show accumulating Returns from Start Point</t>
  </si>
  <si>
    <t xml:space="preserve">開始ﾎﾟｲﾝﾄからのﾘﾀｰﾝを表示 </t>
  </si>
  <si>
    <t>optStat</t>
  </si>
  <si>
    <t>Statistics (Beta, Correlation, Regression...)</t>
  </si>
  <si>
    <t xml:space="preserve">統計(ﾍﾞｰﾀ、相関係数、回帰） </t>
  </si>
  <si>
    <t>optVertical</t>
  </si>
  <si>
    <t>Dates down the column</t>
  </si>
  <si>
    <t xml:space="preserve">日付を縦列 </t>
  </si>
  <si>
    <t>optWeekly</t>
  </si>
  <si>
    <t xml:space="preserve">週次 </t>
  </si>
  <si>
    <t>optYearly</t>
  </si>
  <si>
    <t xml:space="preserve">年次 </t>
  </si>
  <si>
    <t>optCustomDates</t>
  </si>
  <si>
    <t>Show Returns for Custom Date Ranges</t>
  </si>
  <si>
    <t xml:space="preserve">カスタム日付レンジを表示 </t>
  </si>
  <si>
    <t>optFollowing</t>
  </si>
  <si>
    <t>Following</t>
  </si>
  <si>
    <t xml:space="preserve">翌営業日                   </t>
  </si>
  <si>
    <t>optPreceding</t>
  </si>
  <si>
    <t>Preceding</t>
  </si>
  <si>
    <t xml:space="preserve">前営業日                   </t>
  </si>
  <si>
    <t>optModFollowing</t>
  </si>
  <si>
    <t>Modified Following</t>
  </si>
  <si>
    <t xml:space="preserve">調整翌営業日            </t>
  </si>
  <si>
    <t>optModPreceding</t>
  </si>
  <si>
    <t>Modified Preceding</t>
  </si>
  <si>
    <t xml:space="preserve">調整前営業日            </t>
  </si>
  <si>
    <t>optSaveSettingsIndividual</t>
  </si>
  <si>
    <t>Individual</t>
  </si>
  <si>
    <t xml:space="preserve">個別          </t>
  </si>
  <si>
    <t>optSaveSettingsGlobal</t>
  </si>
  <si>
    <t>Global</t>
  </si>
  <si>
    <t xml:space="preserve">共通l             </t>
  </si>
  <si>
    <t>Help Menu</t>
  </si>
  <si>
    <t>ヘルプメニュー</t>
  </si>
  <si>
    <t>Please Click on one of the options below to get help in a particular area</t>
  </si>
  <si>
    <t>以下からお選びください</t>
  </si>
  <si>
    <t>Function Help</t>
  </si>
  <si>
    <t>ヘルプを見る</t>
  </si>
  <si>
    <t>View application &amp; system information</t>
  </si>
  <si>
    <t>システム情報を見る</t>
  </si>
  <si>
    <t>Ask the Help Desk a general question</t>
  </si>
  <si>
    <t>ヘルプデスクへ質問する</t>
  </si>
  <si>
    <t>Report a problem to the Help Desk</t>
  </si>
  <si>
    <t>障害をヘルプデスクへ報告する</t>
  </si>
  <si>
    <t>Suggest an enhancement</t>
  </si>
  <si>
    <t>改良のリクエスト</t>
  </si>
  <si>
    <t>Exit</t>
  </si>
  <si>
    <t>ヘルプを終了</t>
  </si>
  <si>
    <t>Please enter your suggestion below and then click on the Send Button</t>
  </si>
  <si>
    <t>ご提案内容を下に記載の上、「送信」を押してください</t>
  </si>
  <si>
    <t>A help message will be generated using Bloomberg Screen 1. Please ensure you have finshed using the screen before hitting the Send Button</t>
  </si>
  <si>
    <t>「送信」を押すとBloombergの画面上にヘルプデスクあてメッセージが作成されます。画面をご利用の方はご注意ください。</t>
  </si>
  <si>
    <t>&lt; Back To Menu</t>
  </si>
  <si>
    <t>戻る</t>
  </si>
  <si>
    <t>Send</t>
  </si>
  <si>
    <t>送信</t>
  </si>
  <si>
    <t>終了</t>
  </si>
  <si>
    <t>Ask our Help Desk a general question</t>
  </si>
  <si>
    <t>ヘルプデスクへの質問</t>
  </si>
  <si>
    <t>Please enter your question below, then press Send</t>
  </si>
  <si>
    <t xml:space="preserve">Report A Problem </t>
  </si>
  <si>
    <t>障害報告</t>
  </si>
  <si>
    <t>Area of Problem</t>
  </si>
  <si>
    <t>問題の種類</t>
  </si>
  <si>
    <t>Data is unavailable</t>
  </si>
  <si>
    <t>ﾃﾞｰﾀが無い</t>
  </si>
  <si>
    <t>Macro failed to execute</t>
  </si>
  <si>
    <t>ﾏｸﾛが走らない</t>
  </si>
  <si>
    <t>Other</t>
  </si>
  <si>
    <t>Unexpected values</t>
  </si>
  <si>
    <t>数値が違う</t>
  </si>
  <si>
    <t>'Run time' error reported</t>
  </si>
  <si>
    <t>ﾗﾝﾀｲﾑｴﾗｰ</t>
  </si>
  <si>
    <t>Please add a brief description of the problem and steps to reproduce the issue and then click the Send Button.</t>
  </si>
  <si>
    <t>障害の詳細とどのような時に発生したかを記載して｢送信」を押してください</t>
  </si>
  <si>
    <t>Attatch sheet/ system information (recommended)</t>
  </si>
  <si>
    <t>ｼｰﾄ、ｼｽﾃﾑ情報添付（推奨）</t>
  </si>
  <si>
    <t>A help message will be generated using Bloomberg Screen 1. Please ensure you have finshed using the screen before hitting Send Button</t>
  </si>
  <si>
    <t>Description xxx xxxx xxxx xxxx xxxx xxx xxxx xxxx xxx xxxx</t>
  </si>
  <si>
    <t>詳細 xxx xxxx xxxx xxxx xxxx xxx xxxx xxxx xxx xxxx</t>
  </si>
  <si>
    <t>Warning: Data is for use on licensed Bloomberg Workstations only.</t>
  </si>
  <si>
    <t>ご注意：Bloombergのご契約PC上でご利用ください</t>
  </si>
  <si>
    <t>Do not show again</t>
  </si>
  <si>
    <t>次回表示しない</t>
  </si>
  <si>
    <t>Back</t>
  </si>
  <si>
    <t>Accept</t>
  </si>
  <si>
    <t>同意</t>
  </si>
  <si>
    <t>Refuse</t>
  </si>
  <si>
    <t>拒否</t>
  </si>
  <si>
    <t>Application / System Information</t>
  </si>
  <si>
    <t>ｱﾌﾟﾘｹｰｼｮﾝとｼｽﾃﾑ情報</t>
  </si>
  <si>
    <t>Reset All Application Settings</t>
  </si>
  <si>
    <t>初期設定に戻る</t>
  </si>
  <si>
    <t>Print All Application Settings</t>
  </si>
  <si>
    <t>設定を印刷する</t>
  </si>
  <si>
    <t>ヘルプ</t>
  </si>
  <si>
    <t>도움말</t>
  </si>
  <si>
    <t>帮助</t>
  </si>
  <si>
    <t>幫助</t>
  </si>
  <si>
    <t>ﾎﾞﾗﾃｨﾘﾃｨ</t>
  </si>
  <si>
    <t>Requesting Relative Indices...</t>
  </si>
  <si>
    <t>データを取得しています...</t>
  </si>
  <si>
    <t>Requesting Data...</t>
  </si>
  <si>
    <t>データをリクエスト中です...</t>
  </si>
  <si>
    <t>Processing Data...</t>
  </si>
  <si>
    <t>計算中です...</t>
  </si>
  <si>
    <t>Retrieving Relative Indices…</t>
  </si>
  <si>
    <t>対象指数を取得しています…</t>
  </si>
  <si>
    <t>Retrieving Data...</t>
  </si>
  <si>
    <t>データを取得中です…</t>
  </si>
  <si>
    <t>CLEAR_CACHE_TITLE</t>
  </si>
  <si>
    <t>Clear All Cached Data?</t>
  </si>
  <si>
    <t>キャッシュをクリア？</t>
  </si>
  <si>
    <t>CLEAR_CACHE_MSG</t>
  </si>
  <si>
    <t>Clear all cached data including?\n\t- Index IDs,\n\t- EQS Screen names,\n\t- Portfolio IDs,\n\t- Equity Peers,\n\t- Bond Issuers,\n\t- Bond filter options\n\t- Currently selected securities?</t>
  </si>
  <si>
    <t>下記のものを含めてクリアしますか？\n\t- 指数ID\n\t- EQS スクリーニング名\n\t- ﾎﾟｰﾄﾌｫﾘｵID\n\t- 同業グループ\n\t- 債券発行体\n\t- 債券フィルター設定\n\t- 選択されている銘柄</t>
  </si>
  <si>
    <t>ERROR</t>
  </si>
  <si>
    <t>EXCH_CODE</t>
  </si>
  <si>
    <t>Invalid user-defined exchange code!</t>
  </si>
  <si>
    <t>ユーザ指定取引所ｺｰﾄﾞは無効です。</t>
  </si>
  <si>
    <t>MSG</t>
  </si>
  <si>
    <t>primary</t>
  </si>
  <si>
    <t>主要</t>
  </si>
  <si>
    <t>composite</t>
  </si>
  <si>
    <t>コンポジット</t>
  </si>
  <si>
    <t>RET_EXCH_CODE</t>
  </si>
  <si>
    <t>Retrieving {0} exchange codes…</t>
  </si>
  <si>
    <t>{0}取引所ｺｰﾄﾞを取得中…</t>
  </si>
  <si>
    <t>Bond Retrieval Warnings</t>
  </si>
  <si>
    <t>債券取得ワーニング</t>
  </si>
  <si>
    <t>RET_ISSUE</t>
  </si>
  <si>
    <t>Note: Issues encountered during retrieval:\n{0}\n\n</t>
  </si>
  <si>
    <t>注意： 取得中に下記のことが発生しました。\n{0}\n\n</t>
  </si>
  <si>
    <t>No securities selected!</t>
  </si>
  <si>
    <t>銘柄が選択されていますえん！</t>
  </si>
  <si>
    <t>CALC_DATE</t>
  </si>
  <si>
    <t>Calculating User Date..</t>
  </si>
  <si>
    <t>ﾕｰｻﾞ指定日付を計算中…</t>
  </si>
  <si>
    <t>NAME FILTER</t>
  </si>
  <si>
    <t>NAME FILTER (for Govt only)</t>
  </si>
  <si>
    <t>名前フィルター (国債のみ)</t>
  </si>
  <si>
    <t>DEBT RANK CORP</t>
  </si>
  <si>
    <t>DEBT RANK (for Corp only)</t>
  </si>
  <si>
    <t>債務ランク (公社債のみ)</t>
  </si>
  <si>
    <t>COUPON TYPE CORP</t>
  </si>
  <si>
    <t>COUPON TYPE (for Corp only)</t>
  </si>
  <si>
    <t>クーポンタイプ (公社債のみ)</t>
  </si>
  <si>
    <t>CURRENCY CORP</t>
  </si>
  <si>
    <t>CURRENCY (for Corp only)</t>
  </si>
  <si>
    <t>通貨 (公社債のみ)</t>
  </si>
  <si>
    <t>AMOUNT OUTSTANDING CORP</t>
  </si>
  <si>
    <t>AMOUNT OUTSTANDING (for Corp only)</t>
  </si>
  <si>
    <t>残存額 (公社債のみ)</t>
  </si>
  <si>
    <t>RETRIEVING_SECURITIES</t>
  </si>
  <si>
    <t>Retrieving Securities…</t>
  </si>
  <si>
    <t>銘柄取得中…</t>
  </si>
  <si>
    <t>YK</t>
  </si>
  <si>
    <t>YK_FILTER_NONE</t>
  </si>
  <si>
    <t>YK_FILTER_CMDT</t>
  </si>
  <si>
    <t>Cmdty</t>
  </si>
  <si>
    <t>商品/先物</t>
  </si>
  <si>
    <t>YK_FILTER_EQTY</t>
  </si>
  <si>
    <t>Equity</t>
  </si>
  <si>
    <t>株式/投信</t>
  </si>
  <si>
    <t>YK_FILTER_MUNI</t>
  </si>
  <si>
    <t>Muni</t>
  </si>
  <si>
    <t>米地方債</t>
  </si>
  <si>
    <t>YK_FILTER_PRFD</t>
  </si>
  <si>
    <t>Pfd</t>
  </si>
  <si>
    <t>優先株</t>
  </si>
  <si>
    <t>YK_FILTER_CLNT</t>
  </si>
  <si>
    <t>Client</t>
  </si>
  <si>
    <t>アルファ</t>
  </si>
  <si>
    <t>YK_FILTER_MMKT</t>
  </si>
  <si>
    <t>Mmkt</t>
  </si>
  <si>
    <t>金融市場</t>
  </si>
  <si>
    <t>YK_FILTER_GOVT</t>
  </si>
  <si>
    <t>Govt</t>
  </si>
  <si>
    <t>国債</t>
  </si>
  <si>
    <t>YK_FILTER_CORP</t>
  </si>
  <si>
    <t>Corp</t>
  </si>
  <si>
    <t>公社債</t>
  </si>
  <si>
    <t>YK_FILTER_INDX</t>
  </si>
  <si>
    <t>Index</t>
  </si>
  <si>
    <t>YK_FILTER_CURR</t>
  </si>
  <si>
    <t>Crncy</t>
  </si>
  <si>
    <t>YK_FILTER_MTGE</t>
  </si>
  <si>
    <t>Mtge</t>
  </si>
  <si>
    <t>モーゲージ</t>
  </si>
  <si>
    <t>LANG</t>
  </si>
  <si>
    <t>LANG_OVERRIDE_NONE</t>
  </si>
  <si>
    <t>LANG_OVERRIDE_ENGLISH</t>
  </si>
  <si>
    <t>LANG_OVERRIDE_KANJI</t>
  </si>
  <si>
    <t>LANG_OVERRIDE_FRENCH</t>
  </si>
  <si>
    <t>LANG_OVERRIDE_GERMAN</t>
  </si>
  <si>
    <t>LANG_OVERRIDE_SPANISH</t>
  </si>
  <si>
    <t>LANG_OVERRIDE_PORTUGUESE</t>
  </si>
  <si>
    <t>LANG_OVERRIDE_ITALIAN</t>
  </si>
  <si>
    <t>LANG_OVERRIDE_CHINESE_TRAD</t>
  </si>
  <si>
    <t>LANG_OVERRIDE_KOREAN</t>
  </si>
  <si>
    <t>LANG_OVERRIDE_CHINESE_SIMP</t>
  </si>
  <si>
    <t>LANG_OVERRIDE_NONE_1</t>
  </si>
  <si>
    <t>LANG_OVERRIDE_NONE_2</t>
  </si>
  <si>
    <t>LANG_OVERRIDE_NONE_3</t>
  </si>
  <si>
    <t>LANG_OVERRIDE_NONE_4</t>
  </si>
  <si>
    <t>LANG_OVERRIDE_NONE_5</t>
  </si>
  <si>
    <t>LANG_OVERRIDE_RUSSIAN</t>
  </si>
  <si>
    <t>Русский</t>
  </si>
  <si>
    <t>SEARCH_EMPTY</t>
  </si>
  <si>
    <t>Please enter a search phrase.</t>
  </si>
  <si>
    <t>検索する文字列を入力してください。</t>
  </si>
  <si>
    <t>SEARCH_ERROR</t>
  </si>
  <si>
    <t>Search Error</t>
  </si>
  <si>
    <t>検索エラー</t>
  </si>
  <si>
    <t>SEARCH_PHRASE</t>
  </si>
  <si>
    <t>Search phrase</t>
  </si>
  <si>
    <t>検索キーワード</t>
  </si>
  <si>
    <t>YELLOW_KEY</t>
  </si>
  <si>
    <t>Yellow key</t>
  </si>
  <si>
    <t>ﾏｰｹｯﾄｾｸﾀｰｷｰ</t>
  </si>
  <si>
    <t>RESULT_LIMIT</t>
  </si>
  <si>
    <t>Result limit</t>
  </si>
  <si>
    <t>結果上限</t>
  </si>
  <si>
    <t>API</t>
  </si>
  <si>
    <t>MULTIPLE_MATCHES</t>
  </si>
  <si>
    <t>Multiple Matches</t>
  </si>
  <si>
    <t>複数候補</t>
  </si>
  <si>
    <t>Search</t>
  </si>
  <si>
    <t>検索</t>
  </si>
  <si>
    <t>LANGUAGE</t>
  </si>
  <si>
    <t>Language</t>
  </si>
  <si>
    <t>言語</t>
  </si>
  <si>
    <t>언어</t>
  </si>
  <si>
    <t>语言</t>
  </si>
  <si>
    <t>語言</t>
  </si>
  <si>
    <t>SHOW_TICKER_NAME</t>
  </si>
  <si>
    <t>Show instrument name</t>
  </si>
  <si>
    <t>銘柄名を表示</t>
  </si>
  <si>
    <t>SEARCH_WHILE_TYPE</t>
  </si>
  <si>
    <t>Search as you type</t>
  </si>
  <si>
    <t>入力しながら検索</t>
  </si>
  <si>
    <t>Bond Chain</t>
  </si>
  <si>
    <t>債券チェーン</t>
  </si>
  <si>
    <t>Bond Search</t>
  </si>
  <si>
    <t>債券検索</t>
  </si>
  <si>
    <t>DYNAMIC_CAPTION</t>
  </si>
  <si>
    <t>ENTER_ISSUER</t>
  </si>
  <si>
    <t>ENTER_SRCH</t>
  </si>
  <si>
    <t>Enter SRCH Bond Search Name</t>
  </si>
  <si>
    <t>SRCHの検索名を入力してください。</t>
  </si>
  <si>
    <t>Custom List Management</t>
  </si>
  <si>
    <t>カスタムリスト管理</t>
  </si>
  <si>
    <t>List Name</t>
  </si>
  <si>
    <t>リスト名</t>
  </si>
  <si>
    <t>Load</t>
  </si>
  <si>
    <t>ロード</t>
  </si>
  <si>
    <t>Save</t>
  </si>
  <si>
    <t>保存</t>
  </si>
  <si>
    <t>LIST_DOES_NOT_EXIST</t>
  </si>
  <si>
    <t>The specified list name does not exist. Please check.</t>
  </si>
  <si>
    <t>指定したリスト名は存在していません。リスト名を確認してください。</t>
  </si>
  <si>
    <t>NO_TICKERS_TO_SAVE</t>
  </si>
  <si>
    <t>No tickers selected to save</t>
  </si>
  <si>
    <t>保存するティッカーが存在していません。</t>
  </si>
  <si>
    <t>ENTER_LIST_NAME</t>
  </si>
  <si>
    <t>Enter custom list name</t>
  </si>
  <si>
    <t>リスト名を入力してください。</t>
  </si>
  <si>
    <t>MyTranslationExample</t>
  </si>
  <si>
    <t>開始</t>
  </si>
  <si>
    <t>PROFILE</t>
  </si>
  <si>
    <t>Profile</t>
  </si>
  <si>
    <t>ファイル</t>
  </si>
  <si>
    <t>종목개요</t>
  </si>
  <si>
    <t>档案</t>
  </si>
  <si>
    <t>檔案</t>
  </si>
  <si>
    <t>Valuation</t>
  </si>
  <si>
    <t>評価</t>
  </si>
  <si>
    <t>평가</t>
  </si>
  <si>
    <t>估值</t>
  </si>
  <si>
    <t>Current Price</t>
  </si>
  <si>
    <t>直近価格</t>
  </si>
  <si>
    <t>현재가</t>
  </si>
  <si>
    <t>当前价格</t>
  </si>
  <si>
    <t>當前價格</t>
  </si>
  <si>
    <t>52-Week High</t>
  </si>
  <si>
    <t>52週高値</t>
  </si>
  <si>
    <t>52주 고가</t>
  </si>
  <si>
    <t>52周最高</t>
  </si>
  <si>
    <t>52-Week Low</t>
  </si>
  <si>
    <t>52週低値</t>
  </si>
  <si>
    <t>52주 저가</t>
  </si>
  <si>
    <t>52周最低</t>
  </si>
  <si>
    <t>Total Basic Common Shares</t>
  </si>
  <si>
    <t>発行済株式数</t>
  </si>
  <si>
    <t>총 주식수</t>
  </si>
  <si>
    <t>当前总股数</t>
  </si>
  <si>
    <t>當前總股數</t>
  </si>
  <si>
    <t>Market Capitalization</t>
  </si>
  <si>
    <t>直近時価総額</t>
  </si>
  <si>
    <t>시가 총액</t>
  </si>
  <si>
    <t>市值</t>
  </si>
  <si>
    <t>ReturnsRatio</t>
  </si>
  <si>
    <t>Returns</t>
  </si>
  <si>
    <t>リターン</t>
  </si>
  <si>
    <t>수익률</t>
  </si>
  <si>
    <t>回报率</t>
  </si>
  <si>
    <t>回報率</t>
  </si>
  <si>
    <t>Avg Daily Trading Volume</t>
  </si>
  <si>
    <t>一日平均出来高</t>
  </si>
  <si>
    <t>일 평균 거래량</t>
  </si>
  <si>
    <t>日均成交量</t>
  </si>
  <si>
    <t>Liquidity Ratios</t>
  </si>
  <si>
    <t>流動性指標</t>
  </si>
  <si>
    <t>유동성 비율</t>
  </si>
  <si>
    <t>流动性指标</t>
  </si>
  <si>
    <t>Current Ratio</t>
  </si>
  <si>
    <t>流動比率</t>
  </si>
  <si>
    <t>유동비율</t>
  </si>
  <si>
    <t>流动比率</t>
  </si>
  <si>
    <t>Quick Ratio</t>
  </si>
  <si>
    <t>当座比率</t>
  </si>
  <si>
    <t>당좌비율</t>
  </si>
  <si>
    <t>速动比率</t>
  </si>
  <si>
    <t>速動比率</t>
  </si>
  <si>
    <t>EBIT/Interest</t>
  </si>
  <si>
    <t>EBIT /支払利息</t>
  </si>
  <si>
    <t>EBIT /이자</t>
  </si>
  <si>
    <t>息税前利润/利息</t>
  </si>
  <si>
    <t>息稅前利潤/利息</t>
  </si>
  <si>
    <t>Tot Debt/Capital</t>
  </si>
  <si>
    <t>総債務/総資本比率</t>
  </si>
  <si>
    <t>총 부채 / 총 자본</t>
  </si>
  <si>
    <t>总债务/总资本</t>
  </si>
  <si>
    <t>總債務/總資本</t>
  </si>
  <si>
    <t>Tot Debt/Equity</t>
  </si>
  <si>
    <t>総債務/株主資本比率 (D/Eレシオ)</t>
  </si>
  <si>
    <t>총 부채 / 자기 자본</t>
  </si>
  <si>
    <t>总债务/股东权益</t>
  </si>
  <si>
    <t>總債務/股東權益</t>
  </si>
  <si>
    <t>Eff Tax Rate %</t>
  </si>
  <si>
    <t>実効税率</t>
  </si>
  <si>
    <t>유효세율</t>
  </si>
  <si>
    <t>有效税率</t>
  </si>
  <si>
    <t>有效稅率</t>
  </si>
  <si>
    <t>Period</t>
  </si>
  <si>
    <t>周期</t>
  </si>
  <si>
    <t>주기</t>
  </si>
  <si>
    <t>週期</t>
  </si>
  <si>
    <t>Annuals</t>
  </si>
  <si>
    <t>年度</t>
  </si>
  <si>
    <t>년</t>
  </si>
  <si>
    <t>Quarters</t>
  </si>
  <si>
    <t>四半期</t>
  </si>
  <si>
    <t>분기</t>
  </si>
  <si>
    <t>季度</t>
  </si>
  <si>
    <t>Semi-Annual</t>
  </si>
  <si>
    <t>半期</t>
  </si>
  <si>
    <t>반기</t>
  </si>
  <si>
    <t>半年</t>
  </si>
  <si>
    <t>Measure</t>
  </si>
  <si>
    <t>主要データ</t>
  </si>
  <si>
    <t>재무지표</t>
  </si>
  <si>
    <t>衡量指标</t>
  </si>
  <si>
    <t>衡量指標</t>
  </si>
  <si>
    <t>EBITDA (M)</t>
  </si>
  <si>
    <t>EBITDA (백만)</t>
  </si>
  <si>
    <t>息税折摊前利润</t>
  </si>
  <si>
    <t>息稅折攤前利潤</t>
  </si>
  <si>
    <t>EBIT (M)</t>
  </si>
  <si>
    <t>EBIT (백만)</t>
  </si>
  <si>
    <t>息税前利润</t>
  </si>
  <si>
    <t>息稅前利潤</t>
  </si>
  <si>
    <t>Sales (M)</t>
  </si>
  <si>
    <t>予想比較 売上高 (M)</t>
  </si>
  <si>
    <t>매출 (백만)</t>
  </si>
  <si>
    <t>预测可比销售</t>
  </si>
  <si>
    <t>預測可比銷售</t>
  </si>
  <si>
    <t>Net Income Adj (M)</t>
  </si>
  <si>
    <t>予想比較 純利益(除株式報酬(M)</t>
  </si>
  <si>
    <t>조정 순수익</t>
  </si>
  <si>
    <t>预测可比净利润股票报酬除外</t>
  </si>
  <si>
    <t>預測可比淨利潤股票報酬除外</t>
  </si>
  <si>
    <t>EPS</t>
  </si>
  <si>
    <t>予想比較 EPS(除株式報酬)</t>
  </si>
  <si>
    <t>주당순이익</t>
  </si>
  <si>
    <t>预测可比每股收益，股票报酬除外</t>
  </si>
  <si>
    <t>預測可比每股收益，股票報酬除外</t>
  </si>
  <si>
    <t>P/E</t>
  </si>
  <si>
    <t>株価収益率(PER)</t>
  </si>
  <si>
    <t>PER</t>
  </si>
  <si>
    <t>市盈率</t>
  </si>
  <si>
    <t>P/S</t>
  </si>
  <si>
    <t>株価売上高倍率(PSR)</t>
  </si>
  <si>
    <t>주가매출액비율</t>
  </si>
  <si>
    <t>市售率</t>
  </si>
  <si>
    <t>P/B</t>
  </si>
  <si>
    <t>株価純資産倍率(PBR)</t>
  </si>
  <si>
    <t>주가순자산비율</t>
  </si>
  <si>
    <t>市净率</t>
  </si>
  <si>
    <t>市淨率</t>
  </si>
  <si>
    <t>Price/Book</t>
  </si>
  <si>
    <t>Div Yield</t>
  </si>
  <si>
    <t>配当利回り</t>
  </si>
  <si>
    <t>배당 수익률</t>
  </si>
  <si>
    <t>股利收益率</t>
  </si>
  <si>
    <t>EV/EBIT</t>
  </si>
  <si>
    <t>期別企業価値/直近12ｶ月EBIT比率</t>
  </si>
  <si>
    <t xml:space="preserve">기간 EV/최근 12M EBIT </t>
  </si>
  <si>
    <t>周期企业价值/前12个月息税前利润</t>
  </si>
  <si>
    <t>週期企業價值/前12個月息稅前利潤</t>
  </si>
  <si>
    <t>EV/EBITDA</t>
  </si>
  <si>
    <t>期別企業価値/直近12ｶ月EBITDA比率</t>
  </si>
  <si>
    <t xml:space="preserve">기간 EV/최근 12M EBITDA </t>
  </si>
  <si>
    <t>周期企业价值/前12个月息税折摊前利润</t>
  </si>
  <si>
    <t>週期企業價值/前12個月息稅折攤前利潤</t>
  </si>
  <si>
    <t>CPS</t>
  </si>
  <si>
    <t>1株当りキャッシュフロー</t>
  </si>
  <si>
    <t>주당 현금 흐름</t>
  </si>
  <si>
    <t>每股现金流量</t>
  </si>
  <si>
    <t>每股現金流量</t>
  </si>
  <si>
    <t>DPS</t>
  </si>
  <si>
    <t>1株当り配当金</t>
  </si>
  <si>
    <t>주당 배당금</t>
  </si>
  <si>
    <t>每股股利</t>
  </si>
  <si>
    <t>Company Barometer - Estimate</t>
  </si>
  <si>
    <t>業績評価指標 - 予想</t>
  </si>
  <si>
    <t>회사 재무 정보 - 추정</t>
  </si>
  <si>
    <t>公司业务预测</t>
  </si>
  <si>
    <t>公司業務預測</t>
  </si>
  <si>
    <t>EPS Adj</t>
  </si>
  <si>
    <t>EPS (Adj)</t>
  </si>
  <si>
    <t>EPS (調整値) - ブルームバーグ予想</t>
  </si>
  <si>
    <t>Best 주당순이익</t>
  </si>
  <si>
    <t>彭博预测-每股收益</t>
  </si>
  <si>
    <t>彭博預測-每股收益</t>
  </si>
  <si>
    <t>EBITDA</t>
  </si>
  <si>
    <t>EBITDA - ブルームバーグ予想</t>
  </si>
  <si>
    <t>Best EBITDA</t>
  </si>
  <si>
    <t>彭博预测-息税折摊前利润</t>
  </si>
  <si>
    <t>彭博預測-息稅折攤前利潤</t>
  </si>
  <si>
    <t>EBIT</t>
  </si>
  <si>
    <t>EBIT - ブルームバーグ予想</t>
  </si>
  <si>
    <t>Best EBIT</t>
  </si>
  <si>
    <t>彭博预测-息税前利润</t>
  </si>
  <si>
    <t>彭博預測-息稅前利潤</t>
  </si>
  <si>
    <t>Sales</t>
  </si>
  <si>
    <t>売上高 - ブルームバーグ予想</t>
  </si>
  <si>
    <t>Best 매출액</t>
  </si>
  <si>
    <t>彭博预测-销售</t>
  </si>
  <si>
    <t>彭博預測-銷售</t>
  </si>
  <si>
    <t>Net Income Adj</t>
  </si>
  <si>
    <t>Net Income (Adj)</t>
  </si>
  <si>
    <t>純利益 - ブルームバーグ予想</t>
  </si>
  <si>
    <t>Best 순이익</t>
  </si>
  <si>
    <t>彭博预测-净利润</t>
  </si>
  <si>
    <t>彭博預測-淨利潤</t>
  </si>
  <si>
    <t>BESTCPS</t>
  </si>
  <si>
    <t>ブルームバーグ予報 - キャッシュフロー</t>
  </si>
  <si>
    <t>Best 주당현금흐름</t>
  </si>
  <si>
    <t>彭博预测-每股现金</t>
  </si>
  <si>
    <t>彭博預測-每股現金</t>
  </si>
  <si>
    <t>BESTDPS</t>
  </si>
  <si>
    <t>ブルームバーグ予報 - 株当たり配当金</t>
  </si>
  <si>
    <t>Best 주당배당금</t>
  </si>
  <si>
    <t>彭博预测-每股股利</t>
  </si>
  <si>
    <t>彭博預測-每股股利</t>
  </si>
  <si>
    <t>Target Price</t>
  </si>
  <si>
    <t>目標株価</t>
  </si>
  <si>
    <t>목표 주가</t>
  </si>
  <si>
    <t>目标价格</t>
  </si>
  <si>
    <t>目標價格</t>
  </si>
  <si>
    <t>Rating</t>
  </si>
  <si>
    <t>アナリスト・レーティング</t>
  </si>
  <si>
    <t>추천</t>
  </si>
  <si>
    <t>彭博预测-评级</t>
  </si>
  <si>
    <t>彭博預測-評級</t>
  </si>
  <si>
    <t>Change</t>
  </si>
  <si>
    <t>増減</t>
  </si>
  <si>
    <t>보유주식수 변화</t>
  </si>
  <si>
    <t>变动</t>
  </si>
  <si>
    <t>變動</t>
  </si>
  <si>
    <t>Position</t>
  </si>
  <si>
    <t>ポジション</t>
  </si>
  <si>
    <t>보유주식수</t>
  </si>
  <si>
    <t>仓位</t>
  </si>
  <si>
    <t>倉位</t>
  </si>
  <si>
    <t>ShareOutStanding</t>
  </si>
  <si>
    <t>%Out</t>
  </si>
  <si>
    <t>保有率</t>
  </si>
  <si>
    <t>지분크기</t>
  </si>
  <si>
    <t>持仓比例</t>
  </si>
  <si>
    <t>持倉比例</t>
  </si>
  <si>
    <t>Top 10 Shareholders</t>
  </si>
  <si>
    <t>トップ10の株主</t>
  </si>
  <si>
    <t>상위 10대 주주</t>
  </si>
  <si>
    <t>前10大股东</t>
  </si>
  <si>
    <t>前10大股東</t>
  </si>
  <si>
    <t>Top 10 Buyers</t>
  </si>
  <si>
    <t>トップ10の買手</t>
  </si>
  <si>
    <t>상위 10대 매수자</t>
  </si>
  <si>
    <t>前10大买方</t>
  </si>
  <si>
    <t>前10大買方</t>
  </si>
  <si>
    <t>Top 10 Sellers</t>
  </si>
  <si>
    <t>トップ10の売手</t>
  </si>
  <si>
    <t>상위 10대 매도자</t>
  </si>
  <si>
    <t>前10大卖方</t>
  </si>
  <si>
    <t>前10大賣方</t>
  </si>
  <si>
    <t>Peer Analysis</t>
  </si>
  <si>
    <t>業界分析</t>
  </si>
  <si>
    <t>동종업 분석</t>
  </si>
  <si>
    <t>行业分析</t>
  </si>
  <si>
    <t>行業分析</t>
  </si>
  <si>
    <t>Enterprise Value</t>
  </si>
  <si>
    <t>企業価値</t>
  </si>
  <si>
    <t>기업 가치</t>
  </si>
  <si>
    <t>企业价值</t>
  </si>
  <si>
    <t>企業價值</t>
  </si>
  <si>
    <t>Dividend Yield</t>
  </si>
  <si>
    <t>배당률</t>
  </si>
  <si>
    <t>股利率</t>
  </si>
  <si>
    <t>ROE</t>
  </si>
  <si>
    <t>ROE (株主資本利益率)</t>
  </si>
  <si>
    <t>权益回报率</t>
  </si>
  <si>
    <t>權益報酬率</t>
  </si>
  <si>
    <t>ROA</t>
  </si>
  <si>
    <t>ROA (総資産利益率)</t>
  </si>
  <si>
    <t>총자산이익률</t>
  </si>
  <si>
    <t>资产回报率</t>
  </si>
  <si>
    <t>資產報酬率</t>
  </si>
  <si>
    <t>Current / LTM</t>
  </si>
  <si>
    <t>現在/直近12ヶ月</t>
  </si>
  <si>
    <t>현재 / 최근 12 개월</t>
  </si>
  <si>
    <t>当前制/近12个月</t>
  </si>
  <si>
    <t>當前制/近12個月</t>
  </si>
  <si>
    <t>Latest Quarter</t>
  </si>
  <si>
    <t>直近四半期</t>
  </si>
  <si>
    <t>최근 분기</t>
  </si>
  <si>
    <t>最近季度</t>
  </si>
  <si>
    <t>Lates Semi-Ann</t>
  </si>
  <si>
    <t>直近半期</t>
  </si>
  <si>
    <t>최근 반기</t>
  </si>
  <si>
    <t>最近半年度</t>
  </si>
  <si>
    <t>Latest Year</t>
  </si>
  <si>
    <t>直近年度</t>
  </si>
  <si>
    <t>최근 년</t>
  </si>
  <si>
    <t>最近本年度</t>
  </si>
  <si>
    <t>Next 12m (Est)</t>
  </si>
  <si>
    <t>翌12ヶ月(予想)</t>
  </si>
  <si>
    <t>향후 12 개월 (추정치)</t>
  </si>
  <si>
    <t>预计下12个月</t>
  </si>
  <si>
    <t>預計下12個月</t>
  </si>
  <si>
    <t>Quarter +1 (Est)</t>
  </si>
  <si>
    <t>翌四半期(予想)</t>
  </si>
  <si>
    <t>다음 분기 (추정치)</t>
  </si>
  <si>
    <t>预计下季度</t>
  </si>
  <si>
    <t>預計下季度</t>
  </si>
  <si>
    <t>Semi-Ann +1 (Est)</t>
  </si>
  <si>
    <t>翌半期(予想)</t>
  </si>
  <si>
    <t>다음 반기 (추정치)</t>
  </si>
  <si>
    <t>预计下半年度</t>
  </si>
  <si>
    <t>預計下半年度</t>
  </si>
  <si>
    <t>Year + 1 (Est)</t>
  </si>
  <si>
    <t>来年度(予想)</t>
  </si>
  <si>
    <t>내년 (추정치)</t>
  </si>
  <si>
    <t>预计未来年度</t>
  </si>
  <si>
    <t>預計未來年度</t>
  </si>
  <si>
    <t>Year + 2 (Est)</t>
  </si>
  <si>
    <t>再来年度(予想)</t>
  </si>
  <si>
    <t>내후년 (추정치)</t>
  </si>
  <si>
    <t>预计未来第二年度</t>
  </si>
  <si>
    <t>預計未來第二年度</t>
  </si>
  <si>
    <t>CY</t>
  </si>
  <si>
    <t>暦年</t>
  </si>
  <si>
    <t>역년</t>
  </si>
  <si>
    <t>历年</t>
  </si>
  <si>
    <t>歷年</t>
  </si>
  <si>
    <t>FY</t>
  </si>
  <si>
    <t>会計年度</t>
  </si>
  <si>
    <t>회계연도</t>
  </si>
  <si>
    <t>财政年度</t>
  </si>
  <si>
    <t>財政年度</t>
  </si>
  <si>
    <t>FQ</t>
  </si>
  <si>
    <t>会計四半期</t>
  </si>
  <si>
    <t>회계분기</t>
  </si>
  <si>
    <t>财政季度</t>
  </si>
  <si>
    <t>財政季度</t>
  </si>
  <si>
    <t>FS</t>
  </si>
  <si>
    <t>会計半期</t>
  </si>
  <si>
    <t>회계반기</t>
  </si>
  <si>
    <t>财政半年</t>
  </si>
  <si>
    <t>財政半年</t>
  </si>
  <si>
    <t>Estimate</t>
  </si>
  <si>
    <t>Estimates</t>
  </si>
  <si>
    <t>予想</t>
  </si>
  <si>
    <t>추정치</t>
  </si>
  <si>
    <t>预测</t>
  </si>
  <si>
    <t>預測</t>
  </si>
  <si>
    <t>Broker Name</t>
  </si>
  <si>
    <t>ブローカー名</t>
  </si>
  <si>
    <t>브로커 이름</t>
  </si>
  <si>
    <t>经纪商名称</t>
  </si>
  <si>
    <t>經紀商名稱</t>
  </si>
  <si>
    <t>Change from</t>
  </si>
  <si>
    <t>変更</t>
  </si>
  <si>
    <t>변화</t>
  </si>
  <si>
    <t>Change from Previous</t>
  </si>
  <si>
    <t>前回予想比</t>
  </si>
  <si>
    <t>本期变动</t>
  </si>
  <si>
    <t>本期變動</t>
  </si>
  <si>
    <t>Ownership Statistics</t>
  </si>
  <si>
    <t>株主統計</t>
  </si>
  <si>
    <t>주주 통계</t>
  </si>
  <si>
    <t>持股统计</t>
  </si>
  <si>
    <t>持股統計</t>
  </si>
  <si>
    <t>Shares Outstanding (M)</t>
  </si>
  <si>
    <t>発行済株式数 (百万)</t>
  </si>
  <si>
    <t>발행 주식 (백만)</t>
  </si>
  <si>
    <t>流通股（百万）</t>
  </si>
  <si>
    <t>流通股（百萬）</t>
  </si>
  <si>
    <t>Float</t>
  </si>
  <si>
    <t>浮動株比率 (%)</t>
  </si>
  <si>
    <t>부동주비율</t>
  </si>
  <si>
    <t>浮动流通股 %</t>
  </si>
  <si>
    <t>浮動流通股 %</t>
  </si>
  <si>
    <t>Short Interest (M)</t>
  </si>
  <si>
    <t>空売り残高</t>
  </si>
  <si>
    <t>대주잔고 (백만)</t>
  </si>
  <si>
    <t>卖空股数</t>
  </si>
  <si>
    <t>賣空股數</t>
  </si>
  <si>
    <t>Short Interest as % of Float</t>
  </si>
  <si>
    <t>空売り比率</t>
  </si>
  <si>
    <t>부동주 대비 대주잔고 비율</t>
  </si>
  <si>
    <t>卖空比率</t>
  </si>
  <si>
    <t>賣空比率</t>
  </si>
  <si>
    <t>Days to Cover Shorts</t>
  </si>
  <si>
    <t>売り残平均出来高比率</t>
  </si>
  <si>
    <t>대주비율</t>
  </si>
  <si>
    <t>空头回补天数</t>
  </si>
  <si>
    <t>空頭回補天數</t>
  </si>
  <si>
    <t>Ownership (Institutional)</t>
  </si>
  <si>
    <t>機関投資家保有比率</t>
  </si>
  <si>
    <t>주주 (기관)</t>
  </si>
  <si>
    <t>持股（机构）</t>
  </si>
  <si>
    <t>持股（機構）</t>
  </si>
  <si>
    <t>Ownership (Retail &amp; Other)</t>
  </si>
  <si>
    <t>その他投資家保有比率</t>
  </si>
  <si>
    <t>지분 (소매 및 기타)</t>
  </si>
  <si>
    <t>持股（零售及其他）</t>
  </si>
  <si>
    <t>Ownership (Insider)</t>
  </si>
  <si>
    <t>インサイダー保有比率</t>
  </si>
  <si>
    <t>주주 (내부자)</t>
  </si>
  <si>
    <t>持股（内幕）</t>
  </si>
  <si>
    <t>持股（內幕）</t>
  </si>
  <si>
    <t>Geographic Ownership Dist.</t>
  </si>
  <si>
    <t>国別保有分布</t>
  </si>
  <si>
    <t>국가별 주주 현황</t>
  </si>
  <si>
    <t>地理持股分布</t>
  </si>
  <si>
    <t>地理持股份布</t>
  </si>
  <si>
    <t>Institutional Ownership Dist.</t>
  </si>
  <si>
    <t>保有機関タイプ分布</t>
  </si>
  <si>
    <t>기관별 주주 현황</t>
  </si>
  <si>
    <t>机构持股分布</t>
  </si>
  <si>
    <t>機構持股份布</t>
  </si>
  <si>
    <t>Top 20 Holders</t>
  </si>
  <si>
    <t>Top 20 Holders by:</t>
  </si>
  <si>
    <t>トップ20の株主</t>
  </si>
  <si>
    <t>상위 20대  주주</t>
  </si>
  <si>
    <t>前20大股东</t>
  </si>
  <si>
    <t>前20大股東</t>
  </si>
  <si>
    <t>Holder Name</t>
  </si>
  <si>
    <t>株主の名前</t>
  </si>
  <si>
    <t>주주명</t>
  </si>
  <si>
    <t>股东名称</t>
  </si>
  <si>
    <t>股東名稱</t>
  </si>
  <si>
    <t>Position Change</t>
  </si>
  <si>
    <t>ポジションの増減</t>
  </si>
  <si>
    <t>仓位变动</t>
  </si>
  <si>
    <t>倉位變動</t>
  </si>
  <si>
    <t>Market Value</t>
  </si>
  <si>
    <t>時価総額</t>
  </si>
  <si>
    <t>% of Ownership</t>
  </si>
  <si>
    <t>비례</t>
  </si>
  <si>
    <t>比例</t>
  </si>
  <si>
    <t>Ownership Report Date</t>
  </si>
  <si>
    <t>Report Date</t>
  </si>
  <si>
    <t>報告日</t>
  </si>
  <si>
    <t>보고일</t>
  </si>
  <si>
    <t>披露日期</t>
  </si>
  <si>
    <t>Country</t>
  </si>
  <si>
    <t>国</t>
  </si>
  <si>
    <t>국가</t>
  </si>
  <si>
    <t>国家</t>
  </si>
  <si>
    <t>國家</t>
  </si>
  <si>
    <t>Top 10 Insiders</t>
  </si>
  <si>
    <t>トップ10のインサイダー株主</t>
  </si>
  <si>
    <t>상위 10대 내부자</t>
  </si>
  <si>
    <t>前10大内部股东</t>
  </si>
  <si>
    <t>前10大內部股東</t>
  </si>
  <si>
    <t>FIELD</t>
  </si>
  <si>
    <t>BDS:CIE_DES</t>
  </si>
  <si>
    <t>CIE_DES_BULK</t>
  </si>
  <si>
    <t>CIE_DES_BULK_JAPANESE</t>
  </si>
  <si>
    <t>CIE_DES_BULK_KOREAN</t>
  </si>
  <si>
    <t>CIE_DES_BULK_CHINESE_SIMPLIFIED</t>
  </si>
  <si>
    <t>CIE_DES_BULK_CHINESE_TRADITIONAL</t>
  </si>
  <si>
    <t>BDS:CIE_DES_BULK</t>
  </si>
  <si>
    <t>BDP:NAME</t>
  </si>
  <si>
    <t>NAME_KANJI</t>
  </si>
  <si>
    <t>NAME_KOREAN</t>
  </si>
  <si>
    <t>NAME_CHINESE_SIMPLIFIED</t>
  </si>
  <si>
    <t>NAME_CHINESE_TRADITIONAL</t>
  </si>
  <si>
    <t>Volume</t>
  </si>
  <si>
    <t>出来高</t>
  </si>
  <si>
    <t>거래량</t>
  </si>
  <si>
    <t>成交量</t>
  </si>
  <si>
    <t>Investor Relations Report</t>
  </si>
  <si>
    <t>株主・投資家レポート</t>
  </si>
  <si>
    <t>IR 보고서</t>
  </si>
  <si>
    <t>投资者关系报告</t>
  </si>
  <si>
    <t>投資者關係報告</t>
  </si>
  <si>
    <t>Buy</t>
  </si>
  <si>
    <t>買い</t>
  </si>
  <si>
    <t>매수</t>
  </si>
  <si>
    <t>买进</t>
  </si>
  <si>
    <r>
      <t>買</t>
    </r>
    <r>
      <rPr>
        <sz val="11"/>
        <color rgb="FF000000"/>
        <rFont val="MingLiU"/>
        <family val="3"/>
      </rPr>
      <t>進</t>
    </r>
  </si>
  <si>
    <t>Hold</t>
  </si>
  <si>
    <t>ホールド</t>
  </si>
  <si>
    <t>보유</t>
  </si>
  <si>
    <t>持有</t>
  </si>
  <si>
    <t>Sell</t>
  </si>
  <si>
    <t>売り</t>
  </si>
  <si>
    <t>매도</t>
  </si>
  <si>
    <t>卖出</t>
  </si>
  <si>
    <t>賣出</t>
  </si>
  <si>
    <t>Price</t>
  </si>
  <si>
    <t>株価</t>
  </si>
  <si>
    <t>가격</t>
  </si>
  <si>
    <t>现价</t>
  </si>
  <si>
    <t>現價</t>
  </si>
  <si>
    <t>Guidance</t>
  </si>
  <si>
    <t>企業予想</t>
  </si>
  <si>
    <t>전망</t>
  </si>
  <si>
    <t>公司预测</t>
  </si>
  <si>
    <t>公司預測</t>
  </si>
  <si>
    <t>Actual</t>
  </si>
  <si>
    <t>실제</t>
  </si>
  <si>
    <t>实际</t>
  </si>
  <si>
    <t>實際</t>
  </si>
  <si>
    <t>Customize Indices</t>
  </si>
  <si>
    <t>カスタムインデックス</t>
  </si>
  <si>
    <t>인덱스 수정</t>
  </si>
  <si>
    <t>自定义指数</t>
  </si>
  <si>
    <t>自訂指數</t>
  </si>
  <si>
    <t>Hide/GoBack</t>
  </si>
  <si>
    <t>非表示/戻る</t>
  </si>
  <si>
    <t>숨기기 / 뒤로가기</t>
  </si>
  <si>
    <t>隐藏/返回</t>
  </si>
  <si>
    <r>
      <t>隱藏</t>
    </r>
    <r>
      <rPr>
        <sz val="11"/>
        <color rgb="FF000000"/>
        <rFont val="宋体"/>
        <family val="2"/>
        <scheme val="minor"/>
      </rPr>
      <t>/</t>
    </r>
    <r>
      <rPr>
        <sz val="11"/>
        <color rgb="FF000000"/>
        <rFont val="MingLiU"/>
        <family val="3"/>
      </rPr>
      <t>返回</t>
    </r>
  </si>
  <si>
    <t>GoBack</t>
  </si>
  <si>
    <t>뒤로가기</t>
  </si>
  <si>
    <t>返回</t>
  </si>
  <si>
    <t>Enter Index code</t>
  </si>
  <si>
    <t>インデックスコードの入力</t>
  </si>
  <si>
    <t>인덱스 코드 입력</t>
  </si>
  <si>
    <t>输入指数代码</t>
  </si>
  <si>
    <t>輸入指數代碼</t>
  </si>
  <si>
    <t>BBG Indices</t>
  </si>
  <si>
    <t>BBGの設定を使用</t>
  </si>
  <si>
    <t>BBG 인덱스</t>
  </si>
  <si>
    <t>使用彭博设定</t>
  </si>
  <si>
    <t>使用彭博設定</t>
  </si>
  <si>
    <t>Average</t>
  </si>
  <si>
    <t>平均</t>
  </si>
  <si>
    <t>평균</t>
  </si>
  <si>
    <t>Customize Columns</t>
  </si>
  <si>
    <t>項目をカスタマイズ</t>
  </si>
  <si>
    <t>컬럼 수정</t>
  </si>
  <si>
    <t>自定义列</t>
  </si>
  <si>
    <t>自定義列</t>
  </si>
  <si>
    <t>Customize Peers</t>
  </si>
  <si>
    <t>同業グループのカスタマイズ</t>
  </si>
  <si>
    <t>동종업 수정</t>
  </si>
  <si>
    <t>自定义行业公司</t>
  </si>
  <si>
    <t>自定義行業公司</t>
  </si>
  <si>
    <t>Mkt Cap</t>
  </si>
  <si>
    <t>Price/Cash Flow</t>
  </si>
  <si>
    <t>株価キャッシュフロー倍率</t>
  </si>
  <si>
    <t>市现率</t>
  </si>
  <si>
    <t>EV/Sales</t>
  </si>
  <si>
    <t>EV/売上高</t>
  </si>
  <si>
    <t>企业价值/销售额</t>
  </si>
  <si>
    <t>BPS</t>
  </si>
  <si>
    <t>BPS (1株当たり純資産)</t>
  </si>
  <si>
    <t>每股账面价值</t>
  </si>
  <si>
    <t>OVR:SECURITY_NAME</t>
  </si>
  <si>
    <t>SECURITY_NAME_LANG=1</t>
  </si>
  <si>
    <t>SECURITY_NAME_LANG=2</t>
  </si>
  <si>
    <t>SECURITY_NAME_LANG=9</t>
  </si>
  <si>
    <t>SECURITY_NAME_LANG=10</t>
  </si>
  <si>
    <t>SECURITY_NAME_LANG=8</t>
  </si>
  <si>
    <t>SECURITY_NAME_LANG=3</t>
  </si>
  <si>
    <t>SECURITY_NAME_LANG=4</t>
  </si>
  <si>
    <t>SECURITY_NAME_LANG=5</t>
  </si>
  <si>
    <t>SECURITY_NAME_LANG=6</t>
  </si>
  <si>
    <t>SECURITY_NAME_LANG=7</t>
  </si>
  <si>
    <t>Enter Ticker code</t>
  </si>
  <si>
    <t>ティッカーコードを入力</t>
  </si>
  <si>
    <t>티커 입력</t>
  </si>
  <si>
    <t>输入代码</t>
  </si>
  <si>
    <t>輸入代碼</t>
  </si>
  <si>
    <t>동종업 회사</t>
  </si>
  <si>
    <t>彭博-行业公司</t>
  </si>
  <si>
    <t>彭博-行業公司</t>
  </si>
  <si>
    <t>BEst_EPS (Adjusted)</t>
  </si>
  <si>
    <t>EPS (Adjusted)</t>
  </si>
  <si>
    <t>予想EPS (調整値) - ブルームバーグ予想</t>
  </si>
  <si>
    <t>Best 주당순이익 (Adjusted)</t>
  </si>
  <si>
    <t>BEst 经纪人预测调整每股收益</t>
  </si>
  <si>
    <t>BEst 經紀人預測調整每股收益</t>
  </si>
  <si>
    <t>BEst_EPS (GAAP)</t>
  </si>
  <si>
    <t>EPS (GAAP)</t>
  </si>
  <si>
    <t>予想EPS (GAAP) - ブルームバーグ予想</t>
  </si>
  <si>
    <t>Best 주당순이익 (GAAP)</t>
  </si>
  <si>
    <t>BEst 经纪人预测GAAP每股收益</t>
  </si>
  <si>
    <t>BEst 經紀人預測GAAP每股收益</t>
  </si>
  <si>
    <t>BEst_Sales</t>
  </si>
  <si>
    <t>予想売上高 - ブルームバーグ予想</t>
  </si>
  <si>
    <t>Best 매출</t>
  </si>
  <si>
    <t>BEst 经纪人预测营收</t>
  </si>
  <si>
    <t>BEst 經紀人預測營收</t>
  </si>
  <si>
    <t>BEst_Operating Income</t>
  </si>
  <si>
    <t>Operating Income</t>
  </si>
  <si>
    <t>予想営業利益 - ブルームバーグ予想</t>
  </si>
  <si>
    <t>Best 영업이익</t>
  </si>
  <si>
    <t>BEst 经纪人预测营业利润</t>
  </si>
  <si>
    <t>BEst 經紀人預測營業利潤</t>
  </si>
  <si>
    <t>BEst_EBITDA</t>
  </si>
  <si>
    <t>予想EBITDA - ブルームバーグ予想</t>
  </si>
  <si>
    <t>BEst 经纪人预测息税折摊前利润</t>
  </si>
  <si>
    <t>BEst 經紀人預測息稅折攤前利潤</t>
  </si>
  <si>
    <t>BEst_EBIT</t>
  </si>
  <si>
    <t>予想EBIT - ブルームバーグ予想</t>
  </si>
  <si>
    <t>BEst 经纪人预测息税前利润</t>
  </si>
  <si>
    <t>BEst 經紀人預測息稅前利潤</t>
  </si>
  <si>
    <t>BEst_CAPEX</t>
  </si>
  <si>
    <t>CAPEX</t>
  </si>
  <si>
    <t>予想CAPEX - ブルームバーグ予想</t>
  </si>
  <si>
    <t>Best 자본지출</t>
  </si>
  <si>
    <t>BEst CAPEX经纪人预测</t>
  </si>
  <si>
    <t>BEst CAPEX經紀人預測</t>
  </si>
  <si>
    <t>BEst_Pretax Income</t>
  </si>
  <si>
    <t>Pretax Income</t>
  </si>
  <si>
    <t>予想税引前利益 - ブルームバーグ予想</t>
  </si>
  <si>
    <t>Best 세전수익</t>
  </si>
  <si>
    <t>BEst 税前利润经纪人预测</t>
  </si>
  <si>
    <t>BEst 稅前利潤經紀人預測</t>
  </si>
  <si>
    <t>BEst_Net Income (Adjusted)</t>
  </si>
  <si>
    <t>Net Income (Adjusted)</t>
  </si>
  <si>
    <t>予想純利益 (調整値) - ブルームバーグ予想</t>
  </si>
  <si>
    <t>Best 당기순이익 (Adjusted)</t>
  </si>
  <si>
    <t>BEst 经纪人预测净利润</t>
  </si>
  <si>
    <t>BEst 經紀人預測淨利潤</t>
  </si>
  <si>
    <t>BEst_Net Income (GAAP)</t>
  </si>
  <si>
    <t>Net Income (GAAP)</t>
  </si>
  <si>
    <t>予想純利益 (GAAP) - ブルームバーグ予想</t>
  </si>
  <si>
    <t>Best 당기순이익 (GAAP)</t>
  </si>
  <si>
    <t>BEst 经纪人预测GAAP净利润</t>
  </si>
  <si>
    <t>BEst 經紀人預測GAAP淨利潤</t>
  </si>
  <si>
    <t>BEst_Cash Flow Per Share</t>
  </si>
  <si>
    <t>Cash Flow Per Share</t>
  </si>
  <si>
    <t>予想1株当りキャッシュフロー - ブルームバーグ予想</t>
  </si>
  <si>
    <t>BEst 经纪人预测每股现金流量</t>
  </si>
  <si>
    <t>BEst 經紀人預測每股現金流量</t>
  </si>
  <si>
    <t>BEst_Dividends Per Share</t>
  </si>
  <si>
    <t>Dividends Per Share</t>
  </si>
  <si>
    <t>予想1株当り配当 - ブルームバーグ予想</t>
  </si>
  <si>
    <t>BEst 经纪人预测每股股利</t>
  </si>
  <si>
    <t>BEst 經紀人預測每股股利</t>
  </si>
  <si>
    <t>BEst_Book Value per Share</t>
  </si>
  <si>
    <t>Book Value per Share</t>
  </si>
  <si>
    <t>予想1株当り簿価 - ブルームバーグ予想</t>
  </si>
  <si>
    <t>Best 주당순자산</t>
  </si>
  <si>
    <t>BEst 经纪人预测每股账面价值</t>
  </si>
  <si>
    <t>BEst 經紀人預測每股賬面價值</t>
  </si>
  <si>
    <t>BEst_Return on Equity</t>
  </si>
  <si>
    <t>Return on Equity</t>
  </si>
  <si>
    <t>予想自己資本利益率(ROE) - ブルームバーグ予想</t>
  </si>
  <si>
    <t>Best 보통주자본이익률</t>
  </si>
  <si>
    <t>BEst 经纪人预测净资产收益率</t>
  </si>
  <si>
    <t>BEst 經紀人預測淨資產收益率</t>
  </si>
  <si>
    <t>BEst_Return on Assets</t>
  </si>
  <si>
    <t>Return on Assets</t>
  </si>
  <si>
    <t>予想総資産利益率(ROA) - ブルームバーグ予想</t>
  </si>
  <si>
    <t>Best 총자산이익률</t>
  </si>
  <si>
    <t>BEst 经纪人预测资产收益率</t>
  </si>
  <si>
    <t>BEst 經紀人預測資產收益率</t>
  </si>
  <si>
    <t>BEst_Net Debt</t>
  </si>
  <si>
    <t>Net Debt</t>
  </si>
  <si>
    <t>予想純債務 - ブルームバーグ予想</t>
  </si>
  <si>
    <t>Best 순부채</t>
  </si>
  <si>
    <t>BEst 经纪人预测净债务</t>
  </si>
  <si>
    <t>BEst 經紀人預測淨債務</t>
  </si>
  <si>
    <t>VIRGIN ISLANDS</t>
  </si>
  <si>
    <t>バージン諸島</t>
  </si>
  <si>
    <t>버진 아일랜드</t>
  </si>
  <si>
    <t>维尔京群岛</t>
  </si>
  <si>
    <t>維爾京群島</t>
  </si>
  <si>
    <t>UNITED STATES</t>
  </si>
  <si>
    <t>アメリカ</t>
  </si>
  <si>
    <t>미국</t>
  </si>
  <si>
    <t>美国</t>
  </si>
  <si>
    <t>美國</t>
  </si>
  <si>
    <t>Unknown Country</t>
  </si>
  <si>
    <t>国名不明</t>
  </si>
  <si>
    <t>알수 없음</t>
  </si>
  <si>
    <t>未知的国家</t>
  </si>
  <si>
    <t>未知的國家</t>
  </si>
  <si>
    <t>LUXEMBOURG</t>
  </si>
  <si>
    <t>ルクセンブルク</t>
  </si>
  <si>
    <t>룩셈부르크</t>
  </si>
  <si>
    <t>卢森堡</t>
  </si>
  <si>
    <t>盧森堡</t>
  </si>
  <si>
    <t>HONG KONG</t>
  </si>
  <si>
    <t>香港</t>
  </si>
  <si>
    <t>홍콩</t>
  </si>
  <si>
    <t>BRITAIN</t>
  </si>
  <si>
    <t>英国</t>
  </si>
  <si>
    <t>영국</t>
  </si>
  <si>
    <t>英國</t>
  </si>
  <si>
    <t>IRELAND</t>
  </si>
  <si>
    <t>アイルランド</t>
  </si>
  <si>
    <t>아일랜드</t>
  </si>
  <si>
    <t>爱尔兰</t>
  </si>
  <si>
    <t>愛爾蘭</t>
  </si>
  <si>
    <t>NORWAY</t>
  </si>
  <si>
    <t>ノルウェー</t>
  </si>
  <si>
    <t>노르웨이</t>
  </si>
  <si>
    <t>挪威</t>
  </si>
  <si>
    <t>CANADA</t>
  </si>
  <si>
    <t>カナダ</t>
  </si>
  <si>
    <t>캐나다</t>
  </si>
  <si>
    <t>加拿大</t>
  </si>
  <si>
    <t>SWEDEN</t>
  </si>
  <si>
    <t>スウェーデン</t>
  </si>
  <si>
    <t>스웨덴</t>
  </si>
  <si>
    <t>瑞典</t>
  </si>
  <si>
    <t>CHINA</t>
  </si>
  <si>
    <t>中国</t>
  </si>
  <si>
    <t>중국</t>
  </si>
  <si>
    <t>中國</t>
  </si>
  <si>
    <t>FRANCE</t>
  </si>
  <si>
    <t>フランス</t>
  </si>
  <si>
    <t>프랑스</t>
  </si>
  <si>
    <t>法国</t>
  </si>
  <si>
    <t>法國</t>
  </si>
  <si>
    <t>SWITZERLAND</t>
  </si>
  <si>
    <t>スイス</t>
  </si>
  <si>
    <t>스위스</t>
  </si>
  <si>
    <t>瑞士</t>
  </si>
  <si>
    <t>SOUTH KOREA</t>
  </si>
  <si>
    <t>韓国</t>
  </si>
  <si>
    <t>대한민국</t>
  </si>
  <si>
    <t>韩国</t>
  </si>
  <si>
    <t>韓國</t>
  </si>
  <si>
    <t>GUERNSEY</t>
  </si>
  <si>
    <t>ガーンジー島</t>
  </si>
  <si>
    <t>건지</t>
  </si>
  <si>
    <t>格恩西行政区</t>
  </si>
  <si>
    <t>格恩西行政區</t>
  </si>
  <si>
    <t>JAPAN</t>
  </si>
  <si>
    <t>日本</t>
  </si>
  <si>
    <t>일본</t>
  </si>
  <si>
    <t>TAIWAN</t>
  </si>
  <si>
    <t>台湾</t>
  </si>
  <si>
    <t>대만</t>
  </si>
  <si>
    <t>臺灣</t>
  </si>
  <si>
    <t>SINGAPORE</t>
  </si>
  <si>
    <t>シンガポール</t>
  </si>
  <si>
    <t>싱가포르</t>
  </si>
  <si>
    <t>新加坡</t>
  </si>
  <si>
    <t>DENMARK</t>
  </si>
  <si>
    <t>デンマーク</t>
  </si>
  <si>
    <t>덴마크</t>
  </si>
  <si>
    <t>丹麦</t>
  </si>
  <si>
    <t>丹麥</t>
  </si>
  <si>
    <t>FINLAND</t>
  </si>
  <si>
    <t>フィンランド</t>
  </si>
  <si>
    <t>핀란드</t>
  </si>
  <si>
    <t>芬兰</t>
  </si>
  <si>
    <t>芬蘭</t>
  </si>
  <si>
    <t>GERMANY</t>
  </si>
  <si>
    <t>ドイツ</t>
  </si>
  <si>
    <t>독일</t>
  </si>
  <si>
    <t>德国</t>
  </si>
  <si>
    <t>德國</t>
  </si>
  <si>
    <t>NETHERLANDS</t>
  </si>
  <si>
    <t>オランダ</t>
  </si>
  <si>
    <t>네덜란드</t>
  </si>
  <si>
    <t>荷兰</t>
  </si>
  <si>
    <t>荷蘭</t>
  </si>
  <si>
    <t>BELGIUM</t>
  </si>
  <si>
    <t>ベルギー</t>
  </si>
  <si>
    <t>벨기에</t>
  </si>
  <si>
    <t>比利时</t>
  </si>
  <si>
    <t>比利時</t>
  </si>
  <si>
    <t>AUSTRALIA</t>
  </si>
  <si>
    <t>オーストラリア</t>
  </si>
  <si>
    <t>호주</t>
  </si>
  <si>
    <t>澳大利亚</t>
  </si>
  <si>
    <t>澳大利亞</t>
  </si>
  <si>
    <t>MALAYSIA</t>
  </si>
  <si>
    <t>マレーシア</t>
  </si>
  <si>
    <t>말레이시아</t>
  </si>
  <si>
    <t>马来西亚</t>
  </si>
  <si>
    <t>馬來西亞</t>
  </si>
  <si>
    <t>ITALY</t>
  </si>
  <si>
    <t>イタリア</t>
  </si>
  <si>
    <t>이탈리아</t>
  </si>
  <si>
    <t>意大利</t>
  </si>
  <si>
    <t>義大利</t>
  </si>
  <si>
    <t>AUSTRIA</t>
  </si>
  <si>
    <t>オーストリア</t>
  </si>
  <si>
    <t>오스트리아</t>
  </si>
  <si>
    <t>奥地利</t>
  </si>
  <si>
    <t>奧地利</t>
  </si>
  <si>
    <t>SPAIN</t>
  </si>
  <si>
    <t>スペイン</t>
  </si>
  <si>
    <t>스페인</t>
  </si>
  <si>
    <t>西班牙</t>
  </si>
  <si>
    <t>SLOVENIA</t>
  </si>
  <si>
    <t>スロベニア</t>
  </si>
  <si>
    <t>슬로베니아</t>
  </si>
  <si>
    <t>斯洛文尼亚</t>
  </si>
  <si>
    <t>斯洛維尼亞</t>
  </si>
  <si>
    <t>LIECHTENSTEIN</t>
  </si>
  <si>
    <t>リヒテンシュタイン</t>
  </si>
  <si>
    <t>리히텐슈타인</t>
  </si>
  <si>
    <t>列支敦士登</t>
  </si>
  <si>
    <t>ISRAEL</t>
  </si>
  <si>
    <t>イスラエル</t>
  </si>
  <si>
    <t>이스라엘</t>
  </si>
  <si>
    <t>以色列</t>
  </si>
  <si>
    <t>POLAND</t>
  </si>
  <si>
    <t>ポーランド</t>
  </si>
  <si>
    <t>폴란드</t>
  </si>
  <si>
    <t>波兰</t>
  </si>
  <si>
    <t>波蘭</t>
  </si>
  <si>
    <t>JERSEY</t>
  </si>
  <si>
    <t>ジャージー島</t>
  </si>
  <si>
    <t>저지</t>
  </si>
  <si>
    <t>泽西行政区</t>
  </si>
  <si>
    <t>澤西行政區</t>
  </si>
  <si>
    <t>PORTUGAL</t>
  </si>
  <si>
    <t>ポルトガル</t>
  </si>
  <si>
    <t>포르투갈</t>
  </si>
  <si>
    <t>葡萄牙</t>
  </si>
  <si>
    <t>INDIA</t>
  </si>
  <si>
    <t>インド</t>
  </si>
  <si>
    <t>인도</t>
  </si>
  <si>
    <t>印度</t>
  </si>
  <si>
    <t>CHILE</t>
  </si>
  <si>
    <t>チリ</t>
  </si>
  <si>
    <t>칠레</t>
  </si>
  <si>
    <t>智利</t>
  </si>
  <si>
    <t>SOUTH AFRICA</t>
  </si>
  <si>
    <t>南アフリカ</t>
  </si>
  <si>
    <t>남아프리카</t>
  </si>
  <si>
    <t>南非</t>
  </si>
  <si>
    <t>CROATIA</t>
  </si>
  <si>
    <t>クロアチア</t>
  </si>
  <si>
    <t>크로아티아</t>
  </si>
  <si>
    <t>克罗地亚</t>
  </si>
  <si>
    <t>克羅埃西亞</t>
  </si>
  <si>
    <t>ISLE OF MAN</t>
  </si>
  <si>
    <t>マン島</t>
  </si>
  <si>
    <t>남자의 섬</t>
  </si>
  <si>
    <t>曼岛</t>
  </si>
  <si>
    <t>曼島</t>
  </si>
  <si>
    <t>GREECE</t>
  </si>
  <si>
    <t>ギリシャ</t>
  </si>
  <si>
    <t>그리스</t>
  </si>
  <si>
    <t>希腊</t>
  </si>
  <si>
    <t>希臘</t>
  </si>
  <si>
    <t>RUSSIA</t>
  </si>
  <si>
    <t>ロシア</t>
  </si>
  <si>
    <t>러시아 제국</t>
  </si>
  <si>
    <t>俄罗斯</t>
  </si>
  <si>
    <t>俄羅斯</t>
  </si>
  <si>
    <t>TURKEY</t>
  </si>
  <si>
    <t>トルコ</t>
  </si>
  <si>
    <t>터키</t>
  </si>
  <si>
    <t>土耳其</t>
  </si>
  <si>
    <t>THAILAND</t>
  </si>
  <si>
    <t>タイ</t>
  </si>
  <si>
    <t>태국</t>
  </si>
  <si>
    <t>泰国</t>
  </si>
  <si>
    <t>泰國</t>
  </si>
  <si>
    <t>OthersCountry</t>
  </si>
  <si>
    <t>その他の国</t>
  </si>
  <si>
    <t>기타국가</t>
  </si>
  <si>
    <t>其他国家</t>
  </si>
  <si>
    <t>其他國家</t>
  </si>
  <si>
    <t>Holding Company</t>
  </si>
  <si>
    <t>持株会社</t>
  </si>
  <si>
    <t>지주 회사</t>
  </si>
  <si>
    <t>控股公司</t>
  </si>
  <si>
    <t>Investment Advisor</t>
  </si>
  <si>
    <t>投資アドバイザー</t>
  </si>
  <si>
    <t>투자 고문</t>
  </si>
  <si>
    <t>投资顾问</t>
  </si>
  <si>
    <t>投資顧問</t>
  </si>
  <si>
    <t>個人</t>
  </si>
  <si>
    <t>개인</t>
  </si>
  <si>
    <t>个人</t>
  </si>
  <si>
    <t>Government</t>
  </si>
  <si>
    <t>政府関連</t>
  </si>
  <si>
    <t>정부</t>
  </si>
  <si>
    <t>政府</t>
  </si>
  <si>
    <t>Bank</t>
  </si>
  <si>
    <t>銀行</t>
  </si>
  <si>
    <t>은행</t>
  </si>
  <si>
    <t>银行</t>
  </si>
  <si>
    <t>Pension Fund (ERISA)</t>
  </si>
  <si>
    <t>年金ファンド (ERISA)</t>
  </si>
  <si>
    <t>연금 기금 (ERISA)</t>
  </si>
  <si>
    <t>养老基金（ERISA）</t>
  </si>
  <si>
    <t>養老基金（ERISA）</t>
  </si>
  <si>
    <t>Insurance Company</t>
  </si>
  <si>
    <t>保険会社</t>
  </si>
  <si>
    <t>보험 회사</t>
  </si>
  <si>
    <t>保险公司</t>
  </si>
  <si>
    <t>保險公司</t>
  </si>
  <si>
    <t>Hedge Fund Manager</t>
  </si>
  <si>
    <t>ヘッジファンド・マネジャー</t>
  </si>
  <si>
    <t>헤지펀드 매니저</t>
  </si>
  <si>
    <t>对冲基金经理</t>
  </si>
  <si>
    <t>對沖基金經理</t>
  </si>
  <si>
    <t>Unclassified</t>
  </si>
  <si>
    <t>未分類</t>
  </si>
  <si>
    <t>미분류</t>
  </si>
  <si>
    <t>未分类</t>
  </si>
  <si>
    <t>Venture Capital</t>
  </si>
  <si>
    <t>ベンチャーキャピタル</t>
  </si>
  <si>
    <t>벤처캐피털</t>
  </si>
  <si>
    <t>风险投资</t>
  </si>
  <si>
    <t>風險投資</t>
  </si>
  <si>
    <t>Foundation</t>
  </si>
  <si>
    <t>財団基金</t>
  </si>
  <si>
    <t>재단 기금</t>
  </si>
  <si>
    <t>基金会基金</t>
  </si>
  <si>
    <t>基金會基金</t>
  </si>
  <si>
    <t>Endowment</t>
  </si>
  <si>
    <t>非営利団体</t>
  </si>
  <si>
    <t>기부</t>
  </si>
  <si>
    <t>捐赠基金</t>
  </si>
  <si>
    <t>公益金</t>
  </si>
  <si>
    <t>OtherInstuition</t>
  </si>
  <si>
    <t>その他の機関</t>
  </si>
  <si>
    <t>기타 기관</t>
  </si>
  <si>
    <t>其他机构</t>
  </si>
  <si>
    <t>其他機構</t>
  </si>
  <si>
    <t>Mutual Fund Manager</t>
  </si>
  <si>
    <t>ミューチュアルファンド・マネジャー</t>
  </si>
  <si>
    <t>뮤추얼 펀드 매니저</t>
  </si>
  <si>
    <t>共同基金经理</t>
  </si>
  <si>
    <t>共同基金經理</t>
  </si>
  <si>
    <t>Pub Retirement Fund</t>
  </si>
  <si>
    <t>公益退職年金基金</t>
  </si>
  <si>
    <t>공공 연금 펀드</t>
  </si>
  <si>
    <t>公共退休基金</t>
  </si>
  <si>
    <t>Private Equity</t>
  </si>
  <si>
    <t>プライベート・エクイティー</t>
  </si>
  <si>
    <t>사모펀드</t>
  </si>
  <si>
    <t>私人产权</t>
  </si>
  <si>
    <t>私人產權</t>
  </si>
  <si>
    <t>Corporation</t>
  </si>
  <si>
    <t>事業法人</t>
  </si>
  <si>
    <t>회사</t>
  </si>
  <si>
    <t>公司</t>
  </si>
  <si>
    <t>Ownership Type</t>
  </si>
  <si>
    <t>株主の種類</t>
  </si>
  <si>
    <t>지분소유 형태</t>
  </si>
  <si>
    <t>所有权类型</t>
  </si>
  <si>
    <t>所有權類型</t>
  </si>
  <si>
    <t>Geographic Ownership</t>
  </si>
  <si>
    <t>国別保有率</t>
  </si>
  <si>
    <t>국가별 지분소유</t>
  </si>
  <si>
    <t>地理所有权</t>
  </si>
  <si>
    <t>地理所有權</t>
  </si>
  <si>
    <t>Institutional Ownership</t>
  </si>
  <si>
    <t>機関投資家</t>
  </si>
  <si>
    <t>기관별 지분소유</t>
  </si>
  <si>
    <t>机构所有权</t>
  </si>
  <si>
    <t>機構所有權</t>
  </si>
  <si>
    <t>Source</t>
  </si>
  <si>
    <t>出典</t>
  </si>
  <si>
    <t>출처</t>
  </si>
  <si>
    <t>来源</t>
  </si>
  <si>
    <t>來源</t>
  </si>
  <si>
    <t>Overview</t>
  </si>
  <si>
    <t>概要</t>
  </si>
  <si>
    <t>개요</t>
  </si>
  <si>
    <t>总览</t>
  </si>
  <si>
    <t>概覽</t>
  </si>
  <si>
    <t>Ownership</t>
  </si>
  <si>
    <t>銘柄保有機関</t>
  </si>
  <si>
    <t>소유권</t>
  </si>
  <si>
    <t>所有权</t>
  </si>
  <si>
    <t>所有權</t>
  </si>
  <si>
    <t>Last Week</t>
  </si>
  <si>
    <t>先週</t>
  </si>
  <si>
    <t>지난주</t>
  </si>
  <si>
    <t>上个星期</t>
  </si>
  <si>
    <t>上個星期</t>
  </si>
  <si>
    <t>Last Month</t>
  </si>
  <si>
    <t>先月</t>
  </si>
  <si>
    <t>지난달</t>
  </si>
  <si>
    <t>上个月</t>
  </si>
  <si>
    <t>上個月</t>
  </si>
  <si>
    <t>Last 3 Months</t>
  </si>
  <si>
    <t>過去3ヶ月</t>
  </si>
  <si>
    <t>최근 3 개월</t>
  </si>
  <si>
    <t>最近3个月</t>
  </si>
  <si>
    <t>最近3個月</t>
  </si>
  <si>
    <t>Last 6 Months</t>
  </si>
  <si>
    <t>過去6ヶ月</t>
  </si>
  <si>
    <t>최근 6 개월</t>
  </si>
  <si>
    <t>最近6个月</t>
  </si>
  <si>
    <t>最近6個月</t>
  </si>
  <si>
    <t>Lang | 语言</t>
  </si>
  <si>
    <t>Refresh Data</t>
  </si>
  <si>
    <t>刷新数据</t>
  </si>
  <si>
    <t xml:space="preserve">截至 </t>
  </si>
  <si>
    <t>Volatility:</t>
  </si>
  <si>
    <t>波动率类型:</t>
  </si>
  <si>
    <t>Related functions on the Bloomberg Terminal (see Help for more info)</t>
  </si>
  <si>
    <t>彭博终端相关功能 (更多信息请参见帮助页面)</t>
  </si>
  <si>
    <t>期限:</t>
  </si>
  <si>
    <t>货币对</t>
  </si>
  <si>
    <t>平价隐含波动率.</t>
  </si>
  <si>
    <t>Realized Vol.</t>
  </si>
  <si>
    <t>历史波动率</t>
  </si>
  <si>
    <t>货币1 利率</t>
  </si>
  <si>
    <t>货币2 利率</t>
  </si>
  <si>
    <t>Int.Rate Diff (Abs)</t>
  </si>
  <si>
    <t>利率差 (数值)</t>
  </si>
  <si>
    <t>历史图:</t>
  </si>
  <si>
    <t xml:space="preserve">Int. Rate Differential as of </t>
  </si>
  <si>
    <t>利率差</t>
  </si>
  <si>
    <t xml:space="preserve">Historical Ratio of Int. Rate Differential / </t>
  </si>
  <si>
    <t>历史利率差/</t>
  </si>
  <si>
    <t>曲线ID</t>
  </si>
  <si>
    <t>曲线指数代码</t>
  </si>
  <si>
    <t>曲线名称</t>
  </si>
  <si>
    <t>期限</t>
  </si>
  <si>
    <t>名称</t>
  </si>
  <si>
    <t>曲线代码</t>
  </si>
  <si>
    <t>利率</t>
  </si>
  <si>
    <t>Curve Finder</t>
  </si>
  <si>
    <t>查找曲线</t>
  </si>
  <si>
    <t>Interest Rate Curves Sheet在此列表中查找曲线</t>
  </si>
  <si>
    <t>btnRefresh</t>
  </si>
  <si>
    <t>BUTTON</t>
  </si>
  <si>
    <t>CommandButton21</t>
  </si>
  <si>
    <t>如需加入更多货币，请复制第10至18行，输入货币，请查看并跟新Currency-Curve List</t>
  </si>
  <si>
    <t>Historical Ratio</t>
  </si>
  <si>
    <t>历史比率</t>
  </si>
  <si>
    <t>CNH</t>
  </si>
  <si>
    <t>Standard Tenor Term</t>
  </si>
  <si>
    <t>Is rate 100-yield?</t>
  </si>
  <si>
    <t>IR CCY1 Tickers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</si>
</sst>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28">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u/>
      <sz val="10"/>
      <color indexed="12"/>
      <name val="Arial"/>
      <family val="2"/>
    </font>
    <font>
      <sz val="8"/>
      <name val="Arial"/>
      <family val="2"/>
    </font>
    <font>
      <b/>
      <u/>
      <sz val="10"/>
      <name val="Arial"/>
      <family val="2"/>
    </font>
    <font>
      <b/>
      <sz val="10"/>
      <name val="Arial"/>
      <family val="2"/>
    </font>
    <font>
      <sz val="11"/>
      <color theme="0"/>
      <name val="宋体"/>
      <family val="2"/>
      <scheme val="minor"/>
    </font>
    <font>
      <sz val="11"/>
      <name val="宋体"/>
      <family val="2"/>
      <scheme val="minor"/>
    </font>
    <font>
      <sz val="11"/>
      <color indexed="10"/>
      <name val="宋体"/>
      <family val="2"/>
      <scheme val="minor"/>
    </font>
    <font>
      <b/>
      <sz val="11"/>
      <color rgb="FFFFFFFF"/>
      <name val="宋体"/>
      <family val="2"/>
      <scheme val="minor"/>
    </font>
    <font>
      <sz val="11"/>
      <color rgb="FF000000"/>
      <name val="宋体"/>
      <family val="2"/>
      <scheme val="minor"/>
    </font>
    <font>
      <b/>
      <sz val="11"/>
      <color rgb="FF000000"/>
      <name val="宋体"/>
      <family val="2"/>
      <scheme val="minor"/>
    </font>
    <font>
      <b/>
      <sz val="11"/>
      <color rgb="FF1F497D"/>
      <name val="宋体"/>
      <family val="2"/>
      <scheme val="minor"/>
    </font>
    <font>
      <b/>
      <sz val="10"/>
      <color rgb="FF1F497D"/>
      <name val="Arial"/>
      <family val="2"/>
    </font>
    <font>
      <b/>
      <i/>
      <sz val="8"/>
      <color theme="0" tint="-0.499984740745262"/>
      <name val="宋体"/>
      <family val="2"/>
      <scheme val="minor"/>
    </font>
    <font>
      <b/>
      <sz val="10"/>
      <color rgb="FFFFFFFF"/>
      <name val="Arial"/>
      <family val="2"/>
    </font>
    <font>
      <b/>
      <i/>
      <sz val="8"/>
      <color theme="0" tint="-0.499984740745262"/>
      <name val="Arial"/>
      <family val="2"/>
    </font>
    <font>
      <b/>
      <sz val="11"/>
      <name val="宋体"/>
      <family val="2"/>
      <scheme val="minor"/>
    </font>
    <font>
      <b/>
      <sz val="10"/>
      <color rgb="FF000000"/>
      <name val="Arial"/>
      <family val="2"/>
    </font>
    <font>
      <sz val="10"/>
      <color rgb="FF000000"/>
      <name val="Arial"/>
      <family val="2"/>
    </font>
    <font>
      <sz val="11"/>
      <color rgb="FF000000"/>
      <name val="PMingLiU"/>
      <family val="1"/>
    </font>
    <font>
      <sz val="11"/>
      <color rgb="FF000000"/>
      <name val="MingLiU"/>
      <family val="3"/>
    </font>
    <font>
      <sz val="11"/>
      <color rgb="FF000000"/>
      <name val="SimSun"/>
      <charset val="134"/>
    </font>
    <font>
      <sz val="9"/>
      <name val="宋体"/>
      <family val="3"/>
      <charset val="134"/>
    </font>
  </fonts>
  <fills count="18">
    <fill>
      <patternFill patternType="none"/>
    </fill>
    <fill>
      <patternFill patternType="gray125"/>
    </fill>
    <fill>
      <gradientFill>
        <stop position="0">
          <color rgb="FF1F497D"/>
        </stop>
        <stop position="0.5">
          <color rgb="FF4F81BD"/>
        </stop>
        <stop position="1">
          <color rgb="FF1F497D"/>
        </stop>
      </gradientFill>
    </fill>
    <fill>
      <gradientFill>
        <stop position="0">
          <color rgb="FF8DB4E2"/>
        </stop>
        <stop position="0.5">
          <color rgb="FFC5D9F1"/>
        </stop>
        <stop position="1">
          <color rgb="FF8DB4E2"/>
        </stop>
      </gradientFill>
    </fill>
    <fill>
      <gradientFill>
        <stop position="0">
          <color rgb="FFB8CCE4"/>
        </stop>
        <stop position="0.5">
          <color rgb="FFDCE6F1"/>
        </stop>
        <stop position="1">
          <color rgb="FFB8CCE4"/>
        </stop>
      </gradientFill>
    </fill>
    <fill>
      <gradientFill>
        <stop position="0">
          <color theme="9" tint="0.40000610370189521"/>
        </stop>
        <stop position="0.5">
          <color theme="9" tint="0.59999389629810485"/>
        </stop>
        <stop position="1">
          <color theme="9" tint="0.40000610370189521"/>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stop position="0">
          <color theme="4" tint="0.59999389629810485"/>
        </stop>
        <stop position="1">
          <color theme="0"/>
        </stop>
      </gradientFill>
    </fill>
    <fill>
      <gradientFill>
        <stop position="0">
          <color theme="0"/>
        </stop>
        <stop position="1">
          <color theme="4" tint="0.59999389629810485"/>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patternFill patternType="solid">
        <fgColor theme="4" tint="0.79998168889431442"/>
        <bgColor indexed="62"/>
      </patternFill>
    </fill>
    <fill>
      <patternFill patternType="solid">
        <fgColor theme="0"/>
        <bgColor indexed="64"/>
      </patternFill>
    </fill>
  </fills>
  <borders count="85">
    <border>
      <left/>
      <right/>
      <top/>
      <bottom/>
      <diagonal/>
    </border>
    <border>
      <left/>
      <right/>
      <top style="thin">
        <color indexed="23"/>
      </top>
      <bottom style="thin">
        <color indexed="23"/>
      </bottom>
      <diagonal/>
    </border>
    <border>
      <left/>
      <right/>
      <top/>
      <bottom style="thin">
        <color indexed="23"/>
      </bottom>
      <diagonal/>
    </border>
    <border>
      <left style="thin">
        <color indexed="64"/>
      </left>
      <right style="thin">
        <color indexed="64"/>
      </right>
      <top style="thin">
        <color indexed="64"/>
      </top>
      <bottom style="thin">
        <color indexed="64"/>
      </bottom>
      <diagonal/>
    </border>
    <border>
      <left/>
      <right/>
      <top style="thin">
        <color indexed="23"/>
      </top>
      <bottom/>
      <diagonal/>
    </border>
    <border>
      <left style="thin">
        <color indexed="9"/>
      </left>
      <right style="thin">
        <color indexed="9"/>
      </right>
      <top style="thin">
        <color indexed="9"/>
      </top>
      <bottom style="thin">
        <color indexed="9"/>
      </bottom>
      <diagonal/>
    </border>
    <border>
      <left style="thin">
        <color indexed="8"/>
      </left>
      <right style="thin">
        <color indexed="9"/>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8"/>
      </left>
      <right style="thin">
        <color indexed="9"/>
      </right>
      <top style="thin">
        <color indexed="9"/>
      </top>
      <bottom style="thin">
        <color indexed="8"/>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9"/>
      </top>
      <bottom style="thin">
        <color indexed="8"/>
      </bottom>
      <diagonal/>
    </border>
    <border>
      <left style="thin">
        <color indexed="8"/>
      </left>
      <right/>
      <top style="thin">
        <color indexed="8"/>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9"/>
      </right>
      <top style="thin">
        <color indexed="8"/>
      </top>
      <bottom/>
      <diagonal/>
    </border>
    <border>
      <left style="thin">
        <color indexed="9"/>
      </left>
      <right style="thin">
        <color indexed="9"/>
      </right>
      <top style="thin">
        <color indexed="8"/>
      </top>
      <bottom/>
      <diagonal/>
    </border>
    <border>
      <left/>
      <right/>
      <top/>
      <bottom style="thin">
        <color indexed="9"/>
      </bottom>
      <diagonal/>
    </border>
    <border>
      <left/>
      <right style="thin">
        <color indexed="9"/>
      </right>
      <top/>
      <bottom/>
      <diagonal/>
    </border>
    <border>
      <left style="thin">
        <color indexed="64"/>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64"/>
      </left>
      <right/>
      <top style="thin">
        <color indexed="64"/>
      </top>
      <bottom/>
      <diagonal/>
    </border>
    <border>
      <left style="thin">
        <color indexed="8"/>
      </left>
      <right style="thin">
        <color indexed="9"/>
      </right>
      <top/>
      <bottom/>
      <diagonal/>
    </border>
    <border>
      <left style="thin">
        <color indexed="9"/>
      </left>
      <right style="thin">
        <color indexed="9"/>
      </right>
      <top/>
      <bottom/>
      <diagonal/>
    </border>
    <border>
      <left style="thin">
        <color indexed="8"/>
      </left>
      <right style="thin">
        <color indexed="9"/>
      </right>
      <top style="thin">
        <color indexed="8"/>
      </top>
      <bottom style="thin">
        <color indexed="64"/>
      </bottom>
      <diagonal/>
    </border>
    <border>
      <left style="thin">
        <color indexed="9"/>
      </left>
      <right style="thin">
        <color indexed="8"/>
      </right>
      <top style="thin">
        <color indexed="8"/>
      </top>
      <bottom style="thin">
        <color indexed="64"/>
      </bottom>
      <diagonal/>
    </border>
    <border>
      <left style="thin">
        <color indexed="8"/>
      </left>
      <right/>
      <top style="thin">
        <color indexed="8"/>
      </top>
      <bottom style="thin">
        <color indexed="8"/>
      </bottom>
      <diagonal/>
    </border>
    <border>
      <left/>
      <right style="thin">
        <color indexed="64"/>
      </right>
      <top style="thin">
        <color indexed="8"/>
      </top>
      <bottom style="thin">
        <color indexed="8"/>
      </bottom>
      <diagonal/>
    </border>
    <border>
      <left/>
      <right style="thin">
        <color indexed="8"/>
      </right>
      <top/>
      <bottom/>
      <diagonal/>
    </border>
    <border>
      <left/>
      <right style="thin">
        <color indexed="9"/>
      </right>
      <top/>
      <bottom style="thin">
        <color indexed="9"/>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9"/>
      </left>
      <right style="thin">
        <color indexed="8"/>
      </right>
      <top style="thin">
        <color indexed="8"/>
      </top>
      <bottom/>
      <diagonal/>
    </border>
    <border>
      <left style="thin">
        <color indexed="9"/>
      </left>
      <right style="thin">
        <color indexed="8"/>
      </right>
      <top/>
      <bottom/>
      <diagonal/>
    </border>
    <border>
      <left style="thin">
        <color indexed="9"/>
      </left>
      <right/>
      <top style="thin">
        <color indexed="8"/>
      </top>
      <bottom style="thin">
        <color indexed="9"/>
      </bottom>
      <diagonal/>
    </border>
    <border>
      <left/>
      <right/>
      <top style="thin">
        <color indexed="8"/>
      </top>
      <bottom style="thin">
        <color indexed="9"/>
      </bottom>
      <diagonal/>
    </border>
    <border>
      <left/>
      <right style="thin">
        <color indexed="8"/>
      </right>
      <top style="thin">
        <color indexed="8"/>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right style="thin">
        <color indexed="8"/>
      </right>
      <top style="thin">
        <color indexed="9"/>
      </top>
      <bottom style="thin">
        <color indexed="9"/>
      </bottom>
      <diagonal/>
    </border>
    <border>
      <left style="thin">
        <color indexed="8"/>
      </left>
      <right/>
      <top style="thin">
        <color indexed="9"/>
      </top>
      <bottom style="thin">
        <color indexed="9"/>
      </bottom>
      <diagonal/>
    </border>
    <border>
      <left/>
      <right style="thin">
        <color indexed="9"/>
      </right>
      <top style="thin">
        <color indexed="9"/>
      </top>
      <bottom style="thin">
        <color indexed="9"/>
      </bottom>
      <diagonal/>
    </border>
    <border>
      <left style="thin">
        <color indexed="8"/>
      </left>
      <right/>
      <top style="thin">
        <color indexed="9"/>
      </top>
      <bottom style="thin">
        <color indexed="64"/>
      </bottom>
      <diagonal/>
    </border>
    <border>
      <left style="thin">
        <color indexed="8"/>
      </left>
      <right/>
      <top style="thin">
        <color indexed="8"/>
      </top>
      <bottom style="thin">
        <color indexed="9"/>
      </bottom>
      <diagonal/>
    </border>
    <border>
      <left/>
      <right style="thin">
        <color indexed="9"/>
      </right>
      <top style="thin">
        <color indexed="8"/>
      </top>
      <bottom style="thin">
        <color indexed="9"/>
      </bottom>
      <diagonal/>
    </border>
    <border>
      <left style="thin">
        <color indexed="9"/>
      </left>
      <right/>
      <top/>
      <bottom style="thin">
        <color indexed="9"/>
      </bottom>
      <diagonal/>
    </border>
    <border>
      <left/>
      <right style="thin">
        <color indexed="8"/>
      </right>
      <top/>
      <bottom style="thin">
        <color indexed="9"/>
      </bottom>
      <diagonal/>
    </border>
    <border>
      <left style="thin">
        <color theme="0"/>
      </left>
      <right style="thin">
        <color indexed="9"/>
      </right>
      <top style="thin">
        <color indexed="9"/>
      </top>
      <bottom style="thin">
        <color indexed="9"/>
      </bottom>
      <diagonal/>
    </border>
    <border>
      <left style="thin">
        <color theme="0"/>
      </left>
      <right style="thin">
        <color indexed="9"/>
      </right>
      <top style="thin">
        <color indexed="9"/>
      </top>
      <bottom style="thin">
        <color indexed="8"/>
      </bottom>
      <diagonal/>
    </border>
    <border>
      <left/>
      <right/>
      <top/>
      <bottom style="thin">
        <color theme="0"/>
      </bottom>
      <diagonal/>
    </border>
    <border>
      <left style="thin">
        <color indexed="8"/>
      </left>
      <right style="thin">
        <color indexed="9"/>
      </right>
      <top style="thin">
        <color theme="0"/>
      </top>
      <bottom style="thin">
        <color indexed="9"/>
      </bottom>
      <diagonal/>
    </border>
    <border>
      <left style="thin">
        <color indexed="9"/>
      </left>
      <right style="thin">
        <color indexed="9"/>
      </right>
      <top style="thin">
        <color theme="0"/>
      </top>
      <bottom style="thin">
        <color indexed="9"/>
      </bottom>
      <diagonal/>
    </border>
    <border>
      <left style="thin">
        <color indexed="9"/>
      </left>
      <right style="thin">
        <color indexed="8"/>
      </right>
      <top style="thin">
        <color theme="0"/>
      </top>
      <bottom style="thin">
        <color indexed="9"/>
      </bottom>
      <diagonal/>
    </border>
    <border>
      <left/>
      <right/>
      <top style="thin">
        <color theme="0"/>
      </top>
      <bottom/>
      <diagonal/>
    </border>
    <border>
      <left style="thin">
        <color indexed="8"/>
      </left>
      <right style="thin">
        <color indexed="9"/>
      </right>
      <top/>
      <bottom style="thin">
        <color theme="0"/>
      </bottom>
      <diagonal/>
    </border>
    <border>
      <left style="thin">
        <color indexed="9"/>
      </left>
      <right style="thin">
        <color indexed="9"/>
      </right>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indexed="9"/>
      </right>
      <top/>
      <bottom style="thin">
        <color theme="0"/>
      </bottom>
      <diagonal/>
    </border>
    <border>
      <left/>
      <right style="thin">
        <color theme="0"/>
      </right>
      <top/>
      <bottom/>
      <diagonal/>
    </border>
    <border>
      <left/>
      <right style="thin">
        <color theme="0"/>
      </right>
      <top/>
      <bottom style="thin">
        <color theme="0"/>
      </bottom>
      <diagonal/>
    </border>
    <border>
      <left style="thin">
        <color indexed="9"/>
      </left>
      <right style="thin">
        <color indexed="8"/>
      </right>
      <top/>
      <bottom style="thin">
        <color theme="0"/>
      </bottom>
      <diagonal/>
    </border>
    <border>
      <left style="thin">
        <color theme="0"/>
      </left>
      <right/>
      <top style="thin">
        <color indexed="8"/>
      </top>
      <bottom style="thin">
        <color indexed="9"/>
      </bottom>
      <diagonal/>
    </border>
    <border>
      <left style="thin">
        <color theme="0"/>
      </left>
      <right/>
      <top style="thin">
        <color indexed="9"/>
      </top>
      <bottom style="thin">
        <color indexed="9"/>
      </bottom>
      <diagonal/>
    </border>
    <border>
      <left/>
      <right style="thin">
        <color theme="0"/>
      </right>
      <top style="thin">
        <color indexed="9"/>
      </top>
      <bottom style="thin">
        <color indexed="9"/>
      </bottom>
      <diagonal/>
    </border>
    <border>
      <left/>
      <right style="thin">
        <color theme="0"/>
      </right>
      <top style="thin">
        <color indexed="9"/>
      </top>
      <bottom style="thin">
        <color indexed="64"/>
      </bottom>
      <diagonal/>
    </border>
    <border>
      <left/>
      <right style="thin">
        <color theme="0"/>
      </right>
      <top style="thin">
        <color indexed="8"/>
      </top>
      <bottom style="thin">
        <color indexed="9"/>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3"/>
      </left>
      <right/>
      <top/>
      <bottom/>
      <diagonal/>
    </border>
    <border>
      <left style="thin">
        <color indexed="9"/>
      </left>
      <right/>
      <top style="thin">
        <color indexed="9"/>
      </top>
      <bottom style="thin">
        <color indexed="64"/>
      </bottom>
      <diagonal/>
    </border>
    <border>
      <left/>
      <right/>
      <top style="thin">
        <color indexed="9"/>
      </top>
      <bottom style="thin">
        <color indexed="64"/>
      </bottom>
      <diagonal/>
    </border>
    <border>
      <left/>
      <right style="thin">
        <color indexed="8"/>
      </right>
      <top style="thin">
        <color indexed="9"/>
      </top>
      <bottom style="thin">
        <color indexed="64"/>
      </bottom>
      <diagonal/>
    </border>
    <border>
      <left/>
      <right style="thin">
        <color indexed="9"/>
      </right>
      <top style="thin">
        <color indexed="9"/>
      </top>
      <bottom style="thin">
        <color indexed="64"/>
      </bottom>
      <diagonal/>
    </border>
  </borders>
  <cellStyleXfs count="5">
    <xf numFmtId="0" fontId="0" fillId="0" borderId="0"/>
    <xf numFmtId="0" fontId="6" fillId="0" borderId="0" applyNumberFormat="0" applyFill="0" applyBorder="0" applyAlignment="0" applyProtection="0">
      <alignment vertical="top"/>
      <protection locked="0"/>
    </xf>
    <xf numFmtId="0" fontId="5" fillId="0" borderId="0"/>
    <xf numFmtId="0" fontId="4" fillId="0" borderId="0"/>
    <xf numFmtId="0" fontId="4" fillId="0" borderId="0"/>
  </cellStyleXfs>
  <cellXfs count="193">
    <xf numFmtId="0" fontId="0" fillId="0" borderId="0" xfId="0"/>
    <xf numFmtId="0" fontId="0" fillId="0" borderId="0" xfId="0" applyAlignment="1">
      <alignment horizontal="center"/>
    </xf>
    <xf numFmtId="14" fontId="0" fillId="0" borderId="0" xfId="0" applyNumberFormat="1"/>
    <xf numFmtId="0" fontId="0" fillId="0" borderId="0" xfId="0" quotePrefix="1"/>
    <xf numFmtId="0" fontId="11" fillId="0" borderId="0" xfId="0" applyFont="1"/>
    <xf numFmtId="0" fontId="11" fillId="0" borderId="0" xfId="0" applyFont="1" applyAlignment="1">
      <alignment horizontal="left" vertical="center" indent="1"/>
    </xf>
    <xf numFmtId="0" fontId="11" fillId="0" borderId="0" xfId="0" applyFont="1" applyAlignment="1">
      <alignment vertical="center"/>
    </xf>
    <xf numFmtId="0" fontId="11" fillId="0" borderId="0" xfId="0" applyFont="1" applyAlignment="1">
      <alignment horizontal="center"/>
    </xf>
    <xf numFmtId="0" fontId="11" fillId="0" borderId="0" xfId="0" applyFont="1" applyAlignment="1">
      <alignment horizontal="right"/>
    </xf>
    <xf numFmtId="0" fontId="11" fillId="0" borderId="0" xfId="0" quotePrefix="1" applyFont="1"/>
    <xf numFmtId="0" fontId="11" fillId="0" borderId="0" xfId="0" applyFont="1" applyAlignment="1">
      <alignment horizontal="center" vertical="center"/>
    </xf>
    <xf numFmtId="0" fontId="11" fillId="0" borderId="0" xfId="0" applyFont="1" applyAlignment="1">
      <alignment horizontal="center" vertical="center" wrapText="1"/>
    </xf>
    <xf numFmtId="0" fontId="11" fillId="0" borderId="1" xfId="0" applyFont="1" applyBorder="1" applyAlignment="1">
      <alignment horizontal="center" vertical="center" wrapText="1"/>
    </xf>
    <xf numFmtId="176" fontId="11" fillId="0" borderId="0" xfId="0" applyNumberFormat="1" applyFont="1" applyAlignment="1">
      <alignment horizontal="center" vertical="center"/>
    </xf>
    <xf numFmtId="176" fontId="11" fillId="0" borderId="0" xfId="0" applyNumberFormat="1" applyFont="1" applyAlignment="1">
      <alignment horizontal="center"/>
    </xf>
    <xf numFmtId="0" fontId="11" fillId="0" borderId="2" xfId="0" applyFont="1" applyBorder="1" applyAlignment="1">
      <alignment horizontal="center" vertical="center"/>
    </xf>
    <xf numFmtId="0" fontId="12" fillId="0" borderId="0" xfId="0" applyFont="1" applyAlignment="1">
      <alignment horizontal="left" vertical="center" indent="1"/>
    </xf>
    <xf numFmtId="0" fontId="13" fillId="2" borderId="3" xfId="0" applyFont="1" applyFill="1" applyBorder="1" applyAlignment="1">
      <alignment horizontal="center" vertical="center"/>
    </xf>
    <xf numFmtId="0" fontId="11" fillId="0" borderId="4" xfId="0" applyFont="1" applyBorder="1"/>
    <xf numFmtId="176" fontId="14" fillId="3" borderId="5" xfId="0" applyNumberFormat="1" applyFont="1" applyFill="1" applyBorder="1" applyAlignment="1">
      <alignment vertical="top"/>
    </xf>
    <xf numFmtId="176" fontId="14" fillId="4" borderId="5" xfId="0" applyNumberFormat="1" applyFont="1" applyFill="1" applyBorder="1" applyAlignment="1">
      <alignment vertical="top"/>
    </xf>
    <xf numFmtId="2" fontId="14" fillId="3" borderId="6" xfId="0" applyNumberFormat="1" applyFont="1" applyFill="1" applyBorder="1" applyAlignment="1">
      <alignment vertical="top"/>
    </xf>
    <xf numFmtId="176" fontId="14" fillId="3" borderId="7" xfId="0" applyNumberFormat="1" applyFont="1" applyFill="1" applyBorder="1" applyAlignment="1">
      <alignment vertical="top"/>
    </xf>
    <xf numFmtId="2" fontId="14" fillId="4" borderId="6" xfId="0" applyNumberFormat="1" applyFont="1" applyFill="1" applyBorder="1" applyAlignment="1">
      <alignment vertical="top"/>
    </xf>
    <xf numFmtId="176" fontId="14" fillId="4" borderId="7" xfId="0" applyNumberFormat="1" applyFont="1" applyFill="1" applyBorder="1" applyAlignment="1">
      <alignment vertical="top"/>
    </xf>
    <xf numFmtId="2" fontId="14" fillId="3" borderId="8" xfId="0" applyNumberFormat="1" applyFont="1" applyFill="1" applyBorder="1" applyAlignment="1">
      <alignment vertical="top"/>
    </xf>
    <xf numFmtId="176" fontId="14" fillId="3" borderId="9" xfId="0" applyNumberFormat="1" applyFont="1" applyFill="1" applyBorder="1" applyAlignment="1">
      <alignment vertical="top"/>
    </xf>
    <xf numFmtId="176" fontId="14" fillId="3" borderId="10" xfId="0" applyNumberFormat="1" applyFont="1" applyFill="1" applyBorder="1" applyAlignment="1">
      <alignment vertical="top"/>
    </xf>
    <xf numFmtId="0" fontId="13" fillId="2" borderId="11" xfId="0" applyFont="1" applyFill="1" applyBorder="1" applyAlignment="1">
      <alignment horizontal="center"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14" xfId="0" applyFont="1" applyBorder="1"/>
    <xf numFmtId="0" fontId="11" fillId="0" borderId="15" xfId="0" applyFont="1" applyBorder="1"/>
    <xf numFmtId="0" fontId="11" fillId="0" borderId="16" xfId="0" applyFont="1" applyBorder="1"/>
    <xf numFmtId="0" fontId="11" fillId="0" borderId="17" xfId="0" applyFont="1" applyBorder="1"/>
    <xf numFmtId="0" fontId="11" fillId="0" borderId="17" xfId="0" applyFont="1" applyBorder="1" applyAlignment="1">
      <alignment horizontal="center"/>
    </xf>
    <xf numFmtId="0" fontId="11" fillId="0" borderId="17" xfId="0" applyFont="1" applyBorder="1" applyAlignment="1">
      <alignment horizontal="right"/>
    </xf>
    <xf numFmtId="0" fontId="11" fillId="0" borderId="18" xfId="0" applyFont="1" applyBorder="1"/>
    <xf numFmtId="0" fontId="15" fillId="5" borderId="19" xfId="0" applyFont="1" applyFill="1" applyBorder="1" applyAlignment="1">
      <alignment horizontal="center" vertical="top"/>
    </xf>
    <xf numFmtId="0" fontId="15" fillId="5" borderId="20" xfId="0" applyFont="1" applyFill="1" applyBorder="1" applyAlignment="1">
      <alignment horizontal="center" vertical="top"/>
    </xf>
    <xf numFmtId="0" fontId="11" fillId="0" borderId="0" xfId="0" applyFont="1" applyAlignment="1">
      <alignment horizontal="center" wrapText="1"/>
    </xf>
    <xf numFmtId="0" fontId="11" fillId="0" borderId="0" xfId="0" applyFont="1" applyAlignment="1">
      <alignment wrapText="1"/>
    </xf>
    <xf numFmtId="0" fontId="14" fillId="4" borderId="5" xfId="0" applyFont="1" applyFill="1" applyBorder="1" applyAlignment="1">
      <alignment vertical="top"/>
    </xf>
    <xf numFmtId="0" fontId="14" fillId="3" borderId="5" xfId="0" applyFont="1" applyFill="1" applyBorder="1" applyAlignment="1">
      <alignment vertical="top" wrapText="1"/>
    </xf>
    <xf numFmtId="0" fontId="14" fillId="4" borderId="7" xfId="0" applyFont="1" applyFill="1" applyBorder="1" applyAlignment="1">
      <alignment vertical="top"/>
    </xf>
    <xf numFmtId="0" fontId="14" fillId="3" borderId="7" xfId="0" applyFont="1" applyFill="1" applyBorder="1" applyAlignment="1">
      <alignment vertical="top" wrapText="1"/>
    </xf>
    <xf numFmtId="0" fontId="14" fillId="3" borderId="9" xfId="0" applyFont="1" applyFill="1" applyBorder="1" applyAlignment="1">
      <alignment vertical="top"/>
    </xf>
    <xf numFmtId="0" fontId="14" fillId="3" borderId="10" xfId="0" applyFont="1" applyFill="1" applyBorder="1" applyAlignment="1">
      <alignment vertical="top"/>
    </xf>
    <xf numFmtId="0" fontId="14" fillId="4" borderId="53" xfId="0" applyFont="1" applyFill="1" applyBorder="1" applyAlignment="1">
      <alignment horizontal="left" vertical="top" indent="1"/>
    </xf>
    <xf numFmtId="0" fontId="14" fillId="3" borderId="53" xfId="0" applyFont="1" applyFill="1" applyBorder="1" applyAlignment="1">
      <alignment horizontal="left" vertical="top" wrapText="1" indent="1"/>
    </xf>
    <xf numFmtId="0" fontId="14" fillId="4" borderId="53" xfId="0" quotePrefix="1" applyFont="1" applyFill="1" applyBorder="1" applyAlignment="1">
      <alignment horizontal="left" vertical="top" indent="1"/>
    </xf>
    <xf numFmtId="0" fontId="14" fillId="3" borderId="54" xfId="0" applyFont="1" applyFill="1" applyBorder="1" applyAlignment="1">
      <alignment horizontal="left" vertical="top" indent="1"/>
    </xf>
    <xf numFmtId="0" fontId="11" fillId="0" borderId="0" xfId="2" applyFont="1"/>
    <xf numFmtId="0" fontId="6" fillId="0" borderId="0" xfId="1" applyAlignment="1" applyProtection="1"/>
    <xf numFmtId="0" fontId="16" fillId="0" borderId="0" xfId="2" applyFont="1" applyAlignment="1">
      <alignment horizontal="left" indent="1"/>
    </xf>
    <xf numFmtId="0" fontId="16" fillId="0" borderId="0" xfId="0" applyFont="1" applyAlignment="1">
      <alignment horizontal="left" indent="1"/>
    </xf>
    <xf numFmtId="0" fontId="17" fillId="0" borderId="0" xfId="0" applyFont="1" applyAlignment="1">
      <alignment horizontal="left" indent="1"/>
    </xf>
    <xf numFmtId="0" fontId="16" fillId="0" borderId="0" xfId="2" applyFont="1" applyAlignment="1">
      <alignment horizontal="left" vertical="center" indent="1"/>
    </xf>
    <xf numFmtId="0" fontId="10" fillId="0" borderId="0" xfId="0" applyFont="1"/>
    <xf numFmtId="0" fontId="10" fillId="0" borderId="0" xfId="0" applyFont="1" applyAlignment="1">
      <alignment horizontal="center" vertical="center" wrapText="1"/>
    </xf>
    <xf numFmtId="0" fontId="18" fillId="0" borderId="0" xfId="0" applyFont="1" applyAlignment="1">
      <alignment horizontal="left"/>
    </xf>
    <xf numFmtId="0" fontId="19" fillId="2" borderId="21" xfId="0" applyFont="1" applyFill="1" applyBorder="1" applyAlignment="1">
      <alignment horizontal="center" vertical="center" wrapText="1"/>
    </xf>
    <xf numFmtId="0" fontId="19" fillId="2" borderId="22" xfId="0" applyFont="1" applyFill="1" applyBorder="1" applyAlignment="1">
      <alignment horizontal="center" vertical="center"/>
    </xf>
    <xf numFmtId="0" fontId="20" fillId="0" borderId="0" xfId="0" applyFont="1"/>
    <xf numFmtId="0" fontId="11" fillId="0" borderId="0" xfId="2" applyFont="1" applyAlignment="1">
      <alignment horizontal="left" indent="1"/>
    </xf>
    <xf numFmtId="0" fontId="5" fillId="0" borderId="0" xfId="0" applyFont="1" applyAlignment="1">
      <alignment horizontal="left" indent="1"/>
    </xf>
    <xf numFmtId="0" fontId="11" fillId="0" borderId="0" xfId="2" applyFont="1" applyAlignment="1">
      <alignment horizontal="left" vertical="center" indent="1"/>
    </xf>
    <xf numFmtId="0" fontId="5" fillId="0" borderId="0" xfId="2" applyAlignment="1">
      <alignment horizontal="left" vertical="center" indent="1"/>
    </xf>
    <xf numFmtId="0" fontId="21" fillId="0" borderId="0" xfId="0" applyFont="1" applyAlignment="1">
      <alignment horizontal="left" indent="1"/>
    </xf>
    <xf numFmtId="0" fontId="9" fillId="0" borderId="0" xfId="0" applyFont="1" applyAlignment="1">
      <alignment horizontal="left" indent="1"/>
    </xf>
    <xf numFmtId="0" fontId="11" fillId="0" borderId="55" xfId="0" applyFont="1" applyBorder="1" applyAlignment="1">
      <alignment horizontal="center" vertical="center" wrapText="1"/>
    </xf>
    <xf numFmtId="0" fontId="11" fillId="0" borderId="24" xfId="0" applyFont="1" applyBorder="1"/>
    <xf numFmtId="2" fontId="14" fillId="4" borderId="56" xfId="0" applyNumberFormat="1" applyFont="1" applyFill="1" applyBorder="1" applyAlignment="1">
      <alignment vertical="top"/>
    </xf>
    <xf numFmtId="176" fontId="14" fillId="4" borderId="57" xfId="0" applyNumberFormat="1" applyFont="1" applyFill="1" applyBorder="1" applyAlignment="1">
      <alignment vertical="top"/>
    </xf>
    <xf numFmtId="176" fontId="14" fillId="4" borderId="58" xfId="0" applyNumberFormat="1" applyFont="1" applyFill="1" applyBorder="1" applyAlignment="1">
      <alignment vertical="top"/>
    </xf>
    <xf numFmtId="176" fontId="11" fillId="0" borderId="59" xfId="0" applyNumberFormat="1" applyFont="1" applyBorder="1" applyAlignment="1">
      <alignment horizontal="center" vertical="center"/>
    </xf>
    <xf numFmtId="0" fontId="11" fillId="0" borderId="59" xfId="0" applyFont="1" applyBorder="1" applyAlignment="1">
      <alignment vertical="center"/>
    </xf>
    <xf numFmtId="0" fontId="13" fillId="2" borderId="25" xfId="0" applyFont="1" applyFill="1" applyBorder="1" applyAlignment="1">
      <alignment horizontal="center" vertical="center"/>
    </xf>
    <xf numFmtId="0" fontId="15" fillId="5" borderId="26" xfId="0" applyFont="1" applyFill="1" applyBorder="1" applyAlignment="1">
      <alignment horizontal="center" vertical="top"/>
    </xf>
    <xf numFmtId="0" fontId="22" fillId="5" borderId="3" xfId="0" applyFont="1" applyFill="1" applyBorder="1" applyAlignment="1">
      <alignment horizontal="left" vertical="top" indent="1"/>
    </xf>
    <xf numFmtId="0" fontId="22" fillId="5" borderId="3" xfId="0" applyFont="1" applyFill="1" applyBorder="1" applyAlignment="1">
      <alignment horizontal="center" vertical="top"/>
    </xf>
    <xf numFmtId="0" fontId="11" fillId="0" borderId="76" xfId="0" applyFont="1" applyBorder="1"/>
    <xf numFmtId="0" fontId="4" fillId="0" borderId="0" xfId="3"/>
    <xf numFmtId="0" fontId="4" fillId="0" borderId="0" xfId="3" applyAlignment="1">
      <alignment wrapText="1"/>
    </xf>
    <xf numFmtId="0" fontId="24" fillId="0" borderId="0" xfId="3" applyFont="1"/>
    <xf numFmtId="0" fontId="24" fillId="0" borderId="0" xfId="3" applyFont="1" applyAlignment="1">
      <alignment vertical="center"/>
    </xf>
    <xf numFmtId="0" fontId="25" fillId="0" borderId="0" xfId="3" applyFont="1" applyAlignment="1">
      <alignment vertical="center"/>
    </xf>
    <xf numFmtId="0" fontId="14" fillId="0" borderId="0" xfId="3" applyFont="1" applyAlignment="1">
      <alignment vertical="center"/>
    </xf>
    <xf numFmtId="0" fontId="4" fillId="0" borderId="0" xfId="3" applyAlignment="1">
      <alignment vertical="center"/>
    </xf>
    <xf numFmtId="0" fontId="26" fillId="0" borderId="0" xfId="3" applyFont="1"/>
    <xf numFmtId="0" fontId="3" fillId="0" borderId="0" xfId="3" applyFont="1"/>
    <xf numFmtId="0" fontId="2" fillId="0" borderId="0" xfId="3" applyFont="1"/>
    <xf numFmtId="0" fontId="1" fillId="0" borderId="0" xfId="3" applyFont="1"/>
    <xf numFmtId="0" fontId="5" fillId="0" borderId="0" xfId="0" applyFont="1"/>
    <xf numFmtId="0" fontId="11" fillId="4" borderId="5" xfId="0" applyFont="1" applyFill="1" applyBorder="1" applyAlignment="1">
      <alignment vertical="top"/>
    </xf>
    <xf numFmtId="0" fontId="11" fillId="3" borderId="9" xfId="0" applyFont="1" applyFill="1" applyBorder="1" applyAlignment="1">
      <alignment vertical="top"/>
    </xf>
    <xf numFmtId="0" fontId="0" fillId="17" borderId="0" xfId="0" applyFill="1"/>
    <xf numFmtId="14" fontId="10" fillId="0" borderId="0" xfId="0" applyNumberFormat="1" applyFont="1"/>
    <xf numFmtId="0" fontId="13" fillId="2" borderId="80" xfId="4" applyFont="1" applyFill="1" applyBorder="1" applyAlignment="1">
      <alignment horizontal="center" vertical="center"/>
    </xf>
    <xf numFmtId="0" fontId="13" fillId="2" borderId="0" xfId="4" applyFont="1" applyFill="1" applyAlignment="1">
      <alignment horizontal="center" vertical="center"/>
    </xf>
    <xf numFmtId="0" fontId="16" fillId="0" borderId="0" xfId="0" applyFont="1" applyAlignment="1">
      <alignment horizontal="center" vertical="center"/>
    </xf>
    <xf numFmtId="0" fontId="13" fillId="2" borderId="38" xfId="0" applyFont="1" applyFill="1" applyBorder="1" applyAlignment="1">
      <alignment horizontal="center" wrapText="1"/>
    </xf>
    <xf numFmtId="0" fontId="13" fillId="2" borderId="39" xfId="0" applyFont="1" applyFill="1" applyBorder="1" applyAlignment="1">
      <alignment horizontal="center" wrapText="1"/>
    </xf>
    <xf numFmtId="0" fontId="13" fillId="2" borderId="67" xfId="0" applyFont="1" applyFill="1" applyBorder="1" applyAlignment="1">
      <alignment horizontal="center" wrapText="1"/>
    </xf>
    <xf numFmtId="0" fontId="13" fillId="2" borderId="21" xfId="0" applyFont="1" applyFill="1" applyBorder="1" applyAlignment="1">
      <alignment horizontal="center" wrapText="1"/>
    </xf>
    <xf numFmtId="0" fontId="13" fillId="2" borderId="28" xfId="0" applyFont="1" applyFill="1" applyBorder="1" applyAlignment="1">
      <alignment horizontal="center" wrapText="1"/>
    </xf>
    <xf numFmtId="0" fontId="13" fillId="2" borderId="60" xfId="0" applyFont="1" applyFill="1" applyBorder="1" applyAlignment="1">
      <alignment horizontal="center" wrapText="1"/>
    </xf>
    <xf numFmtId="0" fontId="13" fillId="2" borderId="22" xfId="0" applyFont="1" applyFill="1" applyBorder="1" applyAlignment="1">
      <alignment horizontal="center" wrapText="1"/>
    </xf>
    <xf numFmtId="0" fontId="13" fillId="2" borderId="29" xfId="0" applyFont="1" applyFill="1" applyBorder="1" applyAlignment="1">
      <alignment horizontal="center" wrapText="1"/>
    </xf>
    <xf numFmtId="0" fontId="13" fillId="2" borderId="61" xfId="0" applyFont="1" applyFill="1" applyBorder="1" applyAlignment="1">
      <alignment horizontal="center" wrapText="1"/>
    </xf>
    <xf numFmtId="0" fontId="13" fillId="2" borderId="11" xfId="0" applyFont="1" applyFill="1" applyBorder="1" applyAlignment="1">
      <alignment horizontal="center" vertical="center"/>
    </xf>
    <xf numFmtId="0" fontId="13" fillId="2" borderId="36" xfId="0" applyFont="1" applyFill="1" applyBorder="1" applyAlignment="1">
      <alignment horizontal="center" vertical="center"/>
    </xf>
    <xf numFmtId="0" fontId="13" fillId="2" borderId="37" xfId="0" applyFont="1" applyFill="1" applyBorder="1" applyAlignment="1">
      <alignment horizontal="center" vertical="center"/>
    </xf>
    <xf numFmtId="0" fontId="13" fillId="2" borderId="0" xfId="0" applyFont="1" applyFill="1" applyAlignment="1">
      <alignment horizontal="center" wrapText="1"/>
    </xf>
    <xf numFmtId="0" fontId="13" fillId="2" borderId="55" xfId="0" applyFont="1" applyFill="1" applyBorder="1" applyAlignment="1">
      <alignment horizontal="center" wrapText="1"/>
    </xf>
    <xf numFmtId="0" fontId="13" fillId="2" borderId="62" xfId="0" applyFont="1" applyFill="1" applyBorder="1" applyAlignment="1">
      <alignment horizontal="center" wrapText="1"/>
    </xf>
    <xf numFmtId="0" fontId="13" fillId="2" borderId="63" xfId="0" applyFont="1" applyFill="1" applyBorder="1" applyAlignment="1">
      <alignment horizontal="center" wrapText="1"/>
    </xf>
    <xf numFmtId="0" fontId="13" fillId="2" borderId="65" xfId="0" applyFont="1" applyFill="1" applyBorder="1" applyAlignment="1">
      <alignment horizontal="center" wrapText="1"/>
    </xf>
    <xf numFmtId="0" fontId="13" fillId="2" borderId="66" xfId="0" applyFont="1" applyFill="1" applyBorder="1" applyAlignment="1">
      <alignment horizontal="center" wrapText="1"/>
    </xf>
    <xf numFmtId="0" fontId="16" fillId="0" borderId="27" xfId="0" applyFont="1" applyBorder="1" applyAlignment="1">
      <alignment horizontal="center" vertical="center"/>
    </xf>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13" fillId="2" borderId="21" xfId="0" applyFont="1" applyFill="1" applyBorder="1" applyAlignment="1">
      <alignment horizontal="center" vertical="center" wrapText="1"/>
    </xf>
    <xf numFmtId="0" fontId="13" fillId="2" borderId="28" xfId="0" applyFont="1" applyFill="1" applyBorder="1" applyAlignment="1">
      <alignment horizontal="center" vertical="center" wrapText="1"/>
    </xf>
    <xf numFmtId="0" fontId="13" fillId="2" borderId="60" xfId="0" applyFont="1" applyFill="1" applyBorder="1" applyAlignment="1">
      <alignment horizontal="center" vertical="center" wrapText="1"/>
    </xf>
    <xf numFmtId="0" fontId="13" fillId="2" borderId="30" xfId="0" applyFont="1" applyFill="1" applyBorder="1" applyAlignment="1">
      <alignment horizontal="center" vertical="center"/>
    </xf>
    <xf numFmtId="0" fontId="13" fillId="2" borderId="31" xfId="0" applyFont="1" applyFill="1" applyBorder="1" applyAlignment="1">
      <alignment horizontal="center" vertical="center"/>
    </xf>
    <xf numFmtId="14" fontId="15" fillId="5" borderId="32" xfId="0" applyNumberFormat="1" applyFont="1" applyFill="1" applyBorder="1" applyAlignment="1">
      <alignment horizontal="center" vertical="top"/>
    </xf>
    <xf numFmtId="14" fontId="15" fillId="5" borderId="20" xfId="0" applyNumberFormat="1" applyFont="1" applyFill="1" applyBorder="1" applyAlignment="1">
      <alignment horizontal="center" vertical="top"/>
    </xf>
    <xf numFmtId="0" fontId="15" fillId="5" borderId="32" xfId="0" applyFont="1" applyFill="1" applyBorder="1" applyAlignment="1">
      <alignment horizontal="center" vertical="top"/>
    </xf>
    <xf numFmtId="0" fontId="15" fillId="5" borderId="33" xfId="0" applyFont="1" applyFill="1" applyBorder="1" applyAlignment="1">
      <alignment horizontal="center" vertical="top"/>
    </xf>
    <xf numFmtId="0" fontId="13" fillId="2" borderId="0" xfId="0" applyFont="1" applyFill="1" applyAlignment="1">
      <alignment horizontal="center" vertical="center"/>
    </xf>
    <xf numFmtId="0" fontId="13" fillId="2" borderId="34" xfId="0" applyFont="1" applyFill="1" applyBorder="1" applyAlignment="1">
      <alignment horizontal="center" vertical="center"/>
    </xf>
    <xf numFmtId="0" fontId="13" fillId="2" borderId="77" xfId="0" applyFont="1" applyFill="1" applyBorder="1" applyAlignment="1">
      <alignment horizontal="center" wrapText="1"/>
    </xf>
    <xf numFmtId="0" fontId="13" fillId="2" borderId="78" xfId="0" applyFont="1" applyFill="1" applyBorder="1" applyAlignment="1">
      <alignment horizontal="center" wrapText="1"/>
    </xf>
    <xf numFmtId="0" fontId="13" fillId="2" borderId="79" xfId="0" applyFont="1" applyFill="1" applyBorder="1" applyAlignment="1">
      <alignment horizontal="center" wrapText="1"/>
    </xf>
    <xf numFmtId="0" fontId="13" fillId="2" borderId="24" xfId="0" applyFont="1" applyFill="1" applyBorder="1" applyAlignment="1">
      <alignment horizontal="center" wrapText="1"/>
    </xf>
    <xf numFmtId="0" fontId="13" fillId="2" borderId="64" xfId="0" applyFont="1" applyFill="1" applyBorder="1" applyAlignment="1">
      <alignment horizontal="center" wrapText="1"/>
    </xf>
    <xf numFmtId="0" fontId="13" fillId="2" borderId="48" xfId="0" applyFont="1" applyFill="1" applyBorder="1" applyAlignment="1">
      <alignment horizontal="right" vertical="center" indent="1"/>
    </xf>
    <xf numFmtId="0" fontId="13" fillId="2" borderId="71" xfId="0" applyFont="1" applyFill="1" applyBorder="1" applyAlignment="1">
      <alignment horizontal="right" vertical="center" indent="1"/>
    </xf>
    <xf numFmtId="0" fontId="13" fillId="2" borderId="49" xfId="0" applyFont="1" applyFill="1" applyBorder="1" applyAlignment="1">
      <alignment horizontal="right" vertical="center" indent="1"/>
    </xf>
    <xf numFmtId="0" fontId="13" fillId="2" borderId="72" xfId="0" applyFont="1" applyFill="1" applyBorder="1" applyAlignment="1">
      <alignment horizontal="right" vertical="center" indent="1"/>
    </xf>
    <xf numFmtId="0" fontId="15" fillId="3" borderId="68" xfId="0" applyFont="1" applyFill="1" applyBorder="1" applyAlignment="1">
      <alignment horizontal="left" vertical="top" indent="1"/>
    </xf>
    <xf numFmtId="0" fontId="15" fillId="3" borderId="41" xfId="0" applyFont="1" applyFill="1" applyBorder="1" applyAlignment="1">
      <alignment horizontal="left" vertical="top" indent="1"/>
    </xf>
    <xf numFmtId="0" fontId="15" fillId="3" borderId="42" xfId="0" applyFont="1" applyFill="1" applyBorder="1" applyAlignment="1">
      <alignment horizontal="left" vertical="top" indent="1"/>
    </xf>
    <xf numFmtId="0" fontId="13" fillId="2" borderId="46" xfId="0" applyFont="1" applyFill="1" applyBorder="1" applyAlignment="1">
      <alignment horizontal="right" vertical="center" indent="1"/>
    </xf>
    <xf numFmtId="0" fontId="13" fillId="2" borderId="70" xfId="0" applyFont="1" applyFill="1" applyBorder="1" applyAlignment="1">
      <alignment horizontal="right" vertical="center" indent="1"/>
    </xf>
    <xf numFmtId="0" fontId="15" fillId="4" borderId="69" xfId="0" applyFont="1" applyFill="1" applyBorder="1" applyAlignment="1">
      <alignment horizontal="left" vertical="top" indent="1"/>
    </xf>
    <xf numFmtId="0" fontId="15" fillId="4" borderId="44" xfId="0" applyFont="1" applyFill="1" applyBorder="1" applyAlignment="1">
      <alignment horizontal="left" vertical="top" indent="1"/>
    </xf>
    <xf numFmtId="0" fontId="15" fillId="4" borderId="45" xfId="0" applyFont="1" applyFill="1" applyBorder="1" applyAlignment="1">
      <alignment horizontal="left" vertical="top" indent="1"/>
    </xf>
    <xf numFmtId="0" fontId="15" fillId="3" borderId="69" xfId="0" applyFont="1" applyFill="1" applyBorder="1" applyAlignment="1">
      <alignment horizontal="left" vertical="top" indent="1"/>
    </xf>
    <xf numFmtId="0" fontId="15" fillId="3" borderId="44" xfId="0" applyFont="1" applyFill="1" applyBorder="1" applyAlignment="1">
      <alignment horizontal="left" vertical="top" indent="1"/>
    </xf>
    <xf numFmtId="0" fontId="15" fillId="3" borderId="45" xfId="0" applyFont="1" applyFill="1" applyBorder="1" applyAlignment="1">
      <alignment horizontal="left" vertical="top" indent="1"/>
    </xf>
    <xf numFmtId="0" fontId="13" fillId="2" borderId="46" xfId="0" applyFont="1" applyFill="1" applyBorder="1" applyAlignment="1">
      <alignment horizontal="right" vertical="center" wrapText="1" indent="1"/>
    </xf>
    <xf numFmtId="0" fontId="13" fillId="2" borderId="70" xfId="0" applyFont="1" applyFill="1" applyBorder="1" applyAlignment="1">
      <alignment horizontal="right" vertical="center" wrapText="1" indent="1"/>
    </xf>
    <xf numFmtId="0" fontId="19" fillId="2" borderId="40" xfId="0" applyFont="1" applyFill="1" applyBorder="1" applyAlignment="1">
      <alignment horizontal="center" vertical="center" wrapText="1"/>
    </xf>
    <xf numFmtId="0" fontId="19" fillId="2" borderId="41" xfId="0" applyFont="1" applyFill="1" applyBorder="1" applyAlignment="1">
      <alignment horizontal="center" vertical="center" wrapText="1"/>
    </xf>
    <xf numFmtId="0" fontId="19" fillId="2" borderId="42" xfId="0" applyFont="1" applyFill="1" applyBorder="1" applyAlignment="1">
      <alignment horizontal="center" vertical="center" wrapText="1"/>
    </xf>
    <xf numFmtId="0" fontId="19" fillId="2" borderId="50" xfId="0" applyFont="1" applyFill="1" applyBorder="1" applyAlignment="1">
      <alignment horizontal="center" vertical="center" wrapText="1"/>
    </xf>
    <xf numFmtId="0" fontId="22" fillId="4" borderId="23" xfId="0" applyFont="1" applyFill="1" applyBorder="1" applyAlignment="1">
      <alignment vertical="top"/>
    </xf>
    <xf numFmtId="0" fontId="22" fillId="4" borderId="35" xfId="0" applyFont="1" applyFill="1" applyBorder="1" applyAlignment="1">
      <alignment vertical="top"/>
    </xf>
    <xf numFmtId="0" fontId="22" fillId="4" borderId="44" xfId="0" applyFont="1" applyFill="1" applyBorder="1" applyAlignment="1">
      <alignment vertical="top"/>
    </xf>
    <xf numFmtId="0" fontId="22" fillId="4" borderId="47" xfId="0" applyFont="1" applyFill="1" applyBorder="1" applyAlignment="1">
      <alignment vertical="top"/>
    </xf>
    <xf numFmtId="0" fontId="22" fillId="3" borderId="44" xfId="0" applyFont="1" applyFill="1" applyBorder="1" applyAlignment="1">
      <alignment vertical="top"/>
    </xf>
    <xf numFmtId="0" fontId="22" fillId="3" borderId="47" xfId="0" applyFont="1" applyFill="1" applyBorder="1" applyAlignment="1">
      <alignment vertical="top"/>
    </xf>
    <xf numFmtId="0" fontId="22" fillId="3" borderId="82" xfId="0" applyFont="1" applyFill="1" applyBorder="1" applyAlignment="1">
      <alignment vertical="top"/>
    </xf>
    <xf numFmtId="0" fontId="22" fillId="3" borderId="84" xfId="0" applyFont="1" applyFill="1" applyBorder="1" applyAlignment="1">
      <alignment vertical="top"/>
    </xf>
    <xf numFmtId="0" fontId="23" fillId="3" borderId="43" xfId="0" applyFont="1" applyFill="1" applyBorder="1" applyAlignment="1">
      <alignment horizontal="left" vertical="top" indent="1"/>
    </xf>
    <xf numFmtId="0" fontId="23" fillId="3" borderId="44" xfId="0" applyFont="1" applyFill="1" applyBorder="1" applyAlignment="1">
      <alignment horizontal="left" vertical="top" indent="1"/>
    </xf>
    <xf numFmtId="0" fontId="23" fillId="3" borderId="45" xfId="0" applyFont="1" applyFill="1" applyBorder="1" applyAlignment="1">
      <alignment horizontal="left" vertical="top" indent="1"/>
    </xf>
    <xf numFmtId="0" fontId="23" fillId="4" borderId="43" xfId="0" applyFont="1" applyFill="1" applyBorder="1" applyAlignment="1">
      <alignment horizontal="left" vertical="top" indent="1"/>
    </xf>
    <xf numFmtId="0" fontId="23" fillId="4" borderId="44" xfId="0" applyFont="1" applyFill="1" applyBorder="1" applyAlignment="1">
      <alignment horizontal="left" vertical="top" indent="1"/>
    </xf>
    <xf numFmtId="0" fontId="23" fillId="4" borderId="45" xfId="0" applyFont="1" applyFill="1" applyBorder="1" applyAlignment="1">
      <alignment horizontal="left" vertical="top" indent="1"/>
    </xf>
    <xf numFmtId="0" fontId="23" fillId="4" borderId="51" xfId="0" applyFont="1" applyFill="1" applyBorder="1" applyAlignment="1">
      <alignment horizontal="left" vertical="top" indent="1"/>
    </xf>
    <xf numFmtId="0" fontId="23" fillId="4" borderId="23" xfId="0" applyFont="1" applyFill="1" applyBorder="1" applyAlignment="1">
      <alignment horizontal="left" vertical="top" indent="1"/>
    </xf>
    <xf numFmtId="0" fontId="23" fillId="4" borderId="52" xfId="0" applyFont="1" applyFill="1" applyBorder="1" applyAlignment="1">
      <alignment horizontal="left" vertical="top" indent="1"/>
    </xf>
    <xf numFmtId="0" fontId="23" fillId="3" borderId="81" xfId="0" applyFont="1" applyFill="1" applyBorder="1" applyAlignment="1">
      <alignment horizontal="left" vertical="top" indent="1"/>
    </xf>
    <xf numFmtId="0" fontId="23" fillId="3" borderId="82" xfId="0" applyFont="1" applyFill="1" applyBorder="1" applyAlignment="1">
      <alignment horizontal="left" vertical="top" indent="1"/>
    </xf>
    <xf numFmtId="0" fontId="23" fillId="3" borderId="83" xfId="0" applyFont="1" applyFill="1" applyBorder="1" applyAlignment="1">
      <alignment horizontal="left" vertical="top" indent="1"/>
    </xf>
    <xf numFmtId="0" fontId="21" fillId="16" borderId="73" xfId="2" applyFont="1" applyFill="1" applyBorder="1" applyAlignment="1">
      <alignment horizontal="left" vertical="center" indent="1"/>
    </xf>
    <xf numFmtId="0" fontId="21" fillId="16" borderId="74" xfId="2" applyFont="1" applyFill="1" applyBorder="1" applyAlignment="1">
      <alignment horizontal="left" vertical="center" indent="1"/>
    </xf>
    <xf numFmtId="0" fontId="21" fillId="16" borderId="75" xfId="2" applyFont="1" applyFill="1" applyBorder="1" applyAlignment="1">
      <alignment horizontal="left" vertical="center" indent="1"/>
    </xf>
    <xf numFmtId="0" fontId="0" fillId="6" borderId="0" xfId="0" applyFill="1"/>
    <xf numFmtId="0" fontId="0" fillId="0" borderId="0" xfId="0"/>
    <xf numFmtId="0" fontId="0" fillId="7" borderId="0" xfId="0" applyFill="1"/>
    <xf numFmtId="0" fontId="0" fillId="8" borderId="0" xfId="0" applyFill="1"/>
    <xf numFmtId="0" fontId="0" fillId="9" borderId="0" xfId="0" applyFill="1"/>
    <xf numFmtId="0" fontId="0" fillId="10" borderId="0" xfId="0" applyFill="1"/>
    <xf numFmtId="0" fontId="8" fillId="11" borderId="0" xfId="0" applyFont="1" applyFill="1"/>
    <xf numFmtId="0" fontId="0" fillId="12" borderId="0" xfId="0" applyFill="1"/>
    <xf numFmtId="0" fontId="0" fillId="13" borderId="0" xfId="0" applyFill="1"/>
    <xf numFmtId="0" fontId="0" fillId="14" borderId="0" xfId="0" applyFill="1"/>
    <xf numFmtId="0" fontId="0" fillId="15" borderId="0" xfId="0" applyFill="1"/>
  </cellXfs>
  <cellStyles count="5">
    <cellStyle name="Hyperlink" xfId="1" builtinId="8"/>
    <cellStyle name="Normal" xfId="0" builtinId="0"/>
    <cellStyle name="Normal 2" xfId="2" xr:uid="{00000000-0005-0000-0000-000002000000}"/>
    <cellStyle name="Normal 2 2" xfId="4" xr:uid="{00000000-0005-0000-0000-000003000000}"/>
    <cellStyle name="Normal 3" xfId="3" xr:uid="{00000000-0005-0000-0000-000004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FCC99"/>
      <rgbColor rgb="00477AB7"/>
      <rgbColor rgb="0033CCCC"/>
      <rgbColor rgb="0099CC00"/>
      <rgbColor rgb="00FFCC00"/>
      <rgbColor rgb="00FAB882"/>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052451409583782E-2"/>
          <c:y val="5.8597384532680687E-2"/>
          <c:w val="0.85689316231853652"/>
          <c:h val="0.81493052925346354"/>
        </c:manualLayout>
      </c:layout>
      <c:scatterChart>
        <c:scatterStyle val="lineMarker"/>
        <c:varyColors val="0"/>
        <c:ser>
          <c:idx val="0"/>
          <c:order val="0"/>
          <c:tx>
            <c:strRef>
              <c:f>'Main Monitor'!$BG$16</c:f>
              <c:strCache>
                <c:ptCount val="1"/>
                <c:pt idx="0">
                  <c:v>SGD</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Monitor'!$BI$16</c:f>
              <c:numCache>
                <c:formatCode>General</c:formatCode>
                <c:ptCount val="1"/>
                <c:pt idx="0">
                  <c:v>#N/A</c:v>
                </c:pt>
              </c:numCache>
            </c:numRef>
          </c:xVal>
          <c:yVal>
            <c:numRef>
              <c:f>'Main Monitor'!$BH$16</c:f>
              <c:numCache>
                <c:formatCode>General</c:formatCode>
                <c:ptCount val="1"/>
                <c:pt idx="0">
                  <c:v>0</c:v>
                </c:pt>
              </c:numCache>
            </c:numRef>
          </c:yVal>
          <c:smooth val="0"/>
          <c:extLst>
            <c:ext xmlns:c16="http://schemas.microsoft.com/office/drawing/2014/chart" uri="{C3380CC4-5D6E-409C-BE32-E72D297353CC}">
              <c16:uniqueId val="{00000000-116A-438C-9A0E-1459AF1A908D}"/>
            </c:ext>
          </c:extLst>
        </c:ser>
        <c:ser>
          <c:idx val="1"/>
          <c:order val="1"/>
          <c:tx>
            <c:strRef>
              <c:f>'Main Monitor'!$BG$17</c:f>
              <c:strCache>
                <c:ptCount val="1"/>
                <c:pt idx="0">
                  <c:v>AUD</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Monitor'!$BI$17</c:f>
              <c:numCache>
                <c:formatCode>General</c:formatCode>
                <c:ptCount val="1"/>
                <c:pt idx="0">
                  <c:v>#N/A</c:v>
                </c:pt>
              </c:numCache>
            </c:numRef>
          </c:xVal>
          <c:yVal>
            <c:numRef>
              <c:f>'Main Monitor'!$BH$17</c:f>
              <c:numCache>
                <c:formatCode>General</c:formatCode>
                <c:ptCount val="1"/>
                <c:pt idx="0">
                  <c:v>0</c:v>
                </c:pt>
              </c:numCache>
            </c:numRef>
          </c:yVal>
          <c:smooth val="0"/>
          <c:extLst>
            <c:ext xmlns:c16="http://schemas.microsoft.com/office/drawing/2014/chart" uri="{C3380CC4-5D6E-409C-BE32-E72D297353CC}">
              <c16:uniqueId val="{00000001-116A-438C-9A0E-1459AF1A908D}"/>
            </c:ext>
          </c:extLst>
        </c:ser>
        <c:ser>
          <c:idx val="2"/>
          <c:order val="2"/>
          <c:tx>
            <c:strRef>
              <c:f>'Main Monitor'!$BG$18</c:f>
              <c:strCache>
                <c:ptCount val="1"/>
                <c:pt idx="0">
                  <c:v>CAD</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Monitor'!$BI$18</c:f>
              <c:numCache>
                <c:formatCode>General</c:formatCode>
                <c:ptCount val="1"/>
                <c:pt idx="0">
                  <c:v>#N/A</c:v>
                </c:pt>
              </c:numCache>
            </c:numRef>
          </c:xVal>
          <c:yVal>
            <c:numRef>
              <c:f>'Main Monitor'!$BH$18</c:f>
              <c:numCache>
                <c:formatCode>General</c:formatCode>
                <c:ptCount val="1"/>
                <c:pt idx="0">
                  <c:v>0</c:v>
                </c:pt>
              </c:numCache>
            </c:numRef>
          </c:yVal>
          <c:smooth val="0"/>
          <c:extLst>
            <c:ext xmlns:c16="http://schemas.microsoft.com/office/drawing/2014/chart" uri="{C3380CC4-5D6E-409C-BE32-E72D297353CC}">
              <c16:uniqueId val="{00000002-116A-438C-9A0E-1459AF1A908D}"/>
            </c:ext>
          </c:extLst>
        </c:ser>
        <c:ser>
          <c:idx val="3"/>
          <c:order val="3"/>
          <c:tx>
            <c:strRef>
              <c:f>'Main Monitor'!$BG$19</c:f>
              <c:strCache>
                <c:ptCount val="1"/>
                <c:pt idx="0">
                  <c:v>JPY</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Monitor'!$BI$19</c:f>
              <c:numCache>
                <c:formatCode>General</c:formatCode>
                <c:ptCount val="1"/>
                <c:pt idx="0">
                  <c:v>#N/A</c:v>
                </c:pt>
              </c:numCache>
            </c:numRef>
          </c:xVal>
          <c:yVal>
            <c:numRef>
              <c:f>'Main Monitor'!$BH$19</c:f>
              <c:numCache>
                <c:formatCode>General</c:formatCode>
                <c:ptCount val="1"/>
                <c:pt idx="0">
                  <c:v>0</c:v>
                </c:pt>
              </c:numCache>
            </c:numRef>
          </c:yVal>
          <c:smooth val="0"/>
          <c:extLst>
            <c:ext xmlns:c16="http://schemas.microsoft.com/office/drawing/2014/chart" uri="{C3380CC4-5D6E-409C-BE32-E72D297353CC}">
              <c16:uniqueId val="{00000003-116A-438C-9A0E-1459AF1A908D}"/>
            </c:ext>
          </c:extLst>
        </c:ser>
        <c:ser>
          <c:idx val="4"/>
          <c:order val="4"/>
          <c:tx>
            <c:strRef>
              <c:f>'Main Monitor'!$BG$20</c:f>
              <c:strCache>
                <c:ptCount val="1"/>
                <c:pt idx="0">
                  <c:v>CHF</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Monitor'!$BI$20</c:f>
              <c:numCache>
                <c:formatCode>General</c:formatCode>
                <c:ptCount val="1"/>
                <c:pt idx="0">
                  <c:v>#N/A</c:v>
                </c:pt>
              </c:numCache>
            </c:numRef>
          </c:xVal>
          <c:yVal>
            <c:numRef>
              <c:f>'Main Monitor'!$BH$20</c:f>
              <c:numCache>
                <c:formatCode>General</c:formatCode>
                <c:ptCount val="1"/>
                <c:pt idx="0">
                  <c:v>0</c:v>
                </c:pt>
              </c:numCache>
            </c:numRef>
          </c:yVal>
          <c:smooth val="0"/>
          <c:extLst>
            <c:ext xmlns:c16="http://schemas.microsoft.com/office/drawing/2014/chart" uri="{C3380CC4-5D6E-409C-BE32-E72D297353CC}">
              <c16:uniqueId val="{00000004-116A-438C-9A0E-1459AF1A908D}"/>
            </c:ext>
          </c:extLst>
        </c:ser>
        <c:ser>
          <c:idx val="5"/>
          <c:order val="5"/>
          <c:tx>
            <c:strRef>
              <c:f>'Main Monitor'!$BG$21</c:f>
              <c:strCache>
                <c:ptCount val="1"/>
                <c:pt idx="0">
                  <c:v>GBP</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Monitor'!$BI$21</c:f>
              <c:numCache>
                <c:formatCode>General</c:formatCode>
                <c:ptCount val="1"/>
                <c:pt idx="0">
                  <c:v>#N/A</c:v>
                </c:pt>
              </c:numCache>
            </c:numRef>
          </c:xVal>
          <c:yVal>
            <c:numRef>
              <c:f>'Main Monitor'!$BH$21</c:f>
              <c:numCache>
                <c:formatCode>General</c:formatCode>
                <c:ptCount val="1"/>
                <c:pt idx="0">
                  <c:v>0</c:v>
                </c:pt>
              </c:numCache>
            </c:numRef>
          </c:yVal>
          <c:smooth val="0"/>
          <c:extLst>
            <c:ext xmlns:c16="http://schemas.microsoft.com/office/drawing/2014/chart" uri="{C3380CC4-5D6E-409C-BE32-E72D297353CC}">
              <c16:uniqueId val="{00000005-116A-438C-9A0E-1459AF1A908D}"/>
            </c:ext>
          </c:extLst>
        </c:ser>
        <c:ser>
          <c:idx val="6"/>
          <c:order val="6"/>
          <c:tx>
            <c:strRef>
              <c:f>'Main Monitor'!$BG$22</c:f>
              <c:strCache>
                <c:ptCount val="1"/>
                <c:pt idx="0">
                  <c:v>EURGBP</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Monitor'!$BI$22</c:f>
              <c:numCache>
                <c:formatCode>General</c:formatCode>
                <c:ptCount val="1"/>
                <c:pt idx="0">
                  <c:v>#N/A</c:v>
                </c:pt>
              </c:numCache>
            </c:numRef>
          </c:xVal>
          <c:yVal>
            <c:numRef>
              <c:f>'Main Monitor'!$BH$22</c:f>
              <c:numCache>
                <c:formatCode>General</c:formatCode>
                <c:ptCount val="1"/>
                <c:pt idx="0">
                  <c:v>0</c:v>
                </c:pt>
              </c:numCache>
            </c:numRef>
          </c:yVal>
          <c:smooth val="0"/>
          <c:extLst>
            <c:ext xmlns:c16="http://schemas.microsoft.com/office/drawing/2014/chart" uri="{C3380CC4-5D6E-409C-BE32-E72D297353CC}">
              <c16:uniqueId val="{00000006-116A-438C-9A0E-1459AF1A908D}"/>
            </c:ext>
          </c:extLst>
        </c:ser>
        <c:ser>
          <c:idx val="7"/>
          <c:order val="7"/>
          <c:tx>
            <c:strRef>
              <c:f>'Main Monitor'!$BG$23</c:f>
              <c:strCache>
                <c:ptCount val="1"/>
                <c:pt idx="0">
                  <c:v>NZD</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Monitor'!$BI$23</c:f>
              <c:numCache>
                <c:formatCode>General</c:formatCode>
                <c:ptCount val="1"/>
                <c:pt idx="0">
                  <c:v>#N/A</c:v>
                </c:pt>
              </c:numCache>
            </c:numRef>
          </c:xVal>
          <c:yVal>
            <c:numRef>
              <c:f>'Main Monitor'!$BH$23</c:f>
              <c:numCache>
                <c:formatCode>General</c:formatCode>
                <c:ptCount val="1"/>
                <c:pt idx="0">
                  <c:v>0</c:v>
                </c:pt>
              </c:numCache>
            </c:numRef>
          </c:yVal>
          <c:smooth val="0"/>
          <c:extLst>
            <c:ext xmlns:c16="http://schemas.microsoft.com/office/drawing/2014/chart" uri="{C3380CC4-5D6E-409C-BE32-E72D297353CC}">
              <c16:uniqueId val="{00000007-116A-438C-9A0E-1459AF1A908D}"/>
            </c:ext>
          </c:extLst>
        </c:ser>
        <c:ser>
          <c:idx val="8"/>
          <c:order val="8"/>
          <c:tx>
            <c:strRef>
              <c:f>'Main Monitor'!$BG$24</c:f>
              <c:strCache>
                <c:ptCount val="1"/>
                <c:pt idx="0">
                  <c:v>HKD</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Monitor'!$BI$24</c:f>
              <c:numCache>
                <c:formatCode>General</c:formatCode>
                <c:ptCount val="1"/>
                <c:pt idx="0">
                  <c:v>#N/A</c:v>
                </c:pt>
              </c:numCache>
            </c:numRef>
          </c:xVal>
          <c:yVal>
            <c:numRef>
              <c:f>'Main Monitor'!$BH$24</c:f>
              <c:numCache>
                <c:formatCode>General</c:formatCode>
                <c:ptCount val="1"/>
                <c:pt idx="0">
                  <c:v>0</c:v>
                </c:pt>
              </c:numCache>
            </c:numRef>
          </c:yVal>
          <c:smooth val="0"/>
          <c:extLst>
            <c:ext xmlns:c16="http://schemas.microsoft.com/office/drawing/2014/chart" uri="{C3380CC4-5D6E-409C-BE32-E72D297353CC}">
              <c16:uniqueId val="{00000008-116A-438C-9A0E-1459AF1A908D}"/>
            </c:ext>
          </c:extLst>
        </c:ser>
        <c:ser>
          <c:idx val="9"/>
          <c:order val="9"/>
          <c:tx>
            <c:strRef>
              <c:f>'Main Monitor'!$BG$25</c:f>
              <c:strCache>
                <c:ptCount val="1"/>
                <c:pt idx="0">
                  <c:v>SEK</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Monitor'!$BI$25</c:f>
              <c:numCache>
                <c:formatCode>General</c:formatCode>
                <c:ptCount val="1"/>
                <c:pt idx="0">
                  <c:v>#N/A</c:v>
                </c:pt>
              </c:numCache>
            </c:numRef>
          </c:xVal>
          <c:yVal>
            <c:numRef>
              <c:f>'Main Monitor'!$BH$25</c:f>
              <c:numCache>
                <c:formatCode>General</c:formatCode>
                <c:ptCount val="1"/>
                <c:pt idx="0">
                  <c:v>0</c:v>
                </c:pt>
              </c:numCache>
            </c:numRef>
          </c:yVal>
          <c:smooth val="0"/>
          <c:extLst>
            <c:ext xmlns:c16="http://schemas.microsoft.com/office/drawing/2014/chart" uri="{C3380CC4-5D6E-409C-BE32-E72D297353CC}">
              <c16:uniqueId val="{00000009-116A-438C-9A0E-1459AF1A908D}"/>
            </c:ext>
          </c:extLst>
        </c:ser>
        <c:ser>
          <c:idx val="10"/>
          <c:order val="10"/>
          <c:tx>
            <c:strRef>
              <c:f>'Main Monitor'!$BG$26</c:f>
              <c:strCache>
                <c:ptCount val="1"/>
                <c:pt idx="0">
                  <c:v>NOK</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Monitor'!$BI$26</c:f>
              <c:numCache>
                <c:formatCode>General</c:formatCode>
                <c:ptCount val="1"/>
                <c:pt idx="0">
                  <c:v>#N/A</c:v>
                </c:pt>
              </c:numCache>
            </c:numRef>
          </c:xVal>
          <c:yVal>
            <c:numRef>
              <c:f>'Main Monitor'!$BH$26</c:f>
              <c:numCache>
                <c:formatCode>General</c:formatCode>
                <c:ptCount val="1"/>
                <c:pt idx="0">
                  <c:v>0</c:v>
                </c:pt>
              </c:numCache>
            </c:numRef>
          </c:yVal>
          <c:smooth val="0"/>
          <c:extLst>
            <c:ext xmlns:c16="http://schemas.microsoft.com/office/drawing/2014/chart" uri="{C3380CC4-5D6E-409C-BE32-E72D297353CC}">
              <c16:uniqueId val="{0000000A-116A-438C-9A0E-1459AF1A908D}"/>
            </c:ext>
          </c:extLst>
        </c:ser>
        <c:ser>
          <c:idx val="11"/>
          <c:order val="11"/>
          <c:tx>
            <c:strRef>
              <c:f>'Main Monitor'!$BG$27</c:f>
              <c:strCache>
                <c:ptCount val="1"/>
                <c:pt idx="0">
                  <c:v>DKK</c:v>
                </c:pt>
              </c:strCache>
            </c:strRef>
          </c:tx>
          <c:spPr>
            <a:ln w="28575">
              <a:noFill/>
            </a:ln>
          </c:spPr>
          <c:marker>
            <c:symbol val="diamond"/>
            <c:size val="5"/>
            <c:spPr>
              <a:solidFill>
                <a:srgbClr val="0000FF"/>
              </a:solidFill>
              <a:ln>
                <a:solidFill>
                  <a:srgbClr val="0000FF"/>
                </a:solidFill>
                <a:prstDash val="solid"/>
              </a:ln>
            </c:spPr>
          </c:marker>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'Main Monitor'!$BI$27</c:f>
              <c:numCache>
                <c:formatCode>General</c:formatCode>
                <c:ptCount val="1"/>
                <c:pt idx="0">
                  <c:v>#N/A</c:v>
                </c:pt>
              </c:numCache>
            </c:numRef>
          </c:xVal>
          <c:yVal>
            <c:numRef>
              <c:f>'Main Monitor'!$BH$27</c:f>
              <c:numCache>
                <c:formatCode>General</c:formatCode>
                <c:ptCount val="1"/>
                <c:pt idx="0">
                  <c:v>0</c:v>
                </c:pt>
              </c:numCache>
            </c:numRef>
          </c:yVal>
          <c:smooth val="0"/>
          <c:extLst>
            <c:ext xmlns:c16="http://schemas.microsoft.com/office/drawing/2014/chart" uri="{C3380CC4-5D6E-409C-BE32-E72D297353CC}">
              <c16:uniqueId val="{0000000B-116A-438C-9A0E-1459AF1A908D}"/>
            </c:ext>
          </c:extLst>
        </c:ser>
        <c:dLbls>
          <c:showLegendKey val="0"/>
          <c:showVal val="0"/>
          <c:showCatName val="0"/>
          <c:showSerName val="0"/>
          <c:showPercent val="0"/>
          <c:showBubbleSize val="0"/>
        </c:dLbls>
        <c:axId val="241261568"/>
        <c:axId val="241271936"/>
      </c:scatterChart>
      <c:valAx>
        <c:axId val="241261568"/>
        <c:scaling>
          <c:orientation val="minMax"/>
        </c:scaling>
        <c:delete val="0"/>
        <c:axPos val="b"/>
        <c:title>
          <c:tx>
            <c:rich>
              <a:bodyPr/>
              <a:lstStyle/>
              <a:p>
                <a:pPr>
                  <a:defRPr sz="1100" b="1" i="0" u="none" strike="noStrike" baseline="0">
                    <a:solidFill>
                      <a:srgbClr val="000000"/>
                    </a:solidFill>
                    <a:latin typeface="+mn-lt"/>
                    <a:ea typeface="Tahoma"/>
                    <a:cs typeface="Tahoma"/>
                  </a:defRPr>
                </a:pPr>
                <a:r>
                  <a:rPr lang="en-US" sz="1100">
                    <a:latin typeface="+mn-lt"/>
                  </a:rPr>
                  <a:t>Interest Rate Differential (%)</a:t>
                </a:r>
              </a:p>
            </c:rich>
          </c:tx>
          <c:layout>
            <c:manualLayout>
              <c:xMode val="edge"/>
              <c:yMode val="edge"/>
              <c:x val="0.34957847769028871"/>
              <c:y val="0.92456083989501314"/>
            </c:manualLayout>
          </c:layout>
          <c:overlay val="0"/>
          <c:spPr>
            <a:noFill/>
            <a:ln w="25400">
              <a:noFill/>
            </a:ln>
          </c:spPr>
        </c:title>
        <c:numFmt formatCode="General" sourceLinked="1"/>
        <c:majorTickMark val="out"/>
        <c:minorTickMark val="none"/>
        <c:tickLblPos val="nextTo"/>
        <c:spPr>
          <a:ln w="3175">
            <a:solidFill>
              <a:srgbClr val="7D7D7D"/>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271936"/>
        <c:crosses val="autoZero"/>
        <c:crossBetween val="midCat"/>
      </c:valAx>
      <c:valAx>
        <c:axId val="241271936"/>
        <c:scaling>
          <c:orientation val="minMax"/>
        </c:scaling>
        <c:delete val="0"/>
        <c:axPos val="l"/>
        <c:majorGridlines>
          <c:spPr>
            <a:ln w="3175">
              <a:solidFill>
                <a:srgbClr val="7D7D7D"/>
              </a:solidFill>
              <a:prstDash val="solid"/>
            </a:ln>
          </c:spPr>
        </c:majorGridlines>
        <c:title>
          <c:tx>
            <c:rich>
              <a:bodyPr/>
              <a:lstStyle/>
              <a:p>
                <a:pPr>
                  <a:defRPr sz="1100" b="1" i="0" u="none" strike="noStrike" baseline="0">
                    <a:solidFill>
                      <a:srgbClr val="000000"/>
                    </a:solidFill>
                    <a:latin typeface="+mn-lt"/>
                    <a:ea typeface="Tahoma"/>
                    <a:cs typeface="Tahoma"/>
                  </a:defRPr>
                </a:pPr>
                <a:r>
                  <a:rPr lang="en-US" sz="1100">
                    <a:latin typeface="+mn-lt"/>
                  </a:rPr>
                  <a:t>Volatililty (%)</a:t>
                </a:r>
              </a:p>
            </c:rich>
          </c:tx>
          <c:layout>
            <c:manualLayout>
              <c:xMode val="edge"/>
              <c:yMode val="edge"/>
              <c:x val="1.2333858267716536E-2"/>
              <c:y val="0.34650960629921262"/>
            </c:manualLayout>
          </c:layout>
          <c:overlay val="0"/>
          <c:spPr>
            <a:noFill/>
            <a:ln w="25400">
              <a:noFill/>
            </a:ln>
          </c:spPr>
        </c:title>
        <c:numFmt formatCode="General" sourceLinked="1"/>
        <c:majorTickMark val="out"/>
        <c:minorTickMark val="none"/>
        <c:tickLblPos val="nextTo"/>
        <c:spPr>
          <a:ln w="3175">
            <a:solidFill>
              <a:srgbClr val="7D7D7D"/>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261568"/>
        <c:crosses val="autoZero"/>
        <c:crossBetween val="midCat"/>
      </c:valAx>
      <c:spPr>
        <a:noFill/>
        <a:ln w="12700">
          <a:solidFill>
            <a:srgbClr val="7D7D7D"/>
          </a:solidFill>
          <a:prstDash val="solid"/>
        </a:ln>
      </c:spPr>
    </c:plotArea>
    <c:plotVisOnly val="0"/>
    <c:dispBlanksAs val="gap"/>
    <c:showDLblsOverMax val="0"/>
  </c:chart>
  <c:spPr>
    <a:solidFill>
      <a:srgbClr val="FFFFFF"/>
    </a:solidFill>
    <a:ln w="12700">
      <a:solidFill>
        <a:schemeClr val="tx1"/>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84960243940094"/>
          <c:y val="0.13433783492168641"/>
          <c:w val="0.8454205264783079"/>
          <c:h val="0.7109785559787819"/>
        </c:manualLayout>
      </c:layout>
      <c:lineChart>
        <c:grouping val="standard"/>
        <c:varyColors val="0"/>
        <c:ser>
          <c:idx val="1"/>
          <c:order val="0"/>
          <c:tx>
            <c:strRef>
              <c:f>'Main Monitor'!$BL$15</c:f>
              <c:strCache>
                <c:ptCount val="1"/>
                <c:pt idx="0">
                  <c:v>SGD</c:v>
                </c:pt>
              </c:strCache>
            </c:strRef>
          </c:tx>
          <c:spPr>
            <a:ln w="25400">
              <a:solidFill>
                <a:srgbClr val="993366"/>
              </a:solidFill>
              <a:prstDash val="solid"/>
            </a:ln>
          </c:spPr>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Monitor'!$BL$16:$BL$279</c15:sqref>
                  </c15:fullRef>
                </c:ext>
              </c:extLst>
              <c:f>'Main Monitor'!$BL$17:$BL$279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1-B8DE-4BD3-8E8D-48894FA9C908}"/>
            </c:ext>
          </c:extLst>
        </c:ser>
        <c:ser>
          <c:idx val="2"/>
          <c:order val="1"/>
          <c:tx>
            <c:strRef>
              <c:f>'Main Monitor'!$BM$15</c:f>
              <c:strCache>
                <c:ptCount val="1"/>
                <c:pt idx="0">
                  <c:v>AUD</c:v>
                </c:pt>
              </c:strCache>
            </c:strRef>
          </c:tx>
          <c:spPr>
            <a:ln w="25400">
              <a:solidFill>
                <a:srgbClr val="FFCC99"/>
              </a:solidFill>
              <a:prstDash val="solid"/>
            </a:ln>
          </c:spPr>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Monitor'!$BM$16:$BM$279</c15:sqref>
                  </c15:fullRef>
                </c:ext>
              </c:extLst>
              <c:f>'Main Monitor'!$BM$17:$BM$279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2-B8DE-4BD3-8E8D-48894FA9C908}"/>
            </c:ext>
          </c:extLst>
        </c:ser>
        <c:ser>
          <c:idx val="4"/>
          <c:order val="2"/>
          <c:tx>
            <c:strRef>
              <c:f>'Main Monitor'!$BN$15</c:f>
              <c:strCache>
                <c:ptCount val="1"/>
                <c:pt idx="0">
                  <c:v>CAD</c:v>
                </c:pt>
              </c:strCache>
            </c:strRef>
          </c:tx>
          <c:spPr>
            <a:ln w="25400">
              <a:solidFill>
                <a:srgbClr val="477AB7"/>
              </a:solidFill>
              <a:prstDash val="solid"/>
            </a:ln>
          </c:spPr>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Monitor'!$BN$16:$BN$279</c15:sqref>
                  </c15:fullRef>
                </c:ext>
              </c:extLst>
              <c:f>'Main Monitor'!$BN$17:$BN$279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4-B8DE-4BD3-8E8D-48894FA9C908}"/>
            </c:ext>
          </c:extLst>
        </c:ser>
        <c:ser>
          <c:idx val="5"/>
          <c:order val="3"/>
          <c:tx>
            <c:strRef>
              <c:f>'Main Monitor'!$BO$15</c:f>
              <c:strCache>
                <c:ptCount val="1"/>
                <c:pt idx="0">
                  <c:v>JPY</c:v>
                </c:pt>
              </c:strCache>
            </c:strRef>
          </c:tx>
          <c:spPr>
            <a:ln w="25400">
              <a:solidFill>
                <a:srgbClr val="E11F1F"/>
              </a:solidFill>
              <a:prstDash val="solid"/>
            </a:ln>
          </c:spPr>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Monitor'!$BO$16:$BO$279</c15:sqref>
                  </c15:fullRef>
                </c:ext>
              </c:extLst>
              <c:f>'Main Monitor'!$BO$17:$BO$279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5-B8DE-4BD3-8E8D-48894FA9C908}"/>
            </c:ext>
          </c:extLst>
        </c:ser>
        <c:ser>
          <c:idx val="6"/>
          <c:order val="4"/>
          <c:tx>
            <c:strRef>
              <c:f>'Main Monitor'!$BP$15</c:f>
              <c:strCache>
                <c:ptCount val="1"/>
                <c:pt idx="0">
                  <c:v>CHF</c:v>
                </c:pt>
              </c:strCache>
            </c:strRef>
          </c:tx>
          <c:spPr>
            <a:ln w="25400">
              <a:solidFill>
                <a:srgbClr val="477AB7"/>
              </a:solidFill>
              <a:prstDash val="solid"/>
            </a:ln>
          </c:spPr>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Monitor'!$BP$16:$BP$279</c15:sqref>
                  </c15:fullRef>
                </c:ext>
              </c:extLst>
              <c:f>'Main Monitor'!$BP$17:$BP$279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6-B8DE-4BD3-8E8D-48894FA9C908}"/>
            </c:ext>
          </c:extLst>
        </c:ser>
        <c:ser>
          <c:idx val="7"/>
          <c:order val="5"/>
          <c:tx>
            <c:strRef>
              <c:f>'Main Monitor'!$BQ$15</c:f>
              <c:strCache>
                <c:ptCount val="1"/>
                <c:pt idx="0">
                  <c:v>GBP</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Monitor'!$BQ$16:$BQ$279</c15:sqref>
                  </c15:fullRef>
                </c:ext>
              </c:extLst>
              <c:f>'Main Monitor'!$BQ$17:$BQ$279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7-B8DE-4BD3-8E8D-48894FA9C908}"/>
            </c:ext>
          </c:extLst>
        </c:ser>
        <c:ser>
          <c:idx val="8"/>
          <c:order val="6"/>
          <c:tx>
            <c:strRef>
              <c:f>'Main Monitor'!$BR$15</c:f>
              <c:strCache>
                <c:ptCount val="1"/>
                <c:pt idx="0">
                  <c:v>EURGBP</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Monitor'!$BR$16:$BR$279</c15:sqref>
                  </c15:fullRef>
                </c:ext>
              </c:extLst>
              <c:f>'Main Monitor'!$BR$17:$BR$279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8-B8DE-4BD3-8E8D-48894FA9C908}"/>
            </c:ext>
          </c:extLst>
        </c:ser>
        <c:ser>
          <c:idx val="9"/>
          <c:order val="7"/>
          <c:tx>
            <c:strRef>
              <c:f>'Main Monitor'!$BS$15</c:f>
              <c:strCache>
                <c:ptCount val="1"/>
                <c:pt idx="0">
                  <c:v>NZD</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Monitor'!$BS$16:$BS$279</c15:sqref>
                  </c15:fullRef>
                </c:ext>
              </c:extLst>
              <c:f>'Main Monitor'!$BS$17:$BS$279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9-B8DE-4BD3-8E8D-48894FA9C908}"/>
            </c:ext>
          </c:extLst>
        </c:ser>
        <c:ser>
          <c:idx val="10"/>
          <c:order val="8"/>
          <c:tx>
            <c:strRef>
              <c:f>'Main Monitor'!$BT$15</c:f>
              <c:strCache>
                <c:ptCount val="1"/>
                <c:pt idx="0">
                  <c:v>HKD</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Monitor'!$BT$16:$BT$279</c15:sqref>
                  </c15:fullRef>
                </c:ext>
              </c:extLst>
              <c:f>'Main Monitor'!$BT$17:$BT$279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A-B8DE-4BD3-8E8D-48894FA9C908}"/>
            </c:ext>
          </c:extLst>
        </c:ser>
        <c:ser>
          <c:idx val="11"/>
          <c:order val="9"/>
          <c:tx>
            <c:strRef>
              <c:f>'Main Monitor'!$BU$15</c:f>
              <c:strCache>
                <c:ptCount val="1"/>
                <c:pt idx="0">
                  <c:v>SEK</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Monitor'!$BU$16:$BU$279</c15:sqref>
                  </c15:fullRef>
                </c:ext>
              </c:extLst>
              <c:f>'Main Monitor'!$BU$17:$BU$279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B-B8DE-4BD3-8E8D-48894FA9C908}"/>
            </c:ext>
          </c:extLst>
        </c:ser>
        <c:ser>
          <c:idx val="3"/>
          <c:order val="10"/>
          <c:tx>
            <c:strRef>
              <c:f>'Main Monitor'!$BV$15</c:f>
              <c:strCache>
                <c:ptCount val="1"/>
                <c:pt idx="0">
                  <c:v>NOK</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Monitor'!$BV$16:$BV$279</c15:sqref>
                  </c15:fullRef>
                </c:ext>
              </c:extLst>
              <c:f>'Main Monitor'!$BV$17:$BV$279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2-3712-47B0-BE55-AAC24AB69558}"/>
            </c:ext>
          </c:extLst>
        </c:ser>
        <c:ser>
          <c:idx val="12"/>
          <c:order val="11"/>
          <c:tx>
            <c:strRef>
              <c:f>'Main Monitor'!$BW$15</c:f>
              <c:strCache>
                <c:ptCount val="1"/>
                <c:pt idx="0">
                  <c:v>DKK</c:v>
                </c:pt>
              </c:strCache>
            </c:strRef>
          </c:tx>
          <c:marker>
            <c:symbol val="none"/>
          </c:marker>
          <c:cat>
            <c:numRef>
              <c:extLst>
                <c:ext xmlns:c15="http://schemas.microsoft.com/office/drawing/2012/chart" uri="{02D57815-91ED-43cb-92C2-25804820EDAC}">
                  <c15:fullRef>
                    <c15:sqref>'Main Monitor'!$BK$15:$BK$279</c15:sqref>
                  </c15:fullRef>
                </c:ext>
              </c:extLst>
              <c:f>'Main Monitor'!$BK$16:$BK$279</c:f>
              <c:numCache>
                <c:formatCode>m/d/yyyy</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cat>
          <c:val>
            <c:numRef>
              <c:extLst>
                <c:ext xmlns:c15="http://schemas.microsoft.com/office/drawing/2012/chart" uri="{02D57815-91ED-43cb-92C2-25804820EDAC}">
                  <c15:fullRef>
                    <c15:sqref>'Main Monitor'!$BW$16:$BW$279</c15:sqref>
                  </c15:fullRef>
                </c:ext>
              </c:extLst>
              <c:f>'Main Monitor'!$BW$17:$BW$279</c:f>
              <c:numCache>
                <c:formatCode>General</c:formatCode>
                <c:ptCount val="2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3-3712-47B0-BE55-AAC24AB69558}"/>
            </c:ext>
          </c:extLst>
        </c:ser>
        <c:dLbls>
          <c:showLegendKey val="0"/>
          <c:showVal val="0"/>
          <c:showCatName val="0"/>
          <c:showSerName val="0"/>
          <c:showPercent val="0"/>
          <c:showBubbleSize val="0"/>
        </c:dLbls>
        <c:smooth val="0"/>
        <c:axId val="241604096"/>
        <c:axId val="241605632"/>
      </c:lineChart>
      <c:dateAx>
        <c:axId val="241604096"/>
        <c:scaling>
          <c:orientation val="minMax"/>
        </c:scaling>
        <c:delete val="0"/>
        <c:axPos val="b"/>
        <c:numFmt formatCode="m/d/yyyy" sourceLinked="0"/>
        <c:majorTickMark val="in"/>
        <c:minorTickMark val="none"/>
        <c:tickLblPos val="nextTo"/>
        <c:spPr>
          <a:ln w="3175">
            <a:solidFill>
              <a:srgbClr val="7D7D7D"/>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241605632"/>
        <c:crosses val="autoZero"/>
        <c:auto val="1"/>
        <c:lblOffset val="100"/>
        <c:baseTimeUnit val="days"/>
        <c:majorUnit val="1"/>
        <c:majorTimeUnit val="months"/>
        <c:minorUnit val="15"/>
        <c:minorTimeUnit val="days"/>
      </c:dateAx>
      <c:valAx>
        <c:axId val="241605632"/>
        <c:scaling>
          <c:orientation val="minMax"/>
        </c:scaling>
        <c:delete val="0"/>
        <c:axPos val="l"/>
        <c:majorGridlines>
          <c:spPr>
            <a:ln w="3175">
              <a:solidFill>
                <a:srgbClr val="7D7D7D"/>
              </a:solidFill>
              <a:prstDash val="solid"/>
            </a:ln>
          </c:spPr>
        </c:majorGridlines>
        <c:title>
          <c:tx>
            <c:rich>
              <a:bodyPr/>
              <a:lstStyle/>
              <a:p>
                <a:pPr>
                  <a:defRPr sz="1100" b="1" i="0" u="none" strike="noStrike" baseline="0">
                    <a:solidFill>
                      <a:srgbClr val="000000"/>
                    </a:solidFill>
                    <a:latin typeface="+mn-lt"/>
                    <a:ea typeface="Tahoma"/>
                    <a:cs typeface="Tahoma"/>
                  </a:defRPr>
                </a:pPr>
                <a:r>
                  <a:rPr lang="en-US" sz="1100">
                    <a:latin typeface="+mn-lt"/>
                  </a:rPr>
                  <a:t>Int. Rate Diff/ Volatility</a:t>
                </a:r>
              </a:p>
            </c:rich>
          </c:tx>
          <c:layout>
            <c:manualLayout>
              <c:xMode val="edge"/>
              <c:yMode val="edge"/>
              <c:x val="7.1050469836308628E-3"/>
              <c:y val="0.29016587926509185"/>
            </c:manualLayout>
          </c:layout>
          <c:overlay val="0"/>
          <c:spPr>
            <a:noFill/>
            <a:ln w="25400">
              <a:noFill/>
            </a:ln>
          </c:spPr>
        </c:title>
        <c:numFmt formatCode="General" sourceLinked="1"/>
        <c:majorTickMark val="out"/>
        <c:minorTickMark val="none"/>
        <c:tickLblPos val="nextTo"/>
        <c:spPr>
          <a:ln w="3175">
            <a:solidFill>
              <a:srgbClr val="7D7D7D"/>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1604096"/>
        <c:crosses val="autoZero"/>
        <c:crossBetween val="between"/>
      </c:valAx>
      <c:spPr>
        <a:noFill/>
        <a:ln w="25400">
          <a:noFill/>
        </a:ln>
      </c:spPr>
    </c:plotArea>
    <c:legend>
      <c:legendPos val="t"/>
      <c:overlay val="0"/>
      <c:spPr>
        <a:solidFill>
          <a:srgbClr val="FFFFFF"/>
        </a:solidFill>
        <a:ln w="25400">
          <a:noFill/>
        </a:ln>
      </c:spPr>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noFill/>
    <a:ln w="12700">
      <a:solidFill>
        <a:schemeClr val="tx1"/>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18" Type="http://schemas.openxmlformats.org/officeDocument/2006/relationships/image" Target="../media/image2.emf"/><Relationship Id="rId3" Type="http://schemas.openxmlformats.org/officeDocument/2006/relationships/image" Target="../media/image17.emf"/><Relationship Id="rId7" Type="http://schemas.openxmlformats.org/officeDocument/2006/relationships/image" Target="../media/image13.emf"/><Relationship Id="rId12" Type="http://schemas.openxmlformats.org/officeDocument/2006/relationships/image" Target="../media/image8.emf"/><Relationship Id="rId17" Type="http://schemas.openxmlformats.org/officeDocument/2006/relationships/image" Target="../media/image3.emf"/><Relationship Id="rId2" Type="http://schemas.openxmlformats.org/officeDocument/2006/relationships/image" Target="../media/image18.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5.emf"/><Relationship Id="rId15" Type="http://schemas.openxmlformats.org/officeDocument/2006/relationships/image" Target="../media/image5.emf"/><Relationship Id="rId10" Type="http://schemas.openxmlformats.org/officeDocument/2006/relationships/image" Target="../media/image10.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11.emf"/><Relationship Id="rId1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3</xdr:col>
      <xdr:colOff>0</xdr:colOff>
      <xdr:row>33</xdr:row>
      <xdr:rowOff>0</xdr:rowOff>
    </xdr:from>
    <xdr:to>
      <xdr:col>21</xdr:col>
      <xdr:colOff>0</xdr:colOff>
      <xdr:row>58</xdr:row>
      <xdr:rowOff>0</xdr:rowOff>
    </xdr:to>
    <xdr:graphicFrame macro="">
      <xdr:nvGraphicFramePr>
        <xdr:cNvPr id="1418" name="Chart 64">
          <a:extLst>
            <a:ext uri="{FF2B5EF4-FFF2-40B4-BE49-F238E27FC236}">
              <a16:creationId xmlns:a16="http://schemas.microsoft.com/office/drawing/2014/main" id="{00000000-0008-0000-0000-00008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32</xdr:row>
      <xdr:rowOff>190499</xdr:rowOff>
    </xdr:from>
    <xdr:to>
      <xdr:col>51</xdr:col>
      <xdr:colOff>447675</xdr:colOff>
      <xdr:row>58</xdr:row>
      <xdr:rowOff>0</xdr:rowOff>
    </xdr:to>
    <xdr:graphicFrame macro="">
      <xdr:nvGraphicFramePr>
        <xdr:cNvPr id="1419" name="Chart 90">
          <a:extLst>
            <a:ext uri="{FF2B5EF4-FFF2-40B4-BE49-F238E27FC236}">
              <a16:creationId xmlns:a16="http://schemas.microsoft.com/office/drawing/2014/main" id="{00000000-0008-0000-0000-00008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107950</xdr:colOff>
          <xdr:row>29</xdr:row>
          <xdr:rowOff>0</xdr:rowOff>
        </xdr:from>
        <xdr:to>
          <xdr:col>30</xdr:col>
          <xdr:colOff>679450</xdr:colOff>
          <xdr:row>31</xdr:row>
          <xdr:rowOff>12700</xdr:rowOff>
        </xdr:to>
        <xdr:sp macro="" textlink="">
          <xdr:nvSpPr>
            <xdr:cNvPr id="1102" name="chkCCYPair1"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29</xdr:row>
          <xdr:rowOff>0</xdr:rowOff>
        </xdr:from>
        <xdr:to>
          <xdr:col>31</xdr:col>
          <xdr:colOff>685800</xdr:colOff>
          <xdr:row>31</xdr:row>
          <xdr:rowOff>12700</xdr:rowOff>
        </xdr:to>
        <xdr:sp macro="" textlink="">
          <xdr:nvSpPr>
            <xdr:cNvPr id="1103" name="chkCCYPair2"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29</xdr:row>
          <xdr:rowOff>12700</xdr:rowOff>
        </xdr:from>
        <xdr:to>
          <xdr:col>39</xdr:col>
          <xdr:colOff>571500</xdr:colOff>
          <xdr:row>31</xdr:row>
          <xdr:rowOff>19050</xdr:rowOff>
        </xdr:to>
        <xdr:sp macro="" textlink="">
          <xdr:nvSpPr>
            <xdr:cNvPr id="1104" name="chkCCYPair3"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29</xdr:row>
          <xdr:rowOff>12700</xdr:rowOff>
        </xdr:from>
        <xdr:to>
          <xdr:col>40</xdr:col>
          <xdr:colOff>571500</xdr:colOff>
          <xdr:row>31</xdr:row>
          <xdr:rowOff>19050</xdr:rowOff>
        </xdr:to>
        <xdr:sp macro="" textlink="">
          <xdr:nvSpPr>
            <xdr:cNvPr id="1105" name="chkCCYPair4"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29</xdr:row>
          <xdr:rowOff>19050</xdr:rowOff>
        </xdr:from>
        <xdr:to>
          <xdr:col>41</xdr:col>
          <xdr:colOff>571500</xdr:colOff>
          <xdr:row>31</xdr:row>
          <xdr:rowOff>19050</xdr:rowOff>
        </xdr:to>
        <xdr:sp macro="" textlink="">
          <xdr:nvSpPr>
            <xdr:cNvPr id="1106" name="chkCCYPair5"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29</xdr:row>
          <xdr:rowOff>19050</xdr:rowOff>
        </xdr:from>
        <xdr:to>
          <xdr:col>42</xdr:col>
          <xdr:colOff>571500</xdr:colOff>
          <xdr:row>31</xdr:row>
          <xdr:rowOff>19050</xdr:rowOff>
        </xdr:to>
        <xdr:sp macro="" textlink="">
          <xdr:nvSpPr>
            <xdr:cNvPr id="1107" name="chkCCYPair6"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107950</xdr:colOff>
          <xdr:row>30</xdr:row>
          <xdr:rowOff>133350</xdr:rowOff>
        </xdr:from>
        <xdr:to>
          <xdr:col>30</xdr:col>
          <xdr:colOff>679450</xdr:colOff>
          <xdr:row>32</xdr:row>
          <xdr:rowOff>12700</xdr:rowOff>
        </xdr:to>
        <xdr:sp macro="" textlink="">
          <xdr:nvSpPr>
            <xdr:cNvPr id="1108" name="chkCCYPair7"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30</xdr:row>
          <xdr:rowOff>133350</xdr:rowOff>
        </xdr:from>
        <xdr:to>
          <xdr:col>31</xdr:col>
          <xdr:colOff>685800</xdr:colOff>
          <xdr:row>32</xdr:row>
          <xdr:rowOff>12700</xdr:rowOff>
        </xdr:to>
        <xdr:sp macro="" textlink="">
          <xdr:nvSpPr>
            <xdr:cNvPr id="1109" name="chkCCYPair8"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30</xdr:row>
          <xdr:rowOff>146050</xdr:rowOff>
        </xdr:from>
        <xdr:to>
          <xdr:col>39</xdr:col>
          <xdr:colOff>571500</xdr:colOff>
          <xdr:row>32</xdr:row>
          <xdr:rowOff>19050</xdr:rowOff>
        </xdr:to>
        <xdr:sp macro="" textlink="">
          <xdr:nvSpPr>
            <xdr:cNvPr id="1110" name="chkCCYPair9"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30</xdr:row>
          <xdr:rowOff>146050</xdr:rowOff>
        </xdr:from>
        <xdr:to>
          <xdr:col>40</xdr:col>
          <xdr:colOff>571500</xdr:colOff>
          <xdr:row>32</xdr:row>
          <xdr:rowOff>19050</xdr:rowOff>
        </xdr:to>
        <xdr:sp macro="" textlink="">
          <xdr:nvSpPr>
            <xdr:cNvPr id="1111" name="chkCCYPair10"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30</xdr:row>
          <xdr:rowOff>152400</xdr:rowOff>
        </xdr:from>
        <xdr:to>
          <xdr:col>41</xdr:col>
          <xdr:colOff>571500</xdr:colOff>
          <xdr:row>32</xdr:row>
          <xdr:rowOff>31750</xdr:rowOff>
        </xdr:to>
        <xdr:sp macro="" textlink="">
          <xdr:nvSpPr>
            <xdr:cNvPr id="1112" name="chkCCYPair11"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30</xdr:row>
          <xdr:rowOff>152400</xdr:rowOff>
        </xdr:from>
        <xdr:to>
          <xdr:col>42</xdr:col>
          <xdr:colOff>571500</xdr:colOff>
          <xdr:row>32</xdr:row>
          <xdr:rowOff>31750</xdr:rowOff>
        </xdr:to>
        <xdr:sp macro="" textlink="">
          <xdr:nvSpPr>
            <xdr:cNvPr id="1113" name="chkCCYPair12"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5</xdr:row>
          <xdr:rowOff>0</xdr:rowOff>
        </xdr:from>
        <xdr:to>
          <xdr:col>17</xdr:col>
          <xdr:colOff>50800</xdr:colOff>
          <xdr:row>6</xdr:row>
          <xdr:rowOff>127000</xdr:rowOff>
        </xdr:to>
        <xdr:sp macro="" textlink="">
          <xdr:nvSpPr>
            <xdr:cNvPr id="1122" name="btnRefresh"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88900</xdr:colOff>
          <xdr:row>6</xdr:row>
          <xdr:rowOff>19050</xdr:rowOff>
        </xdr:from>
        <xdr:to>
          <xdr:col>29</xdr:col>
          <xdr:colOff>12700</xdr:colOff>
          <xdr:row>7</xdr:row>
          <xdr:rowOff>107950</xdr:rowOff>
        </xdr:to>
        <xdr:sp macro="" textlink="">
          <xdr:nvSpPr>
            <xdr:cNvPr id="1124" name="btnWCRS"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285750</xdr:colOff>
          <xdr:row>6</xdr:row>
          <xdr:rowOff>19050</xdr:rowOff>
        </xdr:from>
        <xdr:to>
          <xdr:col>30</xdr:col>
          <xdr:colOff>203200</xdr:colOff>
          <xdr:row>7</xdr:row>
          <xdr:rowOff>107950</xdr:rowOff>
        </xdr:to>
        <xdr:sp macro="" textlink="">
          <xdr:nvSpPr>
            <xdr:cNvPr id="1131" name="btnXDSH"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488950</xdr:colOff>
          <xdr:row>6</xdr:row>
          <xdr:rowOff>19050</xdr:rowOff>
        </xdr:from>
        <xdr:to>
          <xdr:col>31</xdr:col>
          <xdr:colOff>400050</xdr:colOff>
          <xdr:row>7</xdr:row>
          <xdr:rowOff>107950</xdr:rowOff>
        </xdr:to>
        <xdr:sp macro="" textlink="">
          <xdr:nvSpPr>
            <xdr:cNvPr id="1132" name="btnVOLC"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76200</xdr:colOff>
          <xdr:row>6</xdr:row>
          <xdr:rowOff>19050</xdr:rowOff>
        </xdr:from>
        <xdr:to>
          <xdr:col>39</xdr:col>
          <xdr:colOff>685800</xdr:colOff>
          <xdr:row>7</xdr:row>
          <xdr:rowOff>107950</xdr:rowOff>
        </xdr:to>
        <xdr:sp macro="" textlink="">
          <xdr:nvSpPr>
            <xdr:cNvPr id="1133" name="btnXCRV"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146050</xdr:colOff>
          <xdr:row>6</xdr:row>
          <xdr:rowOff>19050</xdr:rowOff>
        </xdr:from>
        <xdr:to>
          <xdr:col>41</xdr:col>
          <xdr:colOff>57150</xdr:colOff>
          <xdr:row>7</xdr:row>
          <xdr:rowOff>107950</xdr:rowOff>
        </xdr:to>
        <xdr:sp macro="" textlink="">
          <xdr:nvSpPr>
            <xdr:cNvPr id="1134" name="btnOVDV"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323850</xdr:colOff>
          <xdr:row>6</xdr:row>
          <xdr:rowOff>19050</xdr:rowOff>
        </xdr:from>
        <xdr:to>
          <xdr:col>42</xdr:col>
          <xdr:colOff>241300</xdr:colOff>
          <xdr:row>7</xdr:row>
          <xdr:rowOff>107950</xdr:rowOff>
        </xdr:to>
        <xdr:sp macro="" textlink="">
          <xdr:nvSpPr>
            <xdr:cNvPr id="1170" name="btnCURV"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114300</xdr:colOff>
      <xdr:row>1</xdr:row>
      <xdr:rowOff>0</xdr:rowOff>
    </xdr:from>
    <xdr:to>
      <xdr:col>6</xdr:col>
      <xdr:colOff>503168</xdr:colOff>
      <xdr:row>3</xdr:row>
      <xdr:rowOff>180975</xdr:rowOff>
    </xdr:to>
    <xdr:pic>
      <xdr:nvPicPr>
        <xdr:cNvPr id="1420" name="Bloomberg">
          <a:extLst>
            <a:ext uri="{FF2B5EF4-FFF2-40B4-BE49-F238E27FC236}">
              <a16:creationId xmlns:a16="http://schemas.microsoft.com/office/drawing/2014/main" id="{00000000-0008-0000-0000-00008C05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482518</xdr:colOff>
      <xdr:row>1</xdr:row>
      <xdr:rowOff>0</xdr:rowOff>
    </xdr:from>
    <xdr:to>
      <xdr:col>31</xdr:col>
      <xdr:colOff>289782</xdr:colOff>
      <xdr:row>3</xdr:row>
      <xdr:rowOff>185928</xdr:rowOff>
    </xdr:to>
    <xdr:sp macro="" textlink="">
      <xdr:nvSpPr>
        <xdr:cNvPr id="28" name="BannerTitle">
          <a:extLst>
            <a:ext uri="{FF2B5EF4-FFF2-40B4-BE49-F238E27FC236}">
              <a16:creationId xmlns:a16="http://schemas.microsoft.com/office/drawing/2014/main" id="{00000000-0008-0000-0000-00001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FX Volatility And Carry Analysis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527050</xdr:colOff>
          <xdr:row>6</xdr:row>
          <xdr:rowOff>12700</xdr:rowOff>
        </xdr:from>
        <xdr:to>
          <xdr:col>1</xdr:col>
          <xdr:colOff>990600</xdr:colOff>
          <xdr:row>7</xdr:row>
          <xdr:rowOff>146050</xdr:rowOff>
        </xdr:to>
        <xdr:sp macro="" textlink="">
          <xdr:nvSpPr>
            <xdr:cNvPr id="8195" name="CommandButton1"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114300</xdr:colOff>
      <xdr:row>1</xdr:row>
      <xdr:rowOff>0</xdr:rowOff>
    </xdr:from>
    <xdr:to>
      <xdr:col>1</xdr:col>
      <xdr:colOff>1323975</xdr:colOff>
      <xdr:row>3</xdr:row>
      <xdr:rowOff>180975</xdr:rowOff>
    </xdr:to>
    <xdr:pic>
      <xdr:nvPicPr>
        <xdr:cNvPr id="8324" name="Bloomberg">
          <a:extLst>
            <a:ext uri="{FF2B5EF4-FFF2-40B4-BE49-F238E27FC236}">
              <a16:creationId xmlns:a16="http://schemas.microsoft.com/office/drawing/2014/main" id="{00000000-0008-0000-0100-0000842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1303325</xdr:colOff>
      <xdr:row>1</xdr:row>
      <xdr:rowOff>0</xdr:rowOff>
    </xdr:from>
    <xdr:to>
      <xdr:col>11</xdr:col>
      <xdr:colOff>527355</xdr:colOff>
      <xdr:row>3</xdr:row>
      <xdr:rowOff>185928</xdr:rowOff>
    </xdr:to>
    <xdr:sp macro="" textlink="">
      <xdr:nvSpPr>
        <xdr:cNvPr id="4" name="BannerTitle">
          <a:extLst>
            <a:ext uri="{FF2B5EF4-FFF2-40B4-BE49-F238E27FC236}">
              <a16:creationId xmlns:a16="http://schemas.microsoft.com/office/drawing/2014/main" id="{00000000-0008-0000-0100-000004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FX Volatility And Carry Analysis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184" name="Bloomberg">
          <a:extLst>
            <a:ext uri="{FF2B5EF4-FFF2-40B4-BE49-F238E27FC236}">
              <a16:creationId xmlns:a16="http://schemas.microsoft.com/office/drawing/2014/main" id="{00000000-0008-0000-0200-0000880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9</xdr:col>
      <xdr:colOff>257480</xdr:colOff>
      <xdr:row>3</xdr:row>
      <xdr:rowOff>185928</xdr:rowOff>
    </xdr:to>
    <xdr:sp macro="" textlink="">
      <xdr:nvSpPr>
        <xdr:cNvPr id="6" name="BannerTitle">
          <a:extLst>
            <a:ext uri="{FF2B5EF4-FFF2-40B4-BE49-F238E27FC236}">
              <a16:creationId xmlns:a16="http://schemas.microsoft.com/office/drawing/2014/main" id="{00000000-0008-0000-0200-000006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FX Volatility And Carry Analysis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190500</xdr:colOff>
          <xdr:row>7</xdr:row>
          <xdr:rowOff>0</xdr:rowOff>
        </xdr:to>
        <xdr:sp macro="" textlink="">
          <xdr:nvSpPr>
            <xdr:cNvPr id="9262" name="CommandButton21"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111672</xdr:colOff>
      <xdr:row>1</xdr:row>
      <xdr:rowOff>0</xdr:rowOff>
    </xdr:from>
    <xdr:to>
      <xdr:col>4</xdr:col>
      <xdr:colOff>387240</xdr:colOff>
      <xdr:row>3</xdr:row>
      <xdr:rowOff>180975</xdr:rowOff>
    </xdr:to>
    <xdr:pic>
      <xdr:nvPicPr>
        <xdr:cNvPr id="9351" name="Bloomberg">
          <a:extLst>
            <a:ext uri="{FF2B5EF4-FFF2-40B4-BE49-F238E27FC236}">
              <a16:creationId xmlns:a16="http://schemas.microsoft.com/office/drawing/2014/main" id="{00000000-0008-0000-0300-0000872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366590</xdr:colOff>
      <xdr:row>1</xdr:row>
      <xdr:rowOff>0</xdr:rowOff>
    </xdr:from>
    <xdr:to>
      <xdr:col>19</xdr:col>
      <xdr:colOff>320870</xdr:colOff>
      <xdr:row>3</xdr:row>
      <xdr:rowOff>185928</xdr:rowOff>
    </xdr:to>
    <xdr:sp macro="" textlink="">
      <xdr:nvSpPr>
        <xdr:cNvPr id="7" name="BannerTitle">
          <a:extLst>
            <a:ext uri="{FF2B5EF4-FFF2-40B4-BE49-F238E27FC236}">
              <a16:creationId xmlns:a16="http://schemas.microsoft.com/office/drawing/2014/main" id="{00000000-0008-0000-0300-000007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FX Volatility And Carry Analysis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123825</xdr:colOff>
      <xdr:row>36</xdr:row>
      <xdr:rowOff>66675</xdr:rowOff>
    </xdr:from>
    <xdr:to>
      <xdr:col>14</xdr:col>
      <xdr:colOff>552450</xdr:colOff>
      <xdr:row>79</xdr:row>
      <xdr:rowOff>142875</xdr:rowOff>
    </xdr:to>
    <xdr:pic>
      <xdr:nvPicPr>
        <xdr:cNvPr id="11258" name="Picture 25" descr="Screen Clipping">
          <a:extLst>
            <a:ext uri="{FF2B5EF4-FFF2-40B4-BE49-F238E27FC236}">
              <a16:creationId xmlns:a16="http://schemas.microsoft.com/office/drawing/2014/main" id="{00000000-0008-0000-0400-0000FA2B0000}"/>
            </a:ext>
          </a:extLst>
        </xdr:cNvPr>
        <xdr:cNvPicPr>
          <a:picLocks noChangeAspect="1"/>
        </xdr:cNvPicPr>
      </xdr:nvPicPr>
      <xdr:blipFill>
        <a:blip xmlns:r="http://schemas.openxmlformats.org/officeDocument/2006/relationships" r:embed="rId1"/>
        <a:srcRect r="941"/>
        <a:stretch>
          <a:fillRect/>
        </a:stretch>
      </xdr:blipFill>
      <xdr:spPr bwMode="auto">
        <a:xfrm>
          <a:off x="1457325" y="7038975"/>
          <a:ext cx="7134225" cy="826770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1</xdr:row>
      <xdr:rowOff>0</xdr:rowOff>
    </xdr:from>
    <xdr:to>
      <xdr:col>3</xdr:col>
      <xdr:colOff>600075</xdr:colOff>
      <xdr:row>3</xdr:row>
      <xdr:rowOff>180975</xdr:rowOff>
    </xdr:to>
    <xdr:pic>
      <xdr:nvPicPr>
        <xdr:cNvPr id="139342" name="Bloomberg">
          <a:extLst>
            <a:ext uri="{FF2B5EF4-FFF2-40B4-BE49-F238E27FC236}">
              <a16:creationId xmlns:a16="http://schemas.microsoft.com/office/drawing/2014/main" id="{00000000-0008-0000-0400-00004E20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1" name="BannerTitle">
          <a:extLst>
            <a:ext uri="{FF2B5EF4-FFF2-40B4-BE49-F238E27FC236}">
              <a16:creationId xmlns:a16="http://schemas.microsoft.com/office/drawing/2014/main" id="{00000000-0008-0000-0400-00001F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FX Volatility And Carry Analysis</a:t>
          </a:r>
        </a:p>
      </xdr:txBody>
    </xdr:sp>
    <xdr:clientData/>
  </xdr:twoCellAnchor>
  <xdr:twoCellAnchor>
    <xdr:from>
      <xdr:col>3</xdr:col>
      <xdr:colOff>561975</xdr:colOff>
      <xdr:row>82</xdr:row>
      <xdr:rowOff>0</xdr:rowOff>
    </xdr:from>
    <xdr:to>
      <xdr:col>7</xdr:col>
      <xdr:colOff>285750</xdr:colOff>
      <xdr:row>84</xdr:row>
      <xdr:rowOff>124646</xdr:rowOff>
    </xdr:to>
    <xdr:sp macro="" textlink="">
      <xdr:nvSpPr>
        <xdr:cNvPr id="22" name="DbgShadowBox">
          <a:extLst>
            <a:ext uri="{FF2B5EF4-FFF2-40B4-BE49-F238E27FC236}">
              <a16:creationId xmlns:a16="http://schemas.microsoft.com/office/drawing/2014/main" id="{00000000-0008-0000-0400-000016000000}"/>
            </a:ext>
          </a:extLst>
        </xdr:cNvPr>
        <xdr:cNvSpPr/>
      </xdr:nvSpPr>
      <xdr:spPr bwMode="auto">
        <a:xfrm>
          <a:off x="1895475" y="15220950"/>
          <a:ext cx="21621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Scatter plot of interest rate vs Volatility for various currencies. </a:t>
          </a:r>
          <a:endParaRPr lang="en-US" sz="1100">
            <a:solidFill>
              <a:sysClr val="windowText" lastClr="000000"/>
            </a:solidFill>
            <a:effectLst/>
          </a:endParaRPr>
        </a:p>
        <a:p>
          <a:pPr algn="ctr" rtl="0">
            <a:defRPr sz="1000"/>
          </a:pPr>
          <a:endParaRPr lang="en-US" sz="1100" b="0" i="0" u="none" strike="noStrike" baseline="0">
            <a:solidFill>
              <a:sysClr val="windowText" lastClr="000000"/>
            </a:solidFill>
            <a:latin typeface="Calibri"/>
          </a:endParaRPr>
        </a:p>
      </xdr:txBody>
    </xdr:sp>
    <xdr:clientData/>
  </xdr:twoCellAnchor>
  <xdr:twoCellAnchor>
    <xdr:from>
      <xdr:col>5</xdr:col>
      <xdr:colOff>504825</xdr:colOff>
      <xdr:row>77</xdr:row>
      <xdr:rowOff>28575</xdr:rowOff>
    </xdr:from>
    <xdr:to>
      <xdr:col>6</xdr:col>
      <xdr:colOff>552450</xdr:colOff>
      <xdr:row>81</xdr:row>
      <xdr:rowOff>171450</xdr:rowOff>
    </xdr:to>
    <xdr:cxnSp macro="">
      <xdr:nvCxnSpPr>
        <xdr:cNvPr id="23" name="DbgGradArrow">
          <a:extLst>
            <a:ext uri="{FF2B5EF4-FFF2-40B4-BE49-F238E27FC236}">
              <a16:creationId xmlns:a16="http://schemas.microsoft.com/office/drawing/2014/main" id="{00000000-0008-0000-0400-000017000000}"/>
            </a:ext>
          </a:extLst>
        </xdr:cNvPr>
        <xdr:cNvCxnSpPr/>
      </xdr:nvCxnSpPr>
      <xdr:spPr bwMode="auto">
        <a:xfrm flipV="1">
          <a:off x="3057525" y="14297025"/>
          <a:ext cx="657225" cy="9048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19051</xdr:colOff>
      <xdr:row>33</xdr:row>
      <xdr:rowOff>42333</xdr:rowOff>
    </xdr:from>
    <xdr:to>
      <xdr:col>6</xdr:col>
      <xdr:colOff>561975</xdr:colOff>
      <xdr:row>36</xdr:row>
      <xdr:rowOff>0</xdr:rowOff>
    </xdr:to>
    <xdr:sp macro="" textlink="">
      <xdr:nvSpPr>
        <xdr:cNvPr id="30" name="DbgShadowBox">
          <a:extLst>
            <a:ext uri="{FF2B5EF4-FFF2-40B4-BE49-F238E27FC236}">
              <a16:creationId xmlns:a16="http://schemas.microsoft.com/office/drawing/2014/main" id="{00000000-0008-0000-0400-00001E000000}"/>
            </a:ext>
          </a:extLst>
        </xdr:cNvPr>
        <xdr:cNvSpPr/>
      </xdr:nvSpPr>
      <xdr:spPr bwMode="auto">
        <a:xfrm>
          <a:off x="1352551" y="5928783"/>
          <a:ext cx="2371724" cy="529167"/>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Enter the date as of which you want to analyze Vols and Interest rates.</a:t>
          </a:r>
          <a:endParaRPr lang="en-US" sz="1100">
            <a:solidFill>
              <a:sysClr val="windowText" lastClr="000000"/>
            </a:solidFill>
            <a:effectLst/>
          </a:endParaRPr>
        </a:p>
        <a:p>
          <a:pPr algn="ctr" rtl="0">
            <a:defRPr sz="1000"/>
          </a:pPr>
          <a:endParaRPr lang="en-US" sz="1100" b="0" i="0" u="none" strike="noStrike" baseline="0">
            <a:solidFill>
              <a:sysClr val="windowText" lastClr="000000"/>
            </a:solidFill>
            <a:latin typeface="Calibri"/>
          </a:endParaRPr>
        </a:p>
      </xdr:txBody>
    </xdr:sp>
    <xdr:clientData/>
  </xdr:twoCellAnchor>
  <xdr:twoCellAnchor>
    <xdr:from>
      <xdr:col>4</xdr:col>
      <xdr:colOff>539751</xdr:colOff>
      <xdr:row>36</xdr:row>
      <xdr:rowOff>0</xdr:rowOff>
    </xdr:from>
    <xdr:to>
      <xdr:col>4</xdr:col>
      <xdr:colOff>595313</xdr:colOff>
      <xdr:row>40</xdr:row>
      <xdr:rowOff>95250</xdr:rowOff>
    </xdr:to>
    <xdr:cxnSp macro="">
      <xdr:nvCxnSpPr>
        <xdr:cNvPr id="32" name="DbgGradArrow">
          <a:extLst>
            <a:ext uri="{FF2B5EF4-FFF2-40B4-BE49-F238E27FC236}">
              <a16:creationId xmlns:a16="http://schemas.microsoft.com/office/drawing/2014/main" id="{00000000-0008-0000-0400-000020000000}"/>
            </a:ext>
          </a:extLst>
        </xdr:cNvPr>
        <xdr:cNvCxnSpPr>
          <a:stCxn id="30" idx="2"/>
        </xdr:cNvCxnSpPr>
      </xdr:nvCxnSpPr>
      <xdr:spPr bwMode="auto">
        <a:xfrm flipH="1">
          <a:off x="2482851" y="6457950"/>
          <a:ext cx="55562" cy="8572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33</xdr:row>
      <xdr:rowOff>38099</xdr:rowOff>
    </xdr:from>
    <xdr:to>
      <xdr:col>10</xdr:col>
      <xdr:colOff>333374</xdr:colOff>
      <xdr:row>35</xdr:row>
      <xdr:rowOff>180974</xdr:rowOff>
    </xdr:to>
    <xdr:sp macro="" textlink="">
      <xdr:nvSpPr>
        <xdr:cNvPr id="21" name="DbgShadowBox">
          <a:extLst>
            <a:ext uri="{FF2B5EF4-FFF2-40B4-BE49-F238E27FC236}">
              <a16:creationId xmlns:a16="http://schemas.microsoft.com/office/drawing/2014/main" id="{00000000-0008-0000-0400-000015000000}"/>
            </a:ext>
          </a:extLst>
        </xdr:cNvPr>
        <xdr:cNvSpPr/>
      </xdr:nvSpPr>
      <xdr:spPr bwMode="auto">
        <a:xfrm>
          <a:off x="3790949" y="5924549"/>
          <a:ext cx="2143125" cy="5238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Specify whether you want to use Implied Vol (ATM) or realized Vol.</a:t>
          </a:r>
          <a:endParaRPr lang="en-US" sz="1100">
            <a:solidFill>
              <a:sysClr val="windowText" lastClr="000000"/>
            </a:solidFill>
            <a:effectLst/>
          </a:endParaRPr>
        </a:p>
        <a:p>
          <a:pPr algn="ctr" rtl="0">
            <a:defRPr sz="1000"/>
          </a:pPr>
          <a:endParaRPr lang="en-US" sz="1100" b="0" i="0" u="none" strike="noStrike" baseline="0">
            <a:solidFill>
              <a:sysClr val="windowText" lastClr="000000"/>
            </a:solidFill>
            <a:latin typeface="Calibri"/>
          </a:endParaRPr>
        </a:p>
      </xdr:txBody>
    </xdr:sp>
    <xdr:clientData/>
  </xdr:twoCellAnchor>
  <xdr:twoCellAnchor>
    <xdr:from>
      <xdr:col>8</xdr:col>
      <xdr:colOff>85725</xdr:colOff>
      <xdr:row>36</xdr:row>
      <xdr:rowOff>0</xdr:rowOff>
    </xdr:from>
    <xdr:to>
      <xdr:col>8</xdr:col>
      <xdr:colOff>395288</xdr:colOff>
      <xdr:row>40</xdr:row>
      <xdr:rowOff>57150</xdr:rowOff>
    </xdr:to>
    <xdr:cxnSp macro="">
      <xdr:nvCxnSpPr>
        <xdr:cNvPr id="24" name="DbgGradArrow">
          <a:extLst>
            <a:ext uri="{FF2B5EF4-FFF2-40B4-BE49-F238E27FC236}">
              <a16:creationId xmlns:a16="http://schemas.microsoft.com/office/drawing/2014/main" id="{00000000-0008-0000-0400-000018000000}"/>
            </a:ext>
          </a:extLst>
        </xdr:cNvPr>
        <xdr:cNvCxnSpPr/>
      </xdr:nvCxnSpPr>
      <xdr:spPr bwMode="auto">
        <a:xfrm flipH="1">
          <a:off x="4467225" y="6457950"/>
          <a:ext cx="309563" cy="8191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33</xdr:row>
      <xdr:rowOff>38100</xdr:rowOff>
    </xdr:from>
    <xdr:to>
      <xdr:col>14</xdr:col>
      <xdr:colOff>66675</xdr:colOff>
      <xdr:row>35</xdr:row>
      <xdr:rowOff>162746</xdr:rowOff>
    </xdr:to>
    <xdr:sp macro="" textlink="">
      <xdr:nvSpPr>
        <xdr:cNvPr id="35" name="DbgShadowBox">
          <a:extLst>
            <a:ext uri="{FF2B5EF4-FFF2-40B4-BE49-F238E27FC236}">
              <a16:creationId xmlns:a16="http://schemas.microsoft.com/office/drawing/2014/main" id="{00000000-0008-0000-0400-000023000000}"/>
            </a:ext>
          </a:extLst>
        </xdr:cNvPr>
        <xdr:cNvSpPr/>
      </xdr:nvSpPr>
      <xdr:spPr bwMode="auto">
        <a:xfrm>
          <a:off x="6362700" y="5924550"/>
          <a:ext cx="17430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You can compare up to 4 tenors simultaneously.</a:t>
          </a:r>
          <a:endParaRPr lang="en-US" sz="1100">
            <a:solidFill>
              <a:sysClr val="windowText" lastClr="000000"/>
            </a:solidFill>
            <a:effectLst/>
          </a:endParaRPr>
        </a:p>
        <a:p>
          <a:pPr algn="ctr" rtl="0">
            <a:defRPr sz="1000"/>
          </a:pPr>
          <a:endParaRPr lang="en-US" sz="1100" b="0" i="0" u="none" strike="noStrike" baseline="0">
            <a:solidFill>
              <a:sysClr val="windowText" lastClr="000000"/>
            </a:solidFill>
            <a:latin typeface="Calibri"/>
          </a:endParaRPr>
        </a:p>
      </xdr:txBody>
    </xdr:sp>
    <xdr:clientData/>
  </xdr:twoCellAnchor>
  <xdr:twoCellAnchor>
    <xdr:from>
      <xdr:col>12</xdr:col>
      <xdr:colOff>52387</xdr:colOff>
      <xdr:row>36</xdr:row>
      <xdr:rowOff>9525</xdr:rowOff>
    </xdr:from>
    <xdr:to>
      <xdr:col>13</xdr:col>
      <xdr:colOff>104775</xdr:colOff>
      <xdr:row>42</xdr:row>
      <xdr:rowOff>19050</xdr:rowOff>
    </xdr:to>
    <xdr:cxnSp macro="">
      <xdr:nvCxnSpPr>
        <xdr:cNvPr id="36" name="DbgGradArrow">
          <a:extLst>
            <a:ext uri="{FF2B5EF4-FFF2-40B4-BE49-F238E27FC236}">
              <a16:creationId xmlns:a16="http://schemas.microsoft.com/office/drawing/2014/main" id="{00000000-0008-0000-0400-000024000000}"/>
            </a:ext>
          </a:extLst>
        </xdr:cNvPr>
        <xdr:cNvCxnSpPr/>
      </xdr:nvCxnSpPr>
      <xdr:spPr bwMode="auto">
        <a:xfrm>
          <a:off x="6872287" y="6467475"/>
          <a:ext cx="661988"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180975</xdr:colOff>
      <xdr:row>36</xdr:row>
      <xdr:rowOff>0</xdr:rowOff>
    </xdr:from>
    <xdr:to>
      <xdr:col>12</xdr:col>
      <xdr:colOff>42862</xdr:colOff>
      <xdr:row>42</xdr:row>
      <xdr:rowOff>47625</xdr:rowOff>
    </xdr:to>
    <xdr:cxnSp macro="">
      <xdr:nvCxnSpPr>
        <xdr:cNvPr id="37" name="DbgGradArrow">
          <a:extLst>
            <a:ext uri="{FF2B5EF4-FFF2-40B4-BE49-F238E27FC236}">
              <a16:creationId xmlns:a16="http://schemas.microsoft.com/office/drawing/2014/main" id="{00000000-0008-0000-0400-000025000000}"/>
            </a:ext>
          </a:extLst>
        </xdr:cNvPr>
        <xdr:cNvCxnSpPr/>
      </xdr:nvCxnSpPr>
      <xdr:spPr bwMode="auto">
        <a:xfrm flipH="1">
          <a:off x="2733675" y="6457950"/>
          <a:ext cx="4129087" cy="11906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xdr:colOff>
      <xdr:row>35</xdr:row>
      <xdr:rowOff>161925</xdr:rowOff>
    </xdr:from>
    <xdr:to>
      <xdr:col>12</xdr:col>
      <xdr:colOff>52387</xdr:colOff>
      <xdr:row>42</xdr:row>
      <xdr:rowOff>95250</xdr:rowOff>
    </xdr:to>
    <xdr:cxnSp macro="">
      <xdr:nvCxnSpPr>
        <xdr:cNvPr id="38" name="DbgGradArrow">
          <a:extLst>
            <a:ext uri="{FF2B5EF4-FFF2-40B4-BE49-F238E27FC236}">
              <a16:creationId xmlns:a16="http://schemas.microsoft.com/office/drawing/2014/main" id="{00000000-0008-0000-0400-000026000000}"/>
            </a:ext>
          </a:extLst>
        </xdr:cNvPr>
        <xdr:cNvCxnSpPr/>
      </xdr:nvCxnSpPr>
      <xdr:spPr bwMode="auto">
        <a:xfrm flipH="1">
          <a:off x="4410075" y="6429375"/>
          <a:ext cx="2462212" cy="1266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36</xdr:row>
      <xdr:rowOff>19050</xdr:rowOff>
    </xdr:from>
    <xdr:to>
      <xdr:col>12</xdr:col>
      <xdr:colOff>42862</xdr:colOff>
      <xdr:row>42</xdr:row>
      <xdr:rowOff>19050</xdr:rowOff>
    </xdr:to>
    <xdr:cxnSp macro="">
      <xdr:nvCxnSpPr>
        <xdr:cNvPr id="39" name="DbgGradArrow">
          <a:extLst>
            <a:ext uri="{FF2B5EF4-FFF2-40B4-BE49-F238E27FC236}">
              <a16:creationId xmlns:a16="http://schemas.microsoft.com/office/drawing/2014/main" id="{00000000-0008-0000-0400-000027000000}"/>
            </a:ext>
          </a:extLst>
        </xdr:cNvPr>
        <xdr:cNvCxnSpPr/>
      </xdr:nvCxnSpPr>
      <xdr:spPr bwMode="auto">
        <a:xfrm flipH="1">
          <a:off x="5972175" y="6477000"/>
          <a:ext cx="890587" cy="11430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419100</xdr:colOff>
      <xdr:row>47</xdr:row>
      <xdr:rowOff>161925</xdr:rowOff>
    </xdr:from>
    <xdr:to>
      <xdr:col>17</xdr:col>
      <xdr:colOff>430516</xdr:colOff>
      <xdr:row>52</xdr:row>
      <xdr:rowOff>38101</xdr:rowOff>
    </xdr:to>
    <xdr:sp macro="" textlink="">
      <xdr:nvSpPr>
        <xdr:cNvPr id="43" name="DbgShadowBox">
          <a:extLst>
            <a:ext uri="{FF2B5EF4-FFF2-40B4-BE49-F238E27FC236}">
              <a16:creationId xmlns:a16="http://schemas.microsoft.com/office/drawing/2014/main" id="{00000000-0008-0000-0400-00002B000000}"/>
            </a:ext>
          </a:extLst>
        </xdr:cNvPr>
        <xdr:cNvSpPr/>
      </xdr:nvSpPr>
      <xdr:spPr bwMode="auto">
        <a:xfrm>
          <a:off x="9067800" y="8715375"/>
          <a:ext cx="1230616" cy="82867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Table showing Implied/Realized Vol vs. Int. Rate Differential.</a:t>
          </a:r>
          <a:endParaRPr lang="en-US" sz="1100">
            <a:solidFill>
              <a:sysClr val="windowText" lastClr="000000"/>
            </a:solidFill>
            <a:effectLst/>
          </a:endParaRPr>
        </a:p>
        <a:p>
          <a:pPr algn="ctr" rtl="0">
            <a:defRPr sz="1000"/>
          </a:pPr>
          <a:endParaRPr lang="en-US" sz="1100" b="0" i="0" u="none" strike="noStrike" baseline="0">
            <a:solidFill>
              <a:sysClr val="windowText" lastClr="000000"/>
            </a:solidFill>
            <a:latin typeface="Calibri"/>
          </a:endParaRPr>
        </a:p>
      </xdr:txBody>
    </xdr:sp>
    <xdr:clientData/>
  </xdr:twoCellAnchor>
  <xdr:twoCellAnchor>
    <xdr:from>
      <xdr:col>14</xdr:col>
      <xdr:colOff>571501</xdr:colOff>
      <xdr:row>50</xdr:row>
      <xdr:rowOff>9525</xdr:rowOff>
    </xdr:from>
    <xdr:to>
      <xdr:col>15</xdr:col>
      <xdr:colOff>361950</xdr:colOff>
      <xdr:row>50</xdr:row>
      <xdr:rowOff>9526</xdr:rowOff>
    </xdr:to>
    <xdr:cxnSp macro="">
      <xdr:nvCxnSpPr>
        <xdr:cNvPr id="44" name="DbgGradArrow">
          <a:extLst>
            <a:ext uri="{FF2B5EF4-FFF2-40B4-BE49-F238E27FC236}">
              <a16:creationId xmlns:a16="http://schemas.microsoft.com/office/drawing/2014/main" id="{00000000-0008-0000-0400-00002C000000}"/>
            </a:ext>
          </a:extLst>
        </xdr:cNvPr>
        <xdr:cNvCxnSpPr/>
      </xdr:nvCxnSpPr>
      <xdr:spPr bwMode="auto">
        <a:xfrm flipH="1">
          <a:off x="8610601" y="9134475"/>
          <a:ext cx="400049" cy="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447674</xdr:colOff>
      <xdr:row>55</xdr:row>
      <xdr:rowOff>142875</xdr:rowOff>
    </xdr:from>
    <xdr:to>
      <xdr:col>17</xdr:col>
      <xdr:colOff>459090</xdr:colOff>
      <xdr:row>59</xdr:row>
      <xdr:rowOff>38100</xdr:rowOff>
    </xdr:to>
    <xdr:sp macro="" textlink="">
      <xdr:nvSpPr>
        <xdr:cNvPr id="50" name="DbgShadowBox">
          <a:extLst>
            <a:ext uri="{FF2B5EF4-FFF2-40B4-BE49-F238E27FC236}">
              <a16:creationId xmlns:a16="http://schemas.microsoft.com/office/drawing/2014/main" id="{00000000-0008-0000-0400-000032000000}"/>
            </a:ext>
          </a:extLst>
        </xdr:cNvPr>
        <xdr:cNvSpPr/>
      </xdr:nvSpPr>
      <xdr:spPr bwMode="auto">
        <a:xfrm>
          <a:off x="9096374" y="10220325"/>
          <a:ext cx="1230616" cy="6572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Choose which currency pairs you want to chart.</a:t>
          </a:r>
          <a:endParaRPr lang="en-US" sz="1100">
            <a:solidFill>
              <a:sysClr val="windowText" lastClr="000000"/>
            </a:solidFill>
            <a:effectLst/>
          </a:endParaRPr>
        </a:p>
        <a:p>
          <a:pPr marL="0" marR="0" indent="0" algn="ctr" defTabSz="914400" rtl="0" eaLnBrk="1" fontAlgn="auto" latinLnBrk="0" hangingPunct="1">
            <a:lnSpc>
              <a:spcPct val="100000"/>
            </a:lnSpc>
            <a:spcBef>
              <a:spcPts val="0"/>
            </a:spcBef>
            <a:spcAft>
              <a:spcPts val="0"/>
            </a:spcAft>
            <a:buClrTx/>
            <a:buSzTx/>
            <a:buFontTx/>
            <a:buNone/>
            <a:tabLst/>
            <a:defRPr sz="1000"/>
          </a:pPr>
          <a:endParaRPr lang="en-US" sz="1100" b="0" i="0" u="none" strike="noStrike" baseline="0">
            <a:solidFill>
              <a:sysClr val="windowText" lastClr="000000"/>
            </a:solidFill>
            <a:latin typeface="Calibri"/>
          </a:endParaRPr>
        </a:p>
      </xdr:txBody>
    </xdr:sp>
    <xdr:clientData/>
  </xdr:twoCellAnchor>
  <xdr:twoCellAnchor>
    <xdr:from>
      <xdr:col>14</xdr:col>
      <xdr:colOff>600076</xdr:colOff>
      <xdr:row>57</xdr:row>
      <xdr:rowOff>180975</xdr:rowOff>
    </xdr:from>
    <xdr:to>
      <xdr:col>15</xdr:col>
      <xdr:colOff>390525</xdr:colOff>
      <xdr:row>57</xdr:row>
      <xdr:rowOff>180976</xdr:rowOff>
    </xdr:to>
    <xdr:cxnSp macro="">
      <xdr:nvCxnSpPr>
        <xdr:cNvPr id="51" name="DbgGradArrow">
          <a:extLst>
            <a:ext uri="{FF2B5EF4-FFF2-40B4-BE49-F238E27FC236}">
              <a16:creationId xmlns:a16="http://schemas.microsoft.com/office/drawing/2014/main" id="{00000000-0008-0000-0400-000033000000}"/>
            </a:ext>
          </a:extLst>
        </xdr:cNvPr>
        <xdr:cNvCxnSpPr/>
      </xdr:nvCxnSpPr>
      <xdr:spPr bwMode="auto">
        <a:xfrm flipH="1">
          <a:off x="8639176" y="10639425"/>
          <a:ext cx="400049" cy="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476248</xdr:colOff>
      <xdr:row>60</xdr:row>
      <xdr:rowOff>123825</xdr:rowOff>
    </xdr:from>
    <xdr:to>
      <xdr:col>17</xdr:col>
      <xdr:colOff>487664</xdr:colOff>
      <xdr:row>64</xdr:row>
      <xdr:rowOff>133350</xdr:rowOff>
    </xdr:to>
    <xdr:sp macro="" textlink="">
      <xdr:nvSpPr>
        <xdr:cNvPr id="57" name="DbgShadowBox">
          <a:extLst>
            <a:ext uri="{FF2B5EF4-FFF2-40B4-BE49-F238E27FC236}">
              <a16:creationId xmlns:a16="http://schemas.microsoft.com/office/drawing/2014/main" id="{00000000-0008-0000-0400-000039000000}"/>
            </a:ext>
          </a:extLst>
        </xdr:cNvPr>
        <xdr:cNvSpPr/>
      </xdr:nvSpPr>
      <xdr:spPr bwMode="auto">
        <a:xfrm>
          <a:off x="9124948" y="11153775"/>
          <a:ext cx="1230616" cy="7715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Select the tenor (this is one of the tenors input above)</a:t>
          </a:r>
          <a:endParaRPr lang="en-US" sz="1100">
            <a:solidFill>
              <a:sysClr val="windowText" lastClr="000000"/>
            </a:solidFill>
            <a:effectLst/>
          </a:endParaRPr>
        </a:p>
        <a:p>
          <a:pPr marL="0" marR="0" indent="0" algn="ctr" defTabSz="914400" rtl="0" eaLnBrk="1" fontAlgn="auto" latinLnBrk="0" hangingPunct="1">
            <a:lnSpc>
              <a:spcPct val="100000"/>
            </a:lnSpc>
            <a:spcBef>
              <a:spcPts val="0"/>
            </a:spcBef>
            <a:spcAft>
              <a:spcPts val="0"/>
            </a:spcAft>
            <a:buClrTx/>
            <a:buSzTx/>
            <a:buFontTx/>
            <a:buNone/>
            <a:tabLst/>
            <a:defRPr sz="1000"/>
          </a:pPr>
          <a:r>
            <a:rPr lang="en-US" sz="1100" b="0" i="0" baseline="0">
              <a:solidFill>
                <a:sysClr val="windowText" lastClr="000000"/>
              </a:solidFill>
              <a:effectLst/>
              <a:latin typeface="+mn-lt"/>
              <a:ea typeface="+mn-ea"/>
              <a:cs typeface="+mn-cs"/>
            </a:rPr>
            <a:t> </a:t>
          </a:r>
          <a:endParaRPr lang="en-US" sz="1100" b="0" i="0" u="none" strike="noStrike" baseline="0">
            <a:solidFill>
              <a:sysClr val="windowText" lastClr="000000"/>
            </a:solidFill>
            <a:latin typeface="Calibri"/>
          </a:endParaRPr>
        </a:p>
      </xdr:txBody>
    </xdr:sp>
    <xdr:clientData/>
  </xdr:twoCellAnchor>
  <xdr:twoCellAnchor>
    <xdr:from>
      <xdr:col>10</xdr:col>
      <xdr:colOff>371475</xdr:colOff>
      <xdr:row>58</xdr:row>
      <xdr:rowOff>123825</xdr:rowOff>
    </xdr:from>
    <xdr:to>
      <xdr:col>15</xdr:col>
      <xdr:colOff>419100</xdr:colOff>
      <xdr:row>62</xdr:row>
      <xdr:rowOff>161925</xdr:rowOff>
    </xdr:to>
    <xdr:cxnSp macro="">
      <xdr:nvCxnSpPr>
        <xdr:cNvPr id="58" name="DbgGradArrow">
          <a:extLst>
            <a:ext uri="{FF2B5EF4-FFF2-40B4-BE49-F238E27FC236}">
              <a16:creationId xmlns:a16="http://schemas.microsoft.com/office/drawing/2014/main" id="{00000000-0008-0000-0400-00003A000000}"/>
            </a:ext>
          </a:extLst>
        </xdr:cNvPr>
        <xdr:cNvCxnSpPr/>
      </xdr:nvCxnSpPr>
      <xdr:spPr bwMode="auto">
        <a:xfrm flipH="1" flipV="1">
          <a:off x="5972175" y="10772775"/>
          <a:ext cx="3095625" cy="800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1.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22.emf"/></Relationships>
</file>

<file path=xl/worksheets/_rels/sheet5.xml.rels><?xml version="1.0" encoding="UTF-8" standalone="yes"?>
<Relationships xmlns="http://schemas.openxmlformats.org/package/2006/relationships"><Relationship Id="rId3" Type="http://schemas.openxmlformats.org/officeDocument/2006/relationships/hyperlink" Target="bbg://SCREENS/VOLC" TargetMode="External"/><Relationship Id="rId7" Type="http://schemas.openxmlformats.org/officeDocument/2006/relationships/drawing" Target="../drawings/drawing5.xml"/><Relationship Id="rId2" Type="http://schemas.openxmlformats.org/officeDocument/2006/relationships/hyperlink" Target="bbg://SCREENS/XDSH" TargetMode="External"/><Relationship Id="rId1" Type="http://schemas.openxmlformats.org/officeDocument/2006/relationships/hyperlink" Target="bbg://SCREENS/WCRS" TargetMode="External"/><Relationship Id="rId6" Type="http://schemas.openxmlformats.org/officeDocument/2006/relationships/hyperlink" Target="bbg://SCREENS/CRVF" TargetMode="External"/><Relationship Id="rId5" Type="http://schemas.openxmlformats.org/officeDocument/2006/relationships/hyperlink" Target="bbg://SCREENS/OVDV" TargetMode="External"/><Relationship Id="rId4" Type="http://schemas.openxmlformats.org/officeDocument/2006/relationships/hyperlink" Target="bbg://SCREENS/XCRV"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E278"/>
  <sheetViews>
    <sheetView showGridLines="0" showRowColHeaders="0" topLeftCell="C1" zoomScale="115" zoomScaleNormal="115" workbookViewId="0">
      <pane ySplit="4" topLeftCell="A9" activePane="bottomLeft" state="frozen"/>
      <selection activeCell="C1" sqref="C1"/>
      <selection pane="bottomLeft" activeCell="J18" sqref="J18"/>
    </sheetView>
  </sheetViews>
  <sheetFormatPr defaultColWidth="9.1796875" defaultRowHeight="15" customHeight="1"/>
  <cols>
    <col min="1" max="1" width="15.81640625" style="4" hidden="1" customWidth="1"/>
    <col min="2" max="2" width="9.1796875" style="4" hidden="1" customWidth="1"/>
    <col min="3" max="3" width="7" style="4" customWidth="1"/>
    <col min="4" max="4" width="12.7265625" style="4" bestFit="1" customWidth="1"/>
    <col min="5" max="5" width="8.54296875" style="4" hidden="1" customWidth="1"/>
    <col min="6" max="6" width="1.7265625" style="4" customWidth="1"/>
    <col min="7" max="10" width="11.7265625" style="4" customWidth="1"/>
    <col min="11" max="11" width="9" style="4" hidden="1" customWidth="1"/>
    <col min="12" max="12" width="13.54296875" style="4" hidden="1" customWidth="1"/>
    <col min="13" max="13" width="22.1796875" style="4" hidden="1" customWidth="1"/>
    <col min="14" max="14" width="10.453125" style="4" hidden="1" customWidth="1"/>
    <col min="15" max="15" width="10" style="4" hidden="1" customWidth="1"/>
    <col min="16" max="16" width="17.1796875" style="4" hidden="1" customWidth="1"/>
    <col min="17" max="17" width="2.81640625" style="4" customWidth="1"/>
    <col min="18" max="21" width="11.7265625" style="4" customWidth="1"/>
    <col min="22" max="27" width="9.1796875" style="4" hidden="1" customWidth="1"/>
    <col min="28" max="28" width="4.7265625" style="4" customWidth="1"/>
    <col min="29" max="32" width="12.7265625" style="4" customWidth="1"/>
    <col min="33" max="38" width="9.1796875" style="4" hidden="1" customWidth="1"/>
    <col min="39" max="39" width="2.26953125" style="4" customWidth="1"/>
    <col min="40" max="43" width="12.7265625" style="4" customWidth="1"/>
    <col min="44" max="52" width="9.1796875" style="4" hidden="1" customWidth="1"/>
    <col min="53" max="53" width="22.26953125" style="4" hidden="1" customWidth="1"/>
    <col min="54" max="62" width="9.1796875" style="4" hidden="1" customWidth="1"/>
    <col min="63" max="63" width="11.54296875" style="97" customWidth="1"/>
    <col min="64" max="67" width="9.1796875" style="58" customWidth="1"/>
    <col min="68" max="68" width="9.26953125" style="58" customWidth="1"/>
    <col min="69" max="75" width="9.1796875" style="58" customWidth="1"/>
    <col min="76" max="83" width="9.1796875" style="4" hidden="1" customWidth="1"/>
    <col min="84" max="106" width="9.1796875" style="4" customWidth="1"/>
    <col min="107" max="16384" width="9.1796875" style="4"/>
  </cols>
  <sheetData>
    <row r="1" spans="2:83" ht="5.15" customHeight="1">
      <c r="BK1" s="58"/>
    </row>
    <row r="2" spans="2:83" ht="15" customHeight="1">
      <c r="BK2" s="58"/>
    </row>
    <row r="3" spans="2:83" ht="15" customHeight="1">
      <c r="BK3" s="58"/>
    </row>
    <row r="4" spans="2:83" ht="15" customHeight="1">
      <c r="BK4" s="58"/>
    </row>
    <row r="5" spans="2:83" ht="5.15" customHeight="1">
      <c r="BK5" s="58"/>
    </row>
    <row r="6" spans="2:83" ht="15" customHeight="1">
      <c r="D6" s="98" t="s">
        <v>2172</v>
      </c>
      <c r="E6" s="99"/>
      <c r="F6" s="99"/>
      <c r="G6" s="99"/>
      <c r="H6" s="39" t="s">
        <v>128</v>
      </c>
      <c r="AC6" s="119" t="str">
        <f>trans_getMessage("","Related functions on the Bloomberg Terminal (see Help for more info)",,LANG_ID)</f>
        <v>Related functions on the Bloomberg Terminal (see Help for more info)</v>
      </c>
      <c r="AD6" s="120"/>
      <c r="AE6" s="120"/>
      <c r="AF6" s="120"/>
      <c r="AG6" s="120"/>
      <c r="AH6" s="120"/>
      <c r="AI6" s="120"/>
      <c r="AJ6" s="120"/>
      <c r="AK6" s="120"/>
      <c r="AL6" s="120"/>
      <c r="AM6" s="120"/>
      <c r="AN6" s="120"/>
      <c r="AO6" s="120"/>
      <c r="AP6" s="120"/>
      <c r="AQ6" s="121"/>
      <c r="AR6" s="29"/>
      <c r="AS6" s="29"/>
      <c r="AT6" s="29"/>
      <c r="AU6" s="29"/>
      <c r="AV6" s="29"/>
      <c r="AW6" s="29"/>
      <c r="AX6" s="6"/>
      <c r="AY6" s="30"/>
      <c r="BK6" s="58"/>
    </row>
    <row r="7" spans="2:83" ht="15" customHeight="1">
      <c r="B7" s="4" t="str">
        <f>IF(LEFT(S8,3)="ATM", "IV", "RV")</f>
        <v>IV</v>
      </c>
      <c r="T7" s="5"/>
      <c r="AC7" s="31"/>
      <c r="AQ7" s="32"/>
      <c r="AY7" s="32"/>
      <c r="BK7" s="58"/>
    </row>
    <row r="8" spans="2:83" ht="15" customHeight="1">
      <c r="D8" s="125" t="str">
        <f>trans_getMessage("","As of:",,LANG_ID)</f>
        <v>As of:</v>
      </c>
      <c r="E8" s="126"/>
      <c r="F8" s="6"/>
      <c r="G8" s="127" t="e" cm="1">
        <f t="array" aca="1" ref="G8" ca="1">_xll.BTODAY()</f>
        <v>#NAME?</v>
      </c>
      <c r="H8" s="128"/>
      <c r="J8" s="131" t="str">
        <f>trans_getMessage("","Volatility:",,LANG_ID)</f>
        <v>Volatility:</v>
      </c>
      <c r="K8" s="131"/>
      <c r="L8" s="131"/>
      <c r="M8" s="131"/>
      <c r="N8" s="131"/>
      <c r="O8" s="131"/>
      <c r="P8" s="131"/>
      <c r="Q8" s="131"/>
      <c r="R8" s="132"/>
      <c r="S8" s="129" t="s">
        <v>60</v>
      </c>
      <c r="T8" s="130"/>
      <c r="W8" s="8"/>
      <c r="AC8" s="33"/>
      <c r="AD8" s="34"/>
      <c r="AE8" s="35"/>
      <c r="AF8" s="34"/>
      <c r="AG8" s="34"/>
      <c r="AH8" s="36"/>
      <c r="AI8" s="34"/>
      <c r="AJ8" s="34"/>
      <c r="AK8" s="34"/>
      <c r="AL8" s="34"/>
      <c r="AM8" s="34"/>
      <c r="AN8" s="34"/>
      <c r="AO8" s="34"/>
      <c r="AP8" s="35"/>
      <c r="AQ8" s="37"/>
      <c r="AR8" s="34"/>
      <c r="AS8" s="36"/>
      <c r="AT8" s="34"/>
      <c r="AU8" s="34"/>
      <c r="AV8" s="34"/>
      <c r="AW8" s="34"/>
      <c r="AY8" s="37"/>
      <c r="BK8" s="58"/>
    </row>
    <row r="9" spans="2:83" ht="15" customHeight="1">
      <c r="D9" s="9"/>
      <c r="I9" s="7"/>
      <c r="L9" s="8"/>
      <c r="T9" s="7"/>
      <c r="W9" s="8"/>
      <c r="AE9" s="7"/>
      <c r="AH9" s="8"/>
      <c r="AP9" s="7"/>
      <c r="AS9" s="8"/>
      <c r="BK9" s="58"/>
      <c r="BZ9" s="4">
        <f ca="1">COUNTIF(16:27, "#N/A Requesting Data...")</f>
        <v>0</v>
      </c>
    </row>
    <row r="10" spans="2:83" ht="15" customHeight="1">
      <c r="D10" s="6"/>
      <c r="E10" s="6"/>
      <c r="F10" s="6"/>
      <c r="G10" s="17" t="str">
        <f>trans_getMessage("","Tenor:",,LANG_ID)</f>
        <v>Tenor:</v>
      </c>
      <c r="H10" s="39" t="s">
        <v>3</v>
      </c>
      <c r="I10" s="10"/>
      <c r="J10" s="6"/>
      <c r="K10" s="6"/>
      <c r="L10" s="6"/>
      <c r="M10" s="6"/>
      <c r="N10" s="6"/>
      <c r="O10" s="6"/>
      <c r="P10" s="6"/>
      <c r="Q10" s="6"/>
      <c r="R10" s="17" t="str">
        <f>trans_getMessage("","Tenor:",,LANG_ID)</f>
        <v>Tenor:</v>
      </c>
      <c r="S10" s="39" t="s">
        <v>5</v>
      </c>
      <c r="T10" s="10"/>
      <c r="U10" s="6"/>
      <c r="V10" s="6"/>
      <c r="W10" s="6"/>
      <c r="X10" s="6"/>
      <c r="Y10" s="6"/>
      <c r="Z10" s="6"/>
      <c r="AA10" s="6"/>
      <c r="AB10" s="6"/>
      <c r="AC10" s="28" t="str">
        <f>trans_getMessage("","Tenor:",,LANG_ID)</f>
        <v>Tenor:</v>
      </c>
      <c r="AD10" s="38" t="s">
        <v>6</v>
      </c>
      <c r="AE10" s="10"/>
      <c r="AF10" s="6"/>
      <c r="AG10" s="6"/>
      <c r="AH10" s="6"/>
      <c r="AI10" s="6"/>
      <c r="AJ10" s="6"/>
      <c r="AK10" s="6"/>
      <c r="AL10" s="6"/>
      <c r="AM10" s="6"/>
      <c r="AN10" s="28" t="str">
        <f>trans_getMessage("","Tenor:",,LANG_ID)</f>
        <v>Tenor:</v>
      </c>
      <c r="AO10" s="38" t="s">
        <v>9</v>
      </c>
      <c r="AP10" s="10"/>
      <c r="AQ10" s="6"/>
      <c r="AR10" s="6"/>
      <c r="AS10" s="6"/>
      <c r="AT10" s="6"/>
      <c r="AU10" s="6"/>
      <c r="AV10" s="6"/>
      <c r="AW10" s="6"/>
      <c r="AX10" s="8"/>
      <c r="AY10" s="8"/>
      <c r="AZ10" s="8"/>
      <c r="BA10" s="8"/>
      <c r="BB10" s="8"/>
      <c r="BC10" s="8"/>
      <c r="BD10" s="8"/>
      <c r="BE10" s="8"/>
      <c r="BF10" s="7"/>
      <c r="BG10" s="4" t="s">
        <v>78</v>
      </c>
      <c r="BK10" s="58" t="s">
        <v>79</v>
      </c>
    </row>
    <row r="11" spans="2:83" ht="5.15" customHeight="1">
      <c r="BK11" s="58"/>
      <c r="BZ11" s="4" t="s">
        <v>63</v>
      </c>
      <c r="CB11" s="4" t="s">
        <v>64</v>
      </c>
    </row>
    <row r="12" spans="2:83" ht="15" customHeight="1">
      <c r="D12" s="133" t="str">
        <f>trans_getMessage("","Currency Pair",,LANG_ID)</f>
        <v>Currency Pair</v>
      </c>
      <c r="G12" s="117" t="str">
        <f>H10 &amp; " " &amp; trans_getMessage("",$S$8,,LANG_ID)</f>
        <v>6M ATM Implied Vol.</v>
      </c>
      <c r="H12" s="115" t="str">
        <f>trans_getMessage("","Int. Rate CCY1",,LANG_ID)</f>
        <v>Int. Rate CCY1</v>
      </c>
      <c r="I12" s="115" t="str">
        <f>trans_getMessage("","Int. Rate CCY2",,LANG_ID)</f>
        <v>Int. Rate CCY2</v>
      </c>
      <c r="J12" s="113" t="str">
        <f>trans_getMessage("","Int.Rate Diff (Abs)",,LANG_ID)</f>
        <v>Int.Rate Diff (Abs)</v>
      </c>
      <c r="R12" s="136" t="str">
        <f>S10 &amp; " " &amp; trans_getMessage("",$S$8,,LANG_ID)</f>
        <v>1Y ATM Implied Vol.</v>
      </c>
      <c r="S12" s="113" t="str">
        <f>trans_getMessage("","Int. Rate CCY1",,LANG_ID)</f>
        <v>Int. Rate CCY1</v>
      </c>
      <c r="T12" s="108" t="str">
        <f>trans_getMessage("","Int. Rate CCY2",,LANG_ID)</f>
        <v>Int. Rate CCY2</v>
      </c>
      <c r="U12" s="113" t="str">
        <f>trans_getMessage("","Int.Rate Diff (Abs)",,LANG_ID)</f>
        <v>Int.Rate Diff (Abs)</v>
      </c>
      <c r="AC12" s="122" t="str">
        <f>AD10 &amp; " " &amp; trans_getMessage("",$S$8,,LANG_ID)</f>
        <v>2Y ATM Implied Vol.</v>
      </c>
      <c r="AD12" s="107" t="str">
        <f>trans_getMessage("","Int. Rate CCY1",,LANG_ID)</f>
        <v>Int. Rate CCY1</v>
      </c>
      <c r="AE12" s="107" t="str">
        <f>trans_getMessage("","Int. Rate CCY2",,LANG_ID)</f>
        <v>Int. Rate CCY2</v>
      </c>
      <c r="AF12" s="101" t="str">
        <f>trans_getMessage("","Int.Rate Diff (Abs)",,LANG_ID)</f>
        <v>Int.Rate Diff (Abs)</v>
      </c>
      <c r="AN12" s="104" t="str">
        <f>AO10 &amp; " " &amp; trans_getMessage("",$S$8,,LANG_ID)</f>
        <v>5Y ATM Implied Vol.</v>
      </c>
      <c r="AO12" s="107" t="str">
        <f>trans_getMessage("","Int. Rate CCY1",,LANG_ID)</f>
        <v>Int. Rate CCY1</v>
      </c>
      <c r="AP12" s="107" t="str">
        <f>trans_getMessage("","Int. Rate CCY2",,LANG_ID)</f>
        <v>Int. Rate CCY2</v>
      </c>
      <c r="AQ12" s="101" t="str">
        <f>trans_getMessage("","Int.Rate Diff (Abs)",,LANG_ID)</f>
        <v>Int.Rate Diff (Abs)</v>
      </c>
      <c r="BK12" s="58"/>
    </row>
    <row r="13" spans="2:83" ht="15" customHeight="1">
      <c r="D13" s="134"/>
      <c r="G13" s="117"/>
      <c r="H13" s="115"/>
      <c r="I13" s="115"/>
      <c r="J13" s="113"/>
      <c r="R13" s="136"/>
      <c r="S13" s="113"/>
      <c r="T13" s="108"/>
      <c r="U13" s="113"/>
      <c r="AC13" s="123"/>
      <c r="AD13" s="108"/>
      <c r="AE13" s="108"/>
      <c r="AF13" s="102"/>
      <c r="AN13" s="105"/>
      <c r="AO13" s="108"/>
      <c r="AP13" s="108"/>
      <c r="AQ13" s="102"/>
      <c r="BK13" s="58"/>
    </row>
    <row r="14" spans="2:83" s="11" customFormat="1" ht="15" customHeight="1">
      <c r="D14" s="135"/>
      <c r="E14" s="12"/>
      <c r="G14" s="118"/>
      <c r="H14" s="116"/>
      <c r="I14" s="116"/>
      <c r="J14" s="114"/>
      <c r="K14" s="70" t="s">
        <v>69</v>
      </c>
      <c r="L14" s="70" t="s">
        <v>22</v>
      </c>
      <c r="M14" s="70" t="s">
        <v>23</v>
      </c>
      <c r="N14" s="70" t="s">
        <v>24</v>
      </c>
      <c r="O14" s="70" t="s">
        <v>25</v>
      </c>
      <c r="P14" s="70"/>
      <c r="Q14" s="70"/>
      <c r="R14" s="137"/>
      <c r="S14" s="114"/>
      <c r="T14" s="109"/>
      <c r="U14" s="114"/>
      <c r="V14" s="70" t="s">
        <v>69</v>
      </c>
      <c r="W14" s="70" t="s">
        <v>22</v>
      </c>
      <c r="X14" s="70" t="s">
        <v>23</v>
      </c>
      <c r="Y14" s="70" t="s">
        <v>24</v>
      </c>
      <c r="Z14" s="70" t="s">
        <v>25</v>
      </c>
      <c r="AA14" s="70"/>
      <c r="AB14" s="70"/>
      <c r="AC14" s="124"/>
      <c r="AD14" s="109"/>
      <c r="AE14" s="109"/>
      <c r="AF14" s="103"/>
      <c r="AG14" s="70" t="s">
        <v>69</v>
      </c>
      <c r="AH14" s="70" t="s">
        <v>22</v>
      </c>
      <c r="AI14" s="70" t="s">
        <v>23</v>
      </c>
      <c r="AJ14" s="70" t="s">
        <v>24</v>
      </c>
      <c r="AK14" s="70" t="s">
        <v>25</v>
      </c>
      <c r="AL14" s="70"/>
      <c r="AM14" s="70"/>
      <c r="AN14" s="106"/>
      <c r="AO14" s="109"/>
      <c r="AP14" s="109"/>
      <c r="AQ14" s="103"/>
      <c r="AR14" s="11" t="s">
        <v>69</v>
      </c>
      <c r="AS14" s="11" t="s">
        <v>22</v>
      </c>
      <c r="AT14" s="11" t="s">
        <v>23</v>
      </c>
      <c r="AU14" s="11" t="s">
        <v>24</v>
      </c>
      <c r="AV14" s="11" t="s">
        <v>25</v>
      </c>
      <c r="AY14" s="11" t="s">
        <v>76</v>
      </c>
      <c r="AZ14" s="11" t="s">
        <v>71</v>
      </c>
      <c r="BA14" s="11" t="s">
        <v>72</v>
      </c>
      <c r="BB14" s="11" t="s">
        <v>73</v>
      </c>
      <c r="BG14" s="11" t="s">
        <v>65</v>
      </c>
      <c r="BH14" s="11" t="s">
        <v>66</v>
      </c>
      <c r="BI14" s="11" t="s">
        <v>67</v>
      </c>
      <c r="BK14" s="59"/>
      <c r="BL14" s="59"/>
      <c r="BM14" s="59"/>
      <c r="BN14" s="59"/>
      <c r="BO14" s="59"/>
      <c r="BP14" s="59"/>
      <c r="BQ14" s="59"/>
      <c r="BR14" s="59"/>
      <c r="BS14" s="59"/>
      <c r="BT14" s="59"/>
      <c r="BU14" s="59"/>
      <c r="BV14" s="59"/>
      <c r="BW14" s="59"/>
      <c r="BZ14" s="11" t="s">
        <v>4</v>
      </c>
      <c r="CB14" s="11" t="str">
        <f>H10</f>
        <v>6M</v>
      </c>
      <c r="CC14" s="11" t="str">
        <f>S10</f>
        <v>1Y</v>
      </c>
      <c r="CD14" s="11" t="str">
        <f>AD10</f>
        <v>2Y</v>
      </c>
      <c r="CE14" s="11" t="str">
        <f>AO10</f>
        <v>5Y</v>
      </c>
    </row>
    <row r="15" spans="2:83" ht="9.75" hidden="1" customHeight="1">
      <c r="D15" s="81"/>
      <c r="E15" s="18"/>
      <c r="J15" s="71"/>
      <c r="U15" s="71"/>
      <c r="BK15" s="58" t="str">
        <f>'Historical - Raw data'!AU11</f>
        <v>Date</v>
      </c>
      <c r="BL15" s="58" t="str">
        <f>'Historical - Raw data'!AV11</f>
        <v>SGD</v>
      </c>
      <c r="BM15" s="58" t="str">
        <f>'Historical - Raw data'!AW11</f>
        <v>AUD</v>
      </c>
      <c r="BN15" s="58" t="str">
        <f>'Historical - Raw data'!AX11</f>
        <v>CAD</v>
      </c>
      <c r="BO15" s="58" t="str">
        <f>'Historical - Raw data'!AY11</f>
        <v>JPY</v>
      </c>
      <c r="BP15" s="58" t="str">
        <f>'Historical - Raw data'!AZ11</f>
        <v>CHF</v>
      </c>
      <c r="BQ15" s="58" t="str">
        <f>'Historical - Raw data'!BA11</f>
        <v>GBP</v>
      </c>
      <c r="BR15" s="58" t="str">
        <f>'Historical - Raw data'!BB11</f>
        <v>EURGBP</v>
      </c>
      <c r="BS15" s="58" t="str">
        <f>'Historical - Raw data'!BC11</f>
        <v>NZD</v>
      </c>
      <c r="BT15" s="58" t="str">
        <f>'Historical - Raw data'!BD11</f>
        <v>HKD</v>
      </c>
      <c r="BU15" s="58" t="str">
        <f>'Historical - Raw data'!BE11</f>
        <v>SEK</v>
      </c>
      <c r="BV15" s="58" t="str">
        <f>'Historical - Raw data'!BF11</f>
        <v>NOK</v>
      </c>
      <c r="BW15" s="58" t="str">
        <f>'Historical - Raw data'!BG11</f>
        <v>DKK</v>
      </c>
      <c r="BZ15" s="4" t="s">
        <v>1</v>
      </c>
    </row>
    <row r="16" spans="2:83" ht="15" customHeight="1">
      <c r="D16" s="38" t="s">
        <v>42</v>
      </c>
      <c r="E16" s="10" t="str">
        <f>IF(LEN(SUBSTITUTE(D16, " CURNCY", "")) &gt; 3, D16, IF(OR(D16="EUR", D16="AUD", D16="GBP", D16="NZD"), D16 &amp; "USD", "USD" &amp; D16))</f>
        <v>USDSGD</v>
      </c>
      <c r="F16" s="10"/>
      <c r="G16" s="72" t="e" cm="1">
        <f t="array" aca="1" ref="G16" ca="1">IF($G$8=_xlfn.SINGLE(_xll.BTODAY()), _xll.BDP(K16, IF($L$7, "LAST_PRICE", "PX_LAST")), _xll.BDH(K16, "PX_LAST", $G$8, $G$8, "Days=A"))</f>
        <v>#NAME?</v>
      </c>
      <c r="H16" s="73" t="e" cm="1">
        <f t="array" aca="1" ref="H16" ca="1">IF(AND(RIGHT(N16,6)="Comdty",UPPER(LEFT($E16,3))&lt;&gt;"BRL"),IF($G$8=_xlfn.SINGLE(_xll.BTODAY()), 100-_xlfn.SINGLE(_xll.BDP(N16, IF($L$7, "LAST_PRICE", "PX_LAST"))), 100-_xlfn.SINGLE(_xll.BDH(N16, "PX_LAST", $G$8, $G$8, "Days=A"))),IF($G$8=_xlfn.SINGLE(_xll.BTODAY()), _xll.BDP(N16, IF($L$7, "LAST_PRICE", "PX_LAST")), _xll.BDH(N16, "PX_LAST", $G$8, $G$8, "Days=A")))</f>
        <v>#N/A</v>
      </c>
      <c r="I16" s="73" t="e" cm="1">
        <f t="array" aca="1" ref="I16" ca="1">IF(AND(RIGHT(O16,6)="Comdty",UPPER(RIGHT($E16,3))&lt;&gt;"BRL"),IF($G$8=_xlfn.SINGLE(_xll.BTODAY()), 100-_xlfn.SINGLE(_xll.BDP(O16, IF($L$7, "LAST_PRICE", "PX_LAST"))), 100-_xlfn.SINGLE(_xll.BDH(O16, "PX_LAST", $G$8, $G$8, "Days=A"))),IF($G$8=_xlfn.SINGLE(_xll.BTODAY()), _xll.BDP(O16, IF($L$7, "LAST_PRICE", "PX_LAST")), _xll.BDH(O16, "PX_LAST", $G$8, $G$8, "Days=A")))</f>
        <v>#N/A</v>
      </c>
      <c r="J16" s="74" t="e">
        <f ca="1">ABS(H16-I16)</f>
        <v>#N/A</v>
      </c>
      <c r="K16" s="75" t="str">
        <f>IF($B$7="IV", L16, M16)</f>
        <v>USDSGDV6M Curncy</v>
      </c>
      <c r="L16" s="76" t="str">
        <f>$E16&amp;"V"&amp;H10&amp;" Curncy"</f>
        <v>USDSGDV6M Curncy</v>
      </c>
      <c r="M16" s="76" t="str">
        <f>$E16&amp;"H"&amp;H10&amp;" Curncy"</f>
        <v>USDSGDH6M Curncy</v>
      </c>
      <c r="N16" s="76" t="e">
        <f ca="1">HLOOKUP($H$10, INDEX('Interest Rate Curves'!$1:$1048576, MATCH(LEFT($E16,3), 'Interest Rate Curves'!$B:$B,0) + 4, 5):INDEX('Interest Rate Curves'!$1:$1048576, MATCH(LEFT($E16,3), 'Interest Rate Curves'!$B:$B,0) + 8, 55),  3, FALSE)</f>
        <v>#N/A</v>
      </c>
      <c r="O16" s="76" t="e">
        <f ca="1">HLOOKUP($H$10, INDEX('Interest Rate Curves'!$1:$1048576, MATCH(RIGHT($E16, 3), 'Interest Rate Curves'!$B:$B,0) + 4, 5):INDEX('Interest Rate Curves'!$1:$1048576, MATCH(RIGHT($E16, 3), 'Interest Rate Curves'!$B:$B,0) + 8, 55),  3, FALSE)</f>
        <v>#N/A</v>
      </c>
      <c r="P16" s="76"/>
      <c r="Q16" s="76"/>
      <c r="R16" s="72" t="e" cm="1">
        <f t="array" aca="1" ref="R16" ca="1">IF($G$8=_xlfn.SINGLE(_xll.BTODAY()), _xll.BDP(V16, IF($L$7, "LAST_PRICE", "PX_LAST")), _xll.BDH(V16, "PX_LAST", $G$8, $G$8, "Days=A"))</f>
        <v>#NAME?</v>
      </c>
      <c r="S16" s="73" t="e" cm="1">
        <f t="array" aca="1" ref="S16" ca="1">IF(AND(RIGHT(Y16,6)="Comdty",UPPER(LEFT($E16,3))&lt;&gt;"BRL"),IF($G$8=_xlfn.SINGLE(_xll.BTODAY()), 100-_xlfn.SINGLE(_xll.BDP(Y16, IF($L$7, "LAST_PRICE", "PX_LAST"))), 100-_xlfn.SINGLE(_xll.BDH(Y16, "PX_LAST", $G$8, $G$8, "Days=A"))),IF($G$8=_xlfn.SINGLE(_xll.BTODAY()), _xll.BDP(Y16, IF($L$7, "LAST_PRICE", "PX_LAST")), _xll.BDH(Y16, "PX_LAST", $G$8, $G$8, "Days=A")))</f>
        <v>#N/A</v>
      </c>
      <c r="T16" s="73" t="e" cm="1">
        <f t="array" aca="1" ref="T16" ca="1">IF(AND(RIGHT(Z16,6)="Comdty",UPPER(RIGHT($E16,3))&lt;&gt;"BRL"),IF($G$8=_xlfn.SINGLE(_xll.BTODAY()), 100-_xlfn.SINGLE(_xll.BDP(Z16, IF($L$7, "LAST_PRICE", "PX_LAST"))), 100-_xlfn.SINGLE(_xll.BDH(Z16, "PX_LAST", $G$8, $G$8, "Days=A"))),IF($G$8=_xlfn.SINGLE(_xll.BTODAY()), _xll.BDP(Z16, IF($L$7, "LAST_PRICE", "PX_LAST")), _xll.BDH(Z16, "PX_LAST", $G$8, $G$8, "Days=A")))</f>
        <v>#N/A</v>
      </c>
      <c r="U16" s="74" t="e">
        <f ca="1">ABS(S16-T16)</f>
        <v>#N/A</v>
      </c>
      <c r="V16" s="75" t="str">
        <f>IF($B$7="IV", W16, X16)</f>
        <v>USDSGDV1Y Curncy</v>
      </c>
      <c r="W16" s="76" t="str">
        <f>$E16&amp;"V"&amp;S10&amp;" Curncy"</f>
        <v>USDSGDV1Y Curncy</v>
      </c>
      <c r="X16" s="76" t="str">
        <f>$E16&amp;"H"&amp;S10&amp;" Curncy"</f>
        <v>USDSGDH1Y Curncy</v>
      </c>
      <c r="Y16" s="76" t="e">
        <f ca="1">HLOOKUP($S$10, INDEX('Interest Rate Curves'!$1:$1048576, MATCH(LEFT($E16,3), 'Interest Rate Curves'!$B:$B,0) + 4, 5):INDEX('Interest Rate Curves'!$1:$1048576, MATCH(LEFT($E16,3), 'Interest Rate Curves'!$B:$B,0) + 8, 55),  3, FALSE)</f>
        <v>#N/A</v>
      </c>
      <c r="Z16" s="76" t="e">
        <f ca="1">HLOOKUP($S$10, INDEX('Interest Rate Curves'!$1:$1048576, MATCH(RIGHT($E16, 3), 'Interest Rate Curves'!$B:$B,0) + 4, 5):INDEX('Interest Rate Curves'!$1:$1048576, MATCH(RIGHT($E16, 3), 'Interest Rate Curves'!$B:$B,0) + 8, 55),  3, FALSE)</f>
        <v>#N/A</v>
      </c>
      <c r="AA16" s="76"/>
      <c r="AB16" s="76"/>
      <c r="AC16" s="72" t="e" cm="1">
        <f t="array" aca="1" ref="AC16" ca="1">IF($G$8=_xlfn.SINGLE(_xll.BTODAY()), _xll.BDP(AG16, IF($L$7, "LAST_PRICE", "PX_LAST")), _xll.BDH(AG16, "PX_LAST", $G$8, $G$8, "Days=A"))</f>
        <v>#NAME?</v>
      </c>
      <c r="AD16" s="73" t="e" cm="1">
        <f t="array" aca="1" ref="AD16" ca="1">IF(AND(RIGHT(AJ16,6)="Comdty",UPPER(LEFT($E16,3))&lt;&gt;"BRL"),IF($G$8=_xlfn.SINGLE(_xll.BTODAY()), 100-_xlfn.SINGLE(_xll.BDP(AJ16, IF($L$7, "LAST_PRICE", "PX_LAST"))), 100-_xlfn.SINGLE(_xll.BDH(AJ16, "PX_LAST", $G$8, $G$8, "Days=A"))),IF($G$8=_xlfn.SINGLE(_xll.BTODAY()), _xll.BDP(AJ16, IF($L$7, "LAST_PRICE", "PX_LAST")), _xll.BDH(AJ16, "PX_LAST", $G$8, $G$8, "Days=A")))</f>
        <v>#N/A</v>
      </c>
      <c r="AE16" s="73" t="e" cm="1">
        <f t="array" aca="1" ref="AE16" ca="1">IF(AND(RIGHT(AK16,6)="Comdty",UPPER(RIGHT($E16,3))&lt;&gt;"BRL"),IF($G$8=_xlfn.SINGLE(_xll.BTODAY()), 100-_xlfn.SINGLE(_xll.BDP(AK16, IF($L$7, "LAST_PRICE", "PX_LAST"))), 100-_xlfn.SINGLE(_xll.BDH(AK16, "PX_LAST", $G$8, $G$8, "Days=A"))),IF($G$8=_xlfn.SINGLE(_xll.BTODAY()), _xll.BDP(AK16, IF($L$7, "LAST_PRICE", "PX_LAST")), _xll.BDH(AK16, "PX_LAST", $G$8, $G$8, "Days=A")))</f>
        <v>#N/A</v>
      </c>
      <c r="AF16" s="74" t="e">
        <f ca="1">ABS(AD16-AE16)</f>
        <v>#N/A</v>
      </c>
      <c r="AG16" s="75" t="str">
        <f>IF($B$7="IV", AH16, AI16)</f>
        <v>USDSGDV2Y Curncy</v>
      </c>
      <c r="AH16" s="76" t="str">
        <f>$E16&amp;"V"&amp;AD10&amp;" Curncy"</f>
        <v>USDSGDV2Y Curncy</v>
      </c>
      <c r="AI16" s="76" t="str">
        <f>$E16&amp;"H"&amp;AD10&amp;" Curncy"</f>
        <v>USDSGDH2Y Curncy</v>
      </c>
      <c r="AJ16" s="76" t="e">
        <f ca="1">HLOOKUP($AD$10, INDEX('Interest Rate Curves'!$1:$1048576, MATCH(LEFT($E16,3), 'Interest Rate Curves'!$B:$B,0) + 4, 5):INDEX('Interest Rate Curves'!$1:$1048576, MATCH(LEFT($E16,3), 'Interest Rate Curves'!$B:$B,0) + 8, 55),  3, FALSE)</f>
        <v>#N/A</v>
      </c>
      <c r="AK16" s="76" t="e">
        <f ca="1">HLOOKUP($AD$10, INDEX('Interest Rate Curves'!$1:$1048576, MATCH(RIGHT($E16, 3), 'Interest Rate Curves'!$B:$B,0) + 4, 5):INDEX('Interest Rate Curves'!$1:$1048576, MATCH(RIGHT($E16, 3), 'Interest Rate Curves'!$B:$B,0) + 8, 55),  3, FALSE)</f>
        <v>#N/A</v>
      </c>
      <c r="AL16" s="76"/>
      <c r="AM16" s="76"/>
      <c r="AN16" s="72" t="e" cm="1">
        <f t="array" aca="1" ref="AN16" ca="1">IF($G$8=_xlfn.SINGLE(_xll.BTODAY()), _xll.BDP(AR16, IF($L$7, "LAST_PRICE", "PX_LAST")), _xll.BDH(AR16, "PX_LAST", $G$8, $G$8, "Days=A"))</f>
        <v>#NAME?</v>
      </c>
      <c r="AO16" s="73" t="e" cm="1">
        <f t="array" aca="1" ref="AO16" ca="1">IF(AND(RIGHT(AU16,6)="Comdty",UPPER(LEFT($E16,3))&lt;&gt;"BRL"),IF($G$8=_xlfn.SINGLE(_xll.BTODAY()), 100-_xlfn.SINGLE(_xll.BDP(AU16, IF($L$7, "LAST_PRICE", "PX_LAST"))), 100-_xlfn.SINGLE(_xll.BDH(AU16, "PX_LAST", $G$8, $G$8, "Days=A"))),IF($G$8=_xlfn.SINGLE(_xll.BTODAY()), _xll.BDP(AU16, IF($L$7, "LAST_PRICE", "PX_LAST")), _xll.BDH(AU16, "PX_LAST", $G$8, $G$8, "Days=A")))</f>
        <v>#N/A</v>
      </c>
      <c r="AP16" s="73" t="e" cm="1">
        <f t="array" aca="1" ref="AP16" ca="1">IF(AND(RIGHT(AV16,6)="Comdty",UPPER(RIGHT($E16,3))&lt;&gt;"BRL"),IF($G$8=_xlfn.SINGLE(_xll.BTODAY()), 100-_xlfn.SINGLE(_xll.BDP(AV16, IF($L$7, "LAST_PRICE", "PX_LAST"))), 100-_xlfn.SINGLE(_xll.BDH(AV16, "PX_LAST", $G$8, $G$8, "Days=A"))),IF($G$8=_xlfn.SINGLE(_xll.BTODAY()), _xll.BDP(AV16, IF($L$7, "LAST_PRICE", "PX_LAST")), _xll.BDH(AV16, "PX_LAST", $G$8, $G$8, "Days=A")))</f>
        <v>#N/A</v>
      </c>
      <c r="AQ16" s="74" t="e">
        <f ca="1">ABS(AO16-AP16)</f>
        <v>#N/A</v>
      </c>
      <c r="AR16" s="14" t="str">
        <f>IF($B$7="IV", AS16, AT16)</f>
        <v>USDSGDV5Y Curncy</v>
      </c>
      <c r="AS16" s="4" t="str">
        <f>$E16&amp;"V"&amp;AO10&amp;" Curncy"</f>
        <v>USDSGDV5Y Curncy</v>
      </c>
      <c r="AT16" s="4" t="str">
        <f>$E16&amp;"H"&amp;AO10&amp;" Curncy"</f>
        <v>USDSGDH5Y Curncy</v>
      </c>
      <c r="AU16" s="4" t="e">
        <f ca="1">HLOOKUP($AO$10, INDEX('Interest Rate Curves'!$1:$1048576, MATCH(LEFT($E16,3), 'Interest Rate Curves'!$B:$B,0) + 4, 5):INDEX('Interest Rate Curves'!$1:$1048576, MATCH(LEFT($E16,3), 'Interest Rate Curves'!$B:$B,0) + 8, 55),  3, FALSE)</f>
        <v>#N/A</v>
      </c>
      <c r="AV16" s="4" t="e">
        <f ca="1">HLOOKUP($AO$10, INDEX('Interest Rate Curves'!$1:$1048576, MATCH(RIGHT($E16, 3), 'Interest Rate Curves'!$B:$B,0) + 4, 5):INDEX('Interest Rate Curves'!$1:$1048576, MATCH(RIGHT($E16, 3), 'Interest Rate Curves'!$B:$B,0) + 8, 55),  3, FALSE)</f>
        <v>#N/A</v>
      </c>
      <c r="AY16" s="4" t="str">
        <f>D16</f>
        <v>SGD</v>
      </c>
      <c r="AZ16" s="4" t="str">
        <f t="shared" ref="AZ16:AZ27" si="0">IF($AD$32=$H$10, K16, IF($AD$32=$S$10, V16, IF($AD$32=$AD$10, AG16, IF($AD$32=$AO$10, AR16, ""))))</f>
        <v>USDSGDV2Y Curncy</v>
      </c>
      <c r="BA16" s="4" t="e">
        <f t="shared" ref="BA16:BA27" ca="1" si="1">IF($AD$32=$H$10, N16, IF($AD$32=$S$10, Y16, IF($AD$32=$AD$10, AJ16, IF($AD$32=$AO$10, AU16, ""))))</f>
        <v>#N/A</v>
      </c>
      <c r="BB16" s="4" t="e">
        <f ca="1">IF($AD$32=$H$10, O16, IF($AD$32=$S$10, Z16, IF($AD$32=$AD$10, AK16, IF($AD$32=$AO$10, AV16, ""))))</f>
        <v>#N/A</v>
      </c>
      <c r="BG16" s="4" t="str">
        <f>D16</f>
        <v>SGD</v>
      </c>
      <c r="BH16" s="4" t="e">
        <f t="shared" ref="BH16:BH27" ca="1" si="2">IF($G$32=$H$10, G16, IF($G$32=$S$10, R16, IF($G$32=$AD$10, AC16, IF($G$32=$AO$10, AN16, ""))))</f>
        <v>#NAME?</v>
      </c>
      <c r="BI16" s="4" t="e">
        <f t="shared" ref="BI16:BI27" ca="1" si="3">IF($G$32=$H$10, J16, IF($G$32=$S$10, U16, IF($G$32=$AD$10, AF16, IF($G$32=$AO$10, AQ16, ""))))</f>
        <v>#N/A</v>
      </c>
      <c r="BK16" s="97" t="e">
        <f ca="1">'Historical - Raw data'!AU12</f>
        <v>#NAME?</v>
      </c>
      <c r="BL16" s="58" t="e">
        <f ca="1">'Historical - Raw data'!AV12</f>
        <v>#N/A</v>
      </c>
      <c r="BM16" s="58" t="e">
        <f ca="1">'Historical - Raw data'!AW12</f>
        <v>#N/A</v>
      </c>
      <c r="BN16" s="58" t="e">
        <f ca="1">'Historical - Raw data'!AX12</f>
        <v>#N/A</v>
      </c>
      <c r="BO16" s="58" t="e">
        <f ca="1">'Historical - Raw data'!AY12</f>
        <v>#N/A</v>
      </c>
      <c r="BP16" s="58" t="e">
        <f ca="1">'Historical - Raw data'!AZ12</f>
        <v>#N/A</v>
      </c>
      <c r="BQ16" s="58" t="e">
        <f ca="1">'Historical - Raw data'!BA12</f>
        <v>#N/A</v>
      </c>
      <c r="BR16" s="58" t="e">
        <f ca="1">'Historical - Raw data'!BB12</f>
        <v>#N/A</v>
      </c>
      <c r="BS16" s="58" t="e">
        <f ca="1">'Historical - Raw data'!BC12</f>
        <v>#N/A</v>
      </c>
      <c r="BT16" s="58" t="e">
        <f ca="1">'Historical - Raw data'!BD12</f>
        <v>#N/A</v>
      </c>
      <c r="BU16" s="58" t="e">
        <f ca="1">'Historical - Raw data'!BE12</f>
        <v>#N/A</v>
      </c>
      <c r="BV16" s="58" t="e">
        <f ca="1">'Historical - Raw data'!BF12</f>
        <v>#N/A</v>
      </c>
      <c r="BW16" s="58" t="e">
        <f ca="1">'Historical - Raw data'!BG12</f>
        <v>#N/A</v>
      </c>
      <c r="BZ16" s="4" t="s">
        <v>11</v>
      </c>
    </row>
    <row r="17" spans="4:78" ht="15" customHeight="1">
      <c r="D17" s="38" t="s">
        <v>26</v>
      </c>
      <c r="E17" s="10" t="str">
        <f t="shared" ref="E17:E27" si="4">IF(LEN(SUBSTITUTE(D17, " CURNCY", "")) &gt; 3, D17, IF(OR(D17="EUR", D17="AUD", D17="GBP", D17="NZD"), D17 &amp; "USD", "USD" &amp; D17))</f>
        <v>AUDUSD</v>
      </c>
      <c r="F17" s="10"/>
      <c r="G17" s="21" t="e" cm="1">
        <f t="array" aca="1" ref="G17" ca="1">IF($G$8=_xlfn.SINGLE(_xll.BTODAY()), _xll.BDP(K17, IF($L$7, "LAST_PRICE", "PX_LAST")), _xll.BDH(K17, "PX_LAST", $G$8, $G$8, "Days=A"))</f>
        <v>#NAME?</v>
      </c>
      <c r="H17" s="19" t="e" cm="1">
        <f t="array" aca="1" ref="H17" ca="1">IF(AND(RIGHT(N17,6)="Comdty",UPPER(LEFT(E17,3))&lt;&gt;"BRL"),IF($G$8=_xlfn.SINGLE(_xll.BTODAY()), 100-_xlfn.SINGLE(_xll.BDP(N17, IF($L$7, "LAST_PRICE", "PX_LAST"))), 100-_xlfn.SINGLE(_xll.BDH(N17, "PX_LAST", $G$8, $G$8, "Days=A"))),IF($G$8=_xlfn.SINGLE(_xll.BTODAY()), _xll.BDP(N17, IF($L$7, "LAST_PRICE", "PX_LAST")), _xll.BDH(N17, "PX_LAST", $G$8, $G$8, "Days=A")))</f>
        <v>#N/A</v>
      </c>
      <c r="I17" s="19" t="e" cm="1">
        <f t="array" aca="1" ref="I17" ca="1">IF(AND(RIGHT(O17,6)="Comdty",UPPER(RIGHT($E17,3))&lt;&gt;"BRL"),IF($G$8=_xlfn.SINGLE(_xll.BTODAY()), 100-_xlfn.SINGLE(_xll.BDP(O17, IF($L$7, "LAST_PRICE", "PX_LAST"))), 100-_xlfn.SINGLE(_xll.BDH(O17, "PX_LAST", $G$8, $G$8, "Days=A"))),IF($G$8=_xlfn.SINGLE(_xll.BTODAY()), _xll.BDP(O17, IF($L$7, "LAST_PRICE", "PX_LAST")), _xll.BDH(O17, "PX_LAST", $G$8, $G$8, "Days=A")))</f>
        <v>#N/A</v>
      </c>
      <c r="J17" s="22" t="e">
        <f t="shared" ref="J17:J27" ca="1" si="5">ABS(H17-I17)</f>
        <v>#N/A</v>
      </c>
      <c r="K17" s="13" t="str">
        <f t="shared" ref="K17:K27" si="6">IF($B$7="IV", L17, M17)</f>
        <v>AUDUSDV6M Curncy</v>
      </c>
      <c r="L17" s="6" t="str">
        <f>$E17&amp;"V"&amp;H10&amp;" Curncy"</f>
        <v>AUDUSDV6M Curncy</v>
      </c>
      <c r="M17" s="6" t="str">
        <f>$E17&amp;"H"&amp;H10&amp;" Curncy"</f>
        <v>AUDUSDH6M Curncy</v>
      </c>
      <c r="N17" s="76" t="e">
        <f ca="1">HLOOKUP($H$10, INDEX('Interest Rate Curves'!$1:$1048576, MATCH(LEFT($E17,3), 'Interest Rate Curves'!$B:$B,0) + 4, 5):INDEX('Interest Rate Curves'!$1:$1048576, MATCH(LEFT($E17,3), 'Interest Rate Curves'!$B:$B,0) + 8, 55),  3, FALSE)</f>
        <v>#N/A</v>
      </c>
      <c r="O17" s="76" t="e">
        <f ca="1">HLOOKUP($H$10, INDEX('Interest Rate Curves'!$1:$1048576, MATCH(RIGHT($E17, 3), 'Interest Rate Curves'!$B:$B,0) + 4, 5):INDEX('Interest Rate Curves'!$1:$1048576, MATCH(RIGHT($E17, 3), 'Interest Rate Curves'!$B:$B,0) + 8, 55),  3, FALSE)</f>
        <v>#N/A</v>
      </c>
      <c r="P17" s="6"/>
      <c r="Q17" s="6"/>
      <c r="R17" s="21" t="e" cm="1">
        <f t="array" aca="1" ref="R17" ca="1">IF($G$8=_xlfn.SINGLE(_xll.BTODAY()), _xll.BDP(V17, IF($L$7, "LAST_PRICE", "PX_LAST")), _xll.BDH(V17, "PX_LAST", $G$8, $G$8, "Days=A"))</f>
        <v>#NAME?</v>
      </c>
      <c r="S17" s="19" t="e" cm="1">
        <f t="array" aca="1" ref="S17" ca="1">IF(AND(RIGHT(Y17,6)="Comdty",UPPER(LEFT(P17,3))&lt;&gt;"BRL"),IF($G$8=_xlfn.SINGLE(_xll.BTODAY()), 100-_xlfn.SINGLE(_xll.BDP(Y17, IF($L$7, "LAST_PRICE", "PX_LAST"))), 100-_xlfn.SINGLE(_xll.BDH(Y17, "PX_LAST", $G$8, $G$8, "Days=A"))),IF($G$8=_xlfn.SINGLE(_xll.BTODAY()), _xll.BDP(Y17, IF($L$7, "LAST_PRICE", "PX_LAST")), _xll.BDH(Y17, "PX_LAST", $G$8, $G$8, "Days=A")))</f>
        <v>#N/A</v>
      </c>
      <c r="T17" s="19" t="e" cm="1">
        <f t="array" aca="1" ref="T17" ca="1">IF(AND(RIGHT(Z17,6)="Comdty",UPPER(RIGHT($E17,3))&lt;&gt;"BRL"),IF($G$8=_xlfn.SINGLE(_xll.BTODAY()), 100-_xlfn.SINGLE(_xll.BDP(Z17, IF($L$7, "LAST_PRICE", "PX_LAST"))), 100-_xlfn.SINGLE(_xll.BDH(Z17, "PX_LAST", $G$8, $G$8, "Days=A"))),IF($G$8=_xlfn.SINGLE(_xll.BTODAY()), _xll.BDP(Z17, IF($L$7, "LAST_PRICE", "PX_LAST")), _xll.BDH(Z17, "PX_LAST", $G$8, $G$8, "Days=A")))</f>
        <v>#N/A</v>
      </c>
      <c r="U17" s="22" t="e">
        <f t="shared" ref="U17:U27" ca="1" si="7">ABS(S17-T17)</f>
        <v>#N/A</v>
      </c>
      <c r="V17" s="13" t="str">
        <f t="shared" ref="V17:V27" si="8">IF($B$7="IV", W17, X17)</f>
        <v>AUDUSDV1Y Curncy</v>
      </c>
      <c r="W17" s="6" t="str">
        <f>$E17&amp;"V"&amp;S10&amp;" Curncy"</f>
        <v>AUDUSDV1Y Curncy</v>
      </c>
      <c r="X17" s="6" t="str">
        <f>$E17&amp;"H"&amp;S10&amp;" Curncy"</f>
        <v>AUDUSDH1Y Curncy</v>
      </c>
      <c r="Y17" s="76" t="e">
        <f ca="1">HLOOKUP($S$10, INDEX('Interest Rate Curves'!$1:$1048576, MATCH(LEFT($E17,3), 'Interest Rate Curves'!$B:$B,0) + 4, 5):INDEX('Interest Rate Curves'!$1:$1048576, MATCH(LEFT($E17,3), 'Interest Rate Curves'!$B:$B,0) + 8, 55),  3, FALSE)</f>
        <v>#N/A</v>
      </c>
      <c r="Z17" s="76" t="e">
        <f ca="1">HLOOKUP($S$10, INDEX('Interest Rate Curves'!$1:$1048576, MATCH(RIGHT($E17, 3), 'Interest Rate Curves'!$B:$B,0) + 4, 5):INDEX('Interest Rate Curves'!$1:$1048576, MATCH(RIGHT($E17, 3), 'Interest Rate Curves'!$B:$B,0) + 8, 55),  3, FALSE)</f>
        <v>#N/A</v>
      </c>
      <c r="AA17" s="6"/>
      <c r="AB17" s="6"/>
      <c r="AC17" s="21" t="e" cm="1">
        <f t="array" aca="1" ref="AC17" ca="1">IF($G$8=_xlfn.SINGLE(_xll.BTODAY()), _xll.BDP(AG17, IF($L$7, "LAST_PRICE", "PX_LAST")), _xll.BDH(AG17, "PX_LAST", $G$8, $G$8, "Days=A"))</f>
        <v>#NAME?</v>
      </c>
      <c r="AD17" s="19" t="e" cm="1">
        <f t="array" aca="1" ref="AD17" ca="1">IF(AND(RIGHT(AJ17,6)="Comdty",UPPER(LEFT(AA17,3))&lt;&gt;"BRL"),IF($G$8=_xlfn.SINGLE(_xll.BTODAY()), 100-_xlfn.SINGLE(_xll.BDP(AJ17, IF($L$7, "LAST_PRICE", "PX_LAST"))), 100-_xlfn.SINGLE(_xll.BDH(AJ17, "PX_LAST", $G$8, $G$8, "Days=A"))),IF($G$8=_xlfn.SINGLE(_xll.BTODAY()), _xll.BDP(AJ17, IF($L$7, "LAST_PRICE", "PX_LAST")), _xll.BDH(AJ17, "PX_LAST", $G$8, $G$8, "Days=A")))</f>
        <v>#N/A</v>
      </c>
      <c r="AE17" s="19" t="e" cm="1">
        <f t="array" aca="1" ref="AE17" ca="1">IF(AND(RIGHT(AK17,6)="Comdty",UPPER(RIGHT($E17,3))&lt;&gt;"BRL"),IF($G$8=_xlfn.SINGLE(_xll.BTODAY()), 100-_xlfn.SINGLE(_xll.BDP(AK17, IF($L$7, "LAST_PRICE", "PX_LAST"))), 100-_xlfn.SINGLE(_xll.BDH(AK17, "PX_LAST", $G$8, $G$8, "Days=A"))),IF($G$8=_xlfn.SINGLE(_xll.BTODAY()), _xll.BDP(AK17, IF($L$7, "LAST_PRICE", "PX_LAST")), _xll.BDH(AK17, "PX_LAST", $G$8, $G$8, "Days=A")))</f>
        <v>#N/A</v>
      </c>
      <c r="AF17" s="22" t="e">
        <f t="shared" ref="AF17:AF27" ca="1" si="9">ABS(AD17-AE17)</f>
        <v>#N/A</v>
      </c>
      <c r="AG17" s="13" t="str">
        <f t="shared" ref="AG17:AG27" si="10">IF($B$7="IV", AH17, AI17)</f>
        <v>AUDUSDV2Y Curncy</v>
      </c>
      <c r="AH17" s="6" t="str">
        <f>$E17&amp;"V"&amp;AD10&amp;" Curncy"</f>
        <v>AUDUSDV2Y Curncy</v>
      </c>
      <c r="AI17" s="6" t="str">
        <f>$E17&amp;"H"&amp;AD10&amp;" Curncy"</f>
        <v>AUDUSDH2Y Curncy</v>
      </c>
      <c r="AJ17" s="76" t="e">
        <f ca="1">HLOOKUP($AD$10, INDEX('Interest Rate Curves'!$1:$1048576, MATCH(LEFT($E17,3), 'Interest Rate Curves'!$B:$B,0) + 4, 5):INDEX('Interest Rate Curves'!$1:$1048576, MATCH(LEFT($E17,3), 'Interest Rate Curves'!$B:$B,0) + 8, 55),  3, FALSE)</f>
        <v>#N/A</v>
      </c>
      <c r="AK17" s="76" t="e">
        <f ca="1">HLOOKUP($AD$10, INDEX('Interest Rate Curves'!$1:$1048576, MATCH(RIGHT($E17, 3), 'Interest Rate Curves'!$B:$B,0) + 4, 5):INDEX('Interest Rate Curves'!$1:$1048576, MATCH(RIGHT($E17, 3), 'Interest Rate Curves'!$B:$B,0) + 8, 55),  3, FALSE)</f>
        <v>#N/A</v>
      </c>
      <c r="AL17" s="6"/>
      <c r="AM17" s="6"/>
      <c r="AN17" s="21" t="e" cm="1">
        <f t="array" aca="1" ref="AN17" ca="1">IF($G$8=_xlfn.SINGLE(_xll.BTODAY()), _xll.BDP(AR17, IF($L$7, "LAST_PRICE", "PX_LAST")), _xll.BDH(AR17, "PX_LAST", $G$8, $G$8, "Days=A"))</f>
        <v>#NAME?</v>
      </c>
      <c r="AO17" s="19" t="e" cm="1">
        <f t="array" aca="1" ref="AO17" ca="1">IF(AND(RIGHT(AU17,6)="Comdty",UPPER(LEFT(AL17,3))&lt;&gt;"BRL"),IF($G$8=_xlfn.SINGLE(_xll.BTODAY()), 100-_xlfn.SINGLE(_xll.BDP(AU17, IF($L$7, "LAST_PRICE", "PX_LAST"))), 100-_xlfn.SINGLE(_xll.BDH(AU17, "PX_LAST", $G$8, $G$8, "Days=A"))),IF($G$8=_xlfn.SINGLE(_xll.BTODAY()), _xll.BDP(AU17, IF($L$7, "LAST_PRICE", "PX_LAST")), _xll.BDH(AU17, "PX_LAST", $G$8, $G$8, "Days=A")))</f>
        <v>#N/A</v>
      </c>
      <c r="AP17" s="19" t="e" cm="1">
        <f t="array" aca="1" ref="AP17" ca="1">IF(AND(RIGHT(AV17,6)="Comdty",UPPER(RIGHT($E17,3))&lt;&gt;"BRL"),IF($G$8=_xlfn.SINGLE(_xll.BTODAY()), 100-_xlfn.SINGLE(_xll.BDP(AV17, IF($L$7, "LAST_PRICE", "PX_LAST"))), 100-_xlfn.SINGLE(_xll.BDH(AV17, "PX_LAST", $G$8, $G$8, "Days=A"))),IF($G$8=_xlfn.SINGLE(_xll.BTODAY()), _xll.BDP(AV17, IF($L$7, "LAST_PRICE", "PX_LAST")), _xll.BDH(AV17, "PX_LAST", $G$8, $G$8, "Days=A")))</f>
        <v>#N/A</v>
      </c>
      <c r="AQ17" s="22" t="e">
        <f t="shared" ref="AQ17:AQ27" ca="1" si="11">ABS(AO17-AP17)</f>
        <v>#N/A</v>
      </c>
      <c r="AR17" s="14" t="str">
        <f t="shared" ref="AR17:AR27" si="12">IF($B$7="IV", AS17, AT17)</f>
        <v>AUDUSDV5Y Curncy</v>
      </c>
      <c r="AS17" s="4" t="str">
        <f>$E17&amp;"V"&amp;AO10&amp;" Curncy"</f>
        <v>AUDUSDV5Y Curncy</v>
      </c>
      <c r="AT17" s="4" t="str">
        <f>$E17&amp;"H"&amp;AO10&amp;" Curncy"</f>
        <v>AUDUSDH5Y Curncy</v>
      </c>
      <c r="AU17" s="4" t="e">
        <f ca="1">HLOOKUP($AO$10, INDEX('Interest Rate Curves'!$1:$1048576, MATCH(LEFT($E17,3), 'Interest Rate Curves'!$B:$B,0) + 4, 5):INDEX('Interest Rate Curves'!$1:$1048576, MATCH(LEFT($E17,3), 'Interest Rate Curves'!$B:$B,0) + 8, 55),  3, FALSE)</f>
        <v>#N/A</v>
      </c>
      <c r="AV17" s="4" t="e">
        <f ca="1">HLOOKUP($AO$10, INDEX('Interest Rate Curves'!$1:$1048576, MATCH(RIGHT($E17, 3), 'Interest Rate Curves'!$B:$B,0) + 4, 5):INDEX('Interest Rate Curves'!$1:$1048576, MATCH(RIGHT($E17, 3), 'Interest Rate Curves'!$B:$B,0) + 8, 55),  3, FALSE)</f>
        <v>#N/A</v>
      </c>
      <c r="AY17" s="4" t="str">
        <f t="shared" ref="AY17:AY27" si="13">D17</f>
        <v>AUD</v>
      </c>
      <c r="AZ17" s="4" t="str">
        <f t="shared" si="0"/>
        <v>AUDUSDV2Y Curncy</v>
      </c>
      <c r="BA17" s="4" t="e">
        <f t="shared" ca="1" si="1"/>
        <v>#N/A</v>
      </c>
      <c r="BB17" s="4" t="e">
        <f t="shared" ref="BB17:BB27" ca="1" si="14">IF($AD$32=$H$10, O17, IF($AD$32=$S$10, Z17, IF($AD$32=$AD$10, AK17, IF($AD$32=$AO$10, AV17, ""))))</f>
        <v>#N/A</v>
      </c>
      <c r="BG17" s="4" t="str">
        <f t="shared" ref="BG17:BG27" si="15">D17</f>
        <v>AUD</v>
      </c>
      <c r="BH17" s="4" t="e">
        <f t="shared" ca="1" si="2"/>
        <v>#NAME?</v>
      </c>
      <c r="BI17" s="4" t="e">
        <f t="shared" ca="1" si="3"/>
        <v>#N/A</v>
      </c>
      <c r="BK17" s="97" t="e">
        <f>'Historical - Raw data'!AU13</f>
        <v>#N/A</v>
      </c>
      <c r="BL17" s="58" t="e">
        <f ca="1">'Historical - Raw data'!AV13</f>
        <v>#N/A</v>
      </c>
      <c r="BM17" s="58" t="e">
        <f ca="1">'Historical - Raw data'!AW13</f>
        <v>#N/A</v>
      </c>
      <c r="BN17" s="58" t="e">
        <f ca="1">'Historical - Raw data'!AX13</f>
        <v>#N/A</v>
      </c>
      <c r="BO17" s="58" t="e">
        <f ca="1">'Historical - Raw data'!AY13</f>
        <v>#N/A</v>
      </c>
      <c r="BP17" s="58" t="e">
        <f ca="1">'Historical - Raw data'!AZ13</f>
        <v>#N/A</v>
      </c>
      <c r="BQ17" s="58" t="e">
        <f ca="1">'Historical - Raw data'!BA13</f>
        <v>#N/A</v>
      </c>
      <c r="BR17" s="58" t="e">
        <f ca="1">'Historical - Raw data'!BB13</f>
        <v>#N/A</v>
      </c>
      <c r="BS17" s="58" t="e">
        <f ca="1">'Historical - Raw data'!BC13</f>
        <v>#N/A</v>
      </c>
      <c r="BT17" s="58" t="e">
        <f ca="1">'Historical - Raw data'!BD13</f>
        <v>#N/A</v>
      </c>
      <c r="BU17" s="58" t="e">
        <f ca="1">'Historical - Raw data'!BE13</f>
        <v>#N/A</v>
      </c>
      <c r="BV17" s="58" t="e">
        <f ca="1">'Historical - Raw data'!BF13</f>
        <v>#N/A</v>
      </c>
      <c r="BW17" s="58" t="e">
        <f ca="1">'Historical - Raw data'!BG13</f>
        <v>#N/A</v>
      </c>
      <c r="BZ17" s="4" t="s">
        <v>2</v>
      </c>
    </row>
    <row r="18" spans="4:78" ht="15" customHeight="1">
      <c r="D18" s="38" t="s">
        <v>28</v>
      </c>
      <c r="E18" s="10" t="str">
        <f t="shared" si="4"/>
        <v>USDCAD</v>
      </c>
      <c r="F18" s="10"/>
      <c r="G18" s="23" t="e" cm="1">
        <f t="array" aca="1" ref="G18" ca="1">IF($G$8=_xlfn.SINGLE(_xll.BTODAY()), _xll.BDP(K18, IF($L$7, "LAST_PRICE", "PX_LAST")), _xll.BDH(K18, "PX_LAST", $G$8, $G$8, "Days=A"))</f>
        <v>#NAME?</v>
      </c>
      <c r="H18" s="20" t="e" cm="1">
        <f t="array" aca="1" ref="H18" ca="1">IF(AND(RIGHT(N18,6)="Comdty",UPPER(LEFT(E18,3))&lt;&gt;"BRL"),IF($G$8=_xlfn.SINGLE(_xll.BTODAY()), 100-_xlfn.SINGLE(_xll.BDP(N18, IF($L$7, "LAST_PRICE", "PX_LAST"))), 100-_xlfn.SINGLE(_xll.BDH(N18, "PX_LAST", $G$8, $G$8, "Days=A"))),IF($G$8=_xlfn.SINGLE(_xll.BTODAY()), _xll.BDP(N18, IF($L$7, "LAST_PRICE", "PX_LAST")), _xll.BDH(N18, "PX_LAST", $G$8, $G$8, "Days=A")))</f>
        <v>#N/A</v>
      </c>
      <c r="I18" s="20" t="e" cm="1">
        <f t="array" aca="1" ref="I18" ca="1">IF(AND(RIGHT(O18,6)="Comdty",UPPER(RIGHT($E18,3))&lt;&gt;"BRL"),IF($G$8=_xlfn.SINGLE(_xll.BTODAY()), 100-_xlfn.SINGLE(_xll.BDP(O18, IF($L$7, "LAST_PRICE", "PX_LAST"))), 100-_xlfn.SINGLE(_xll.BDH(O18, "PX_LAST", $G$8, $G$8, "Days=A"))),IF($G$8=_xlfn.SINGLE(_xll.BTODAY()), _xll.BDP(O18, IF($L$7, "LAST_PRICE", "PX_LAST")), _xll.BDH(O18, "PX_LAST", $G$8, $G$8, "Days=A")))</f>
        <v>#N/A</v>
      </c>
      <c r="J18" s="24" t="e">
        <f t="shared" ca="1" si="5"/>
        <v>#N/A</v>
      </c>
      <c r="K18" s="13" t="str">
        <f t="shared" si="6"/>
        <v>USDCADV6M Curncy</v>
      </c>
      <c r="L18" s="6" t="str">
        <f>$E18&amp;"V"&amp;H10&amp;" Curncy"</f>
        <v>USDCADV6M Curncy</v>
      </c>
      <c r="M18" s="6" t="str">
        <f>$E18&amp;"H"&amp;H10&amp;" Curncy"</f>
        <v>USDCADH6M Curncy</v>
      </c>
      <c r="N18" s="76" t="e">
        <f ca="1">HLOOKUP($H$10, INDEX('Interest Rate Curves'!$1:$1048576, MATCH(LEFT($E18,3), 'Interest Rate Curves'!$B:$B,0) + 4, 5):INDEX('Interest Rate Curves'!$1:$1048576, MATCH(LEFT($E18,3), 'Interest Rate Curves'!$B:$B,0) + 8, 55),  3, FALSE)</f>
        <v>#N/A</v>
      </c>
      <c r="O18" s="76" t="e">
        <f ca="1">HLOOKUP($H$10, INDEX('Interest Rate Curves'!$1:$1048576, MATCH(RIGHT($E18, 3), 'Interest Rate Curves'!$B:$B,0) + 4, 5):INDEX('Interest Rate Curves'!$1:$1048576, MATCH(RIGHT($E18, 3), 'Interest Rate Curves'!$B:$B,0) + 8, 55),  3, FALSE)</f>
        <v>#N/A</v>
      </c>
      <c r="P18" s="6"/>
      <c r="Q18" s="6"/>
      <c r="R18" s="23" t="e" cm="1">
        <f t="array" aca="1" ref="R18" ca="1">IF($G$8=_xlfn.SINGLE(_xll.BTODAY()), _xll.BDP(V18, IF($L$7, "LAST_PRICE", "PX_LAST")), _xll.BDH(V18, "PX_LAST", $G$8, $G$8, "Days=A"))</f>
        <v>#NAME?</v>
      </c>
      <c r="S18" s="20" t="e" cm="1">
        <f t="array" aca="1" ref="S18" ca="1">IF(AND(RIGHT(Y18,6)="Comdty",UPPER(LEFT(P18,3))&lt;&gt;"BRL"),IF($G$8=_xlfn.SINGLE(_xll.BTODAY()), 100-_xlfn.SINGLE(_xll.BDP(Y18, IF($L$7, "LAST_PRICE", "PX_LAST"))), 100-_xlfn.SINGLE(_xll.BDH(Y18, "PX_LAST", $G$8, $G$8, "Days=A"))),IF($G$8=_xlfn.SINGLE(_xll.BTODAY()), _xll.BDP(Y18, IF($L$7, "LAST_PRICE", "PX_LAST")), _xll.BDH(Y18, "PX_LAST", $G$8, $G$8, "Days=A")))</f>
        <v>#N/A</v>
      </c>
      <c r="T18" s="20" t="e" cm="1">
        <f t="array" aca="1" ref="T18" ca="1">IF(AND(RIGHT(Z18,6)="Comdty",UPPER(RIGHT($E18,3))&lt;&gt;"BRL"),IF($G$8=_xlfn.SINGLE(_xll.BTODAY()), 100-_xlfn.SINGLE(_xll.BDP(Z18, IF($L$7, "LAST_PRICE", "PX_LAST"))), 100-_xlfn.SINGLE(_xll.BDH(Z18, "PX_LAST", $G$8, $G$8, "Days=A"))),IF($G$8=_xlfn.SINGLE(_xll.BTODAY()), _xll.BDP(Z18, IF($L$7, "LAST_PRICE", "PX_LAST")), _xll.BDH(Z18, "PX_LAST", $G$8, $G$8, "Days=A")))</f>
        <v>#N/A</v>
      </c>
      <c r="U18" s="24" t="e">
        <f t="shared" ca="1" si="7"/>
        <v>#N/A</v>
      </c>
      <c r="V18" s="13" t="str">
        <f t="shared" si="8"/>
        <v>USDCADV1Y Curncy</v>
      </c>
      <c r="W18" s="6" t="str">
        <f>$E18&amp;"V"&amp;S10&amp;" Curncy"</f>
        <v>USDCADV1Y Curncy</v>
      </c>
      <c r="X18" s="6" t="str">
        <f>$E18&amp;"H"&amp;S10&amp;" Curncy"</f>
        <v>USDCADH1Y Curncy</v>
      </c>
      <c r="Y18" s="76" t="e">
        <f ca="1">HLOOKUP($S$10, INDEX('Interest Rate Curves'!$1:$1048576, MATCH(LEFT($E18,3), 'Interest Rate Curves'!$B:$B,0) + 4, 5):INDEX('Interest Rate Curves'!$1:$1048576, MATCH(LEFT($E18,3), 'Interest Rate Curves'!$B:$B,0) + 8, 55),  3, FALSE)</f>
        <v>#N/A</v>
      </c>
      <c r="Z18" s="76" t="e">
        <f ca="1">HLOOKUP($S$10, INDEX('Interest Rate Curves'!$1:$1048576, MATCH(RIGHT($E18, 3), 'Interest Rate Curves'!$B:$B,0) + 4, 5):INDEX('Interest Rate Curves'!$1:$1048576, MATCH(RIGHT($E18, 3), 'Interest Rate Curves'!$B:$B,0) + 8, 55),  3, FALSE)</f>
        <v>#N/A</v>
      </c>
      <c r="AA18" s="6"/>
      <c r="AB18" s="6"/>
      <c r="AC18" s="23" t="e" cm="1">
        <f t="array" aca="1" ref="AC18" ca="1">IF($G$8=_xlfn.SINGLE(_xll.BTODAY()), _xll.BDP(AG18, IF($L$7, "LAST_PRICE", "PX_LAST")), _xll.BDH(AG18, "PX_LAST", $G$8, $G$8, "Days=A"))</f>
        <v>#NAME?</v>
      </c>
      <c r="AD18" s="20" t="e" cm="1">
        <f t="array" aca="1" ref="AD18" ca="1">IF(AND(RIGHT(AJ18,6)="Comdty",UPPER(LEFT(AA18,3))&lt;&gt;"BRL"),IF($G$8=_xlfn.SINGLE(_xll.BTODAY()), 100-_xlfn.SINGLE(_xll.BDP(AJ18, IF($L$7, "LAST_PRICE", "PX_LAST"))), 100-_xlfn.SINGLE(_xll.BDH(AJ18, "PX_LAST", $G$8, $G$8, "Days=A"))),IF($G$8=_xlfn.SINGLE(_xll.BTODAY()), _xll.BDP(AJ18, IF($L$7, "LAST_PRICE", "PX_LAST")), _xll.BDH(AJ18, "PX_LAST", $G$8, $G$8, "Days=A")))</f>
        <v>#N/A</v>
      </c>
      <c r="AE18" s="20" t="e" cm="1">
        <f t="array" aca="1" ref="AE18" ca="1">IF(AND(RIGHT(AK18,6)="Comdty",UPPER(RIGHT($E18,3))&lt;&gt;"BRL"),IF($G$8=_xlfn.SINGLE(_xll.BTODAY()), 100-_xlfn.SINGLE(_xll.BDP(AK18, IF($L$7, "LAST_PRICE", "PX_LAST"))), 100-_xlfn.SINGLE(_xll.BDH(AK18, "PX_LAST", $G$8, $G$8, "Days=A"))),IF($G$8=_xlfn.SINGLE(_xll.BTODAY()), _xll.BDP(AK18, IF($L$7, "LAST_PRICE", "PX_LAST")), _xll.BDH(AK18, "PX_LAST", $G$8, $G$8, "Days=A")))</f>
        <v>#N/A</v>
      </c>
      <c r="AF18" s="24" t="e">
        <f t="shared" ca="1" si="9"/>
        <v>#N/A</v>
      </c>
      <c r="AG18" s="13" t="str">
        <f t="shared" si="10"/>
        <v>USDCADV2Y Curncy</v>
      </c>
      <c r="AH18" s="6" t="str">
        <f>$E18&amp;"V"&amp;AD10&amp;" Curncy"</f>
        <v>USDCADV2Y Curncy</v>
      </c>
      <c r="AI18" s="6" t="str">
        <f>$E18&amp;"H"&amp;AD10&amp;" Curncy"</f>
        <v>USDCADH2Y Curncy</v>
      </c>
      <c r="AJ18" s="76" t="e">
        <f ca="1">HLOOKUP($AD$10, INDEX('Interest Rate Curves'!$1:$1048576, MATCH(LEFT($E18,3), 'Interest Rate Curves'!$B:$B,0) + 4, 5):INDEX('Interest Rate Curves'!$1:$1048576, MATCH(LEFT($E18,3), 'Interest Rate Curves'!$B:$B,0) + 8, 55),  3, FALSE)</f>
        <v>#N/A</v>
      </c>
      <c r="AK18" s="76" t="e">
        <f ca="1">HLOOKUP($AD$10, INDEX('Interest Rate Curves'!$1:$1048576, MATCH(RIGHT($E18, 3), 'Interest Rate Curves'!$B:$B,0) + 4, 5):INDEX('Interest Rate Curves'!$1:$1048576, MATCH(RIGHT($E18, 3), 'Interest Rate Curves'!$B:$B,0) + 8, 55),  3, FALSE)</f>
        <v>#N/A</v>
      </c>
      <c r="AL18" s="6"/>
      <c r="AM18" s="6"/>
      <c r="AN18" s="23" t="e" cm="1">
        <f t="array" aca="1" ref="AN18" ca="1">IF($G$8=_xlfn.SINGLE(_xll.BTODAY()), _xll.BDP(AR18, IF($L$7, "LAST_PRICE", "PX_LAST")), _xll.BDH(AR18, "PX_LAST", $G$8, $G$8, "Days=A"))</f>
        <v>#NAME?</v>
      </c>
      <c r="AO18" s="20" t="e" cm="1">
        <f t="array" aca="1" ref="AO18" ca="1">IF(AND(RIGHT(AU18,6)="Comdty",UPPER(LEFT(AL18,3))&lt;&gt;"BRL"),IF($G$8=_xlfn.SINGLE(_xll.BTODAY()), 100-_xlfn.SINGLE(_xll.BDP(AU18, IF($L$7, "LAST_PRICE", "PX_LAST"))), 100-_xlfn.SINGLE(_xll.BDH(AU18, "PX_LAST", $G$8, $G$8, "Days=A"))),IF($G$8=_xlfn.SINGLE(_xll.BTODAY()), _xll.BDP(AU18, IF($L$7, "LAST_PRICE", "PX_LAST")), _xll.BDH(AU18, "PX_LAST", $G$8, $G$8, "Days=A")))</f>
        <v>#N/A</v>
      </c>
      <c r="AP18" s="20" t="e" cm="1">
        <f t="array" aca="1" ref="AP18" ca="1">IF(AND(RIGHT(AV18,6)="Comdty",UPPER(RIGHT($E18,3))&lt;&gt;"BRL"),IF($G$8=_xlfn.SINGLE(_xll.BTODAY()), 100-_xlfn.SINGLE(_xll.BDP(AV18, IF($L$7, "LAST_PRICE", "PX_LAST"))), 100-_xlfn.SINGLE(_xll.BDH(AV18, "PX_LAST", $G$8, $G$8, "Days=A"))),IF($G$8=_xlfn.SINGLE(_xll.BTODAY()), _xll.BDP(AV18, IF($L$7, "LAST_PRICE", "PX_LAST")), _xll.BDH(AV18, "PX_LAST", $G$8, $G$8, "Days=A")))</f>
        <v>#N/A</v>
      </c>
      <c r="AQ18" s="24" t="e">
        <f t="shared" ca="1" si="11"/>
        <v>#N/A</v>
      </c>
      <c r="AR18" s="14" t="str">
        <f t="shared" si="12"/>
        <v>USDCADV5Y Curncy</v>
      </c>
      <c r="AS18" s="4" t="str">
        <f>$E18&amp;"V"&amp;AO10&amp;" Curncy"</f>
        <v>USDCADV5Y Curncy</v>
      </c>
      <c r="AT18" s="4" t="str">
        <f>$E18&amp;"H"&amp;AO10&amp;" Curncy"</f>
        <v>USDCADH5Y Curncy</v>
      </c>
      <c r="AU18" s="4" t="e">
        <f ca="1">HLOOKUP($AO$10, INDEX('Interest Rate Curves'!$1:$1048576, MATCH(LEFT($E18,3), 'Interest Rate Curves'!$B:$B,0) + 4, 5):INDEX('Interest Rate Curves'!$1:$1048576, MATCH(LEFT($E18,3), 'Interest Rate Curves'!$B:$B,0) + 8, 55),  3, FALSE)</f>
        <v>#N/A</v>
      </c>
      <c r="AV18" s="4" t="e">
        <f ca="1">HLOOKUP($AO$10, INDEX('Interest Rate Curves'!$1:$1048576, MATCH(RIGHT($E18, 3), 'Interest Rate Curves'!$B:$B,0) + 4, 5):INDEX('Interest Rate Curves'!$1:$1048576, MATCH(RIGHT($E18, 3), 'Interest Rate Curves'!$B:$B,0) + 8, 55),  3, FALSE)</f>
        <v>#N/A</v>
      </c>
      <c r="AY18" s="4" t="str">
        <f t="shared" si="13"/>
        <v>CAD</v>
      </c>
      <c r="AZ18" s="4" t="str">
        <f t="shared" si="0"/>
        <v>USDCADV2Y Curncy</v>
      </c>
      <c r="BA18" s="4" t="e">
        <f t="shared" ca="1" si="1"/>
        <v>#N/A</v>
      </c>
      <c r="BB18" s="4" t="e">
        <f t="shared" ca="1" si="14"/>
        <v>#N/A</v>
      </c>
      <c r="BG18" s="4" t="str">
        <f t="shared" si="15"/>
        <v>CAD</v>
      </c>
      <c r="BH18" s="4" t="e">
        <f t="shared" ca="1" si="2"/>
        <v>#NAME?</v>
      </c>
      <c r="BI18" s="4" t="e">
        <f t="shared" ca="1" si="3"/>
        <v>#N/A</v>
      </c>
      <c r="BK18" s="97" t="e">
        <f>'Historical - Raw data'!AU14</f>
        <v>#N/A</v>
      </c>
      <c r="BL18" s="58" t="e">
        <f ca="1">'Historical - Raw data'!AV14</f>
        <v>#N/A</v>
      </c>
      <c r="BM18" s="58" t="e">
        <f ca="1">'Historical - Raw data'!AW14</f>
        <v>#N/A</v>
      </c>
      <c r="BN18" s="58" t="e">
        <f ca="1">'Historical - Raw data'!AX14</f>
        <v>#N/A</v>
      </c>
      <c r="BO18" s="58" t="e">
        <f ca="1">'Historical - Raw data'!AY14</f>
        <v>#N/A</v>
      </c>
      <c r="BP18" s="58" t="e">
        <f ca="1">'Historical - Raw data'!AZ14</f>
        <v>#N/A</v>
      </c>
      <c r="BQ18" s="58" t="e">
        <f ca="1">'Historical - Raw data'!BA14</f>
        <v>#N/A</v>
      </c>
      <c r="BR18" s="58" t="e">
        <f ca="1">'Historical - Raw data'!BB14</f>
        <v>#N/A</v>
      </c>
      <c r="BS18" s="58" t="e">
        <f ca="1">'Historical - Raw data'!BC14</f>
        <v>#N/A</v>
      </c>
      <c r="BT18" s="58" t="e">
        <f ca="1">'Historical - Raw data'!BD14</f>
        <v>#N/A</v>
      </c>
      <c r="BU18" s="58" t="e">
        <f ca="1">'Historical - Raw data'!BE14</f>
        <v>#N/A</v>
      </c>
      <c r="BV18" s="58" t="e">
        <f ca="1">'Historical - Raw data'!BF14</f>
        <v>#N/A</v>
      </c>
      <c r="BW18" s="58" t="e">
        <f ca="1">'Historical - Raw data'!BG14</f>
        <v>#N/A</v>
      </c>
      <c r="BZ18" s="4" t="s">
        <v>12</v>
      </c>
    </row>
    <row r="19" spans="4:78" ht="15" customHeight="1">
      <c r="D19" s="38" t="s">
        <v>31</v>
      </c>
      <c r="E19" s="10" t="str">
        <f t="shared" si="4"/>
        <v>USDJPY</v>
      </c>
      <c r="F19" s="10"/>
      <c r="G19" s="21" t="e" cm="1">
        <f t="array" aca="1" ref="G19" ca="1">IF($G$8=_xlfn.SINGLE(_xll.BTODAY()), _xll.BDP(K19, IF($L$7, "LAST_PRICE", "PX_LAST")), _xll.BDH(K19, "PX_LAST", $G$8, $G$8, "Days=A"))</f>
        <v>#NAME?</v>
      </c>
      <c r="H19" s="19" t="e" cm="1">
        <f t="array" aca="1" ref="H19" ca="1">IF(AND(RIGHT(N19,6)="Comdty",UPPER(LEFT(E19,3))&lt;&gt;"BRL"),IF($G$8=_xlfn.SINGLE(_xll.BTODAY()), 100-_xlfn.SINGLE(_xll.BDP(N19, IF($L$7, "LAST_PRICE", "PX_LAST"))), 100-_xlfn.SINGLE(_xll.BDH(N19, "PX_LAST", $G$8, $G$8, "Days=A"))),IF($G$8=_xlfn.SINGLE(_xll.BTODAY()), _xll.BDP(N19, IF($L$7, "LAST_PRICE", "PX_LAST")), _xll.BDH(N19, "PX_LAST", $G$8, $G$8, "Days=A")))</f>
        <v>#N/A</v>
      </c>
      <c r="I19" s="19" t="e" cm="1">
        <f t="array" aca="1" ref="I19" ca="1">IF(AND(RIGHT(O19,6)="Comdty",UPPER(RIGHT($E19,3))&lt;&gt;"BRL"),IF($G$8=_xlfn.SINGLE(_xll.BTODAY()), 100-_xlfn.SINGLE(_xll.BDP(O19, IF($L$7, "LAST_PRICE", "PX_LAST"))), 100-_xlfn.SINGLE(_xll.BDH(O19, "PX_LAST", $G$8, $G$8, "Days=A"))),IF($G$8=_xlfn.SINGLE(_xll.BTODAY()), _xll.BDP(O19, IF($L$7, "LAST_PRICE", "PX_LAST")), _xll.BDH(O19, "PX_LAST", $G$8, $G$8, "Days=A")))</f>
        <v>#N/A</v>
      </c>
      <c r="J19" s="22" t="e">
        <f t="shared" ca="1" si="5"/>
        <v>#N/A</v>
      </c>
      <c r="K19" s="13" t="str">
        <f t="shared" si="6"/>
        <v>USDJPYV6M Curncy</v>
      </c>
      <c r="L19" s="6" t="str">
        <f>$E19&amp;"V"&amp;H10&amp;" Curncy"</f>
        <v>USDJPYV6M Curncy</v>
      </c>
      <c r="M19" s="6" t="str">
        <f>$E19&amp;"H"&amp;H10&amp;" Curncy"</f>
        <v>USDJPYH6M Curncy</v>
      </c>
      <c r="N19" s="76" t="e">
        <f ca="1">HLOOKUP($H$10, INDEX('Interest Rate Curves'!$1:$1048576, MATCH(LEFT($E19,3), 'Interest Rate Curves'!$B:$B,0) + 4, 5):INDEX('Interest Rate Curves'!$1:$1048576, MATCH(LEFT($E19,3), 'Interest Rate Curves'!$B:$B,0) + 8, 55),  3, FALSE)</f>
        <v>#N/A</v>
      </c>
      <c r="O19" s="76" t="e">
        <f ca="1">HLOOKUP($H$10, INDEX('Interest Rate Curves'!$1:$1048576, MATCH(RIGHT($E19, 3), 'Interest Rate Curves'!$B:$B,0) + 4, 5):INDEX('Interest Rate Curves'!$1:$1048576, MATCH(RIGHT($E19, 3), 'Interest Rate Curves'!$B:$B,0) + 8, 55),  3, FALSE)</f>
        <v>#N/A</v>
      </c>
      <c r="P19" s="6"/>
      <c r="Q19" s="6"/>
      <c r="R19" s="21" t="e" cm="1">
        <f t="array" aca="1" ref="R19" ca="1">IF($G$8=_xlfn.SINGLE(_xll.BTODAY()), _xll.BDP(V19, IF($L$7, "LAST_PRICE", "PX_LAST")), _xll.BDH(V19, "PX_LAST", $G$8, $G$8, "Days=A"))</f>
        <v>#NAME?</v>
      </c>
      <c r="S19" s="19" t="e" cm="1">
        <f t="array" aca="1" ref="S19" ca="1">IF(AND(RIGHT(Y19,6)="Comdty",UPPER(LEFT(P19,3))&lt;&gt;"BRL"),IF($G$8=_xlfn.SINGLE(_xll.BTODAY()), 100-_xlfn.SINGLE(_xll.BDP(Y19, IF($L$7, "LAST_PRICE", "PX_LAST"))), 100-_xlfn.SINGLE(_xll.BDH(Y19, "PX_LAST", $G$8, $G$8, "Days=A"))),IF($G$8=_xlfn.SINGLE(_xll.BTODAY()), _xll.BDP(Y19, IF($L$7, "LAST_PRICE", "PX_LAST")), _xll.BDH(Y19, "PX_LAST", $G$8, $G$8, "Days=A")))</f>
        <v>#N/A</v>
      </c>
      <c r="T19" s="19" t="e" cm="1">
        <f t="array" aca="1" ref="T19" ca="1">IF(AND(RIGHT(Z19,6)="Comdty",UPPER(RIGHT($E19,3))&lt;&gt;"BRL"),IF($G$8=_xlfn.SINGLE(_xll.BTODAY()), 100-_xlfn.SINGLE(_xll.BDP(Z19, IF($L$7, "LAST_PRICE", "PX_LAST"))), 100-_xlfn.SINGLE(_xll.BDH(Z19, "PX_LAST", $G$8, $G$8, "Days=A"))),IF($G$8=_xlfn.SINGLE(_xll.BTODAY()), _xll.BDP(Z19, IF($L$7, "LAST_PRICE", "PX_LAST")), _xll.BDH(Z19, "PX_LAST", $G$8, $G$8, "Days=A")))</f>
        <v>#N/A</v>
      </c>
      <c r="U19" s="22" t="e">
        <f t="shared" ca="1" si="7"/>
        <v>#N/A</v>
      </c>
      <c r="V19" s="13" t="str">
        <f t="shared" si="8"/>
        <v>USDJPYV1Y Curncy</v>
      </c>
      <c r="W19" s="6" t="str">
        <f>$E19&amp;"V"&amp;S10&amp;" Curncy"</f>
        <v>USDJPYV1Y Curncy</v>
      </c>
      <c r="X19" s="6" t="str">
        <f>$E19&amp;"H"&amp;S10&amp;" Curncy"</f>
        <v>USDJPYH1Y Curncy</v>
      </c>
      <c r="Y19" s="76" t="e">
        <f ca="1">HLOOKUP($S$10, INDEX('Interest Rate Curves'!$1:$1048576, MATCH(LEFT($E19,3), 'Interest Rate Curves'!$B:$B,0) + 4, 5):INDEX('Interest Rate Curves'!$1:$1048576, MATCH(LEFT($E19,3), 'Interest Rate Curves'!$B:$B,0) + 8, 55),  3, FALSE)</f>
        <v>#N/A</v>
      </c>
      <c r="Z19" s="76" t="e">
        <f ca="1">HLOOKUP($S$10, INDEX('Interest Rate Curves'!$1:$1048576, MATCH(RIGHT($E19, 3), 'Interest Rate Curves'!$B:$B,0) + 4, 5):INDEX('Interest Rate Curves'!$1:$1048576, MATCH(RIGHT($E19, 3), 'Interest Rate Curves'!$B:$B,0) + 8, 55),  3, FALSE)</f>
        <v>#N/A</v>
      </c>
      <c r="AA19" s="6"/>
      <c r="AB19" s="6"/>
      <c r="AC19" s="21" t="e" cm="1">
        <f t="array" aca="1" ref="AC19" ca="1">IF($G$8=_xlfn.SINGLE(_xll.BTODAY()), _xll.BDP(AG19, IF($L$7, "LAST_PRICE", "PX_LAST")), _xll.BDH(AG19, "PX_LAST", $G$8, $G$8, "Days=A"))</f>
        <v>#NAME?</v>
      </c>
      <c r="AD19" s="19" t="e" cm="1">
        <f t="array" aca="1" ref="AD19" ca="1">IF(AND(RIGHT(AJ19,6)="Comdty",UPPER(LEFT(AA19,3))&lt;&gt;"BRL"),IF($G$8=_xlfn.SINGLE(_xll.BTODAY()), 100-_xlfn.SINGLE(_xll.BDP(AJ19, IF($L$7, "LAST_PRICE", "PX_LAST"))), 100-_xlfn.SINGLE(_xll.BDH(AJ19, "PX_LAST", $G$8, $G$8, "Days=A"))),IF($G$8=_xlfn.SINGLE(_xll.BTODAY()), _xll.BDP(AJ19, IF($L$7, "LAST_PRICE", "PX_LAST")), _xll.BDH(AJ19, "PX_LAST", $G$8, $G$8, "Days=A")))</f>
        <v>#N/A</v>
      </c>
      <c r="AE19" s="19" t="e" cm="1">
        <f t="array" aca="1" ref="AE19" ca="1">IF(AND(RIGHT(AK19,6)="Comdty",UPPER(RIGHT($E19,3))&lt;&gt;"BRL"),IF($G$8=_xlfn.SINGLE(_xll.BTODAY()), 100-_xlfn.SINGLE(_xll.BDP(AK19, IF($L$7, "LAST_PRICE", "PX_LAST"))), 100-_xlfn.SINGLE(_xll.BDH(AK19, "PX_LAST", $G$8, $G$8, "Days=A"))),IF($G$8=_xlfn.SINGLE(_xll.BTODAY()), _xll.BDP(AK19, IF($L$7, "LAST_PRICE", "PX_LAST")), _xll.BDH(AK19, "PX_LAST", $G$8, $G$8, "Days=A")))</f>
        <v>#N/A</v>
      </c>
      <c r="AF19" s="22" t="e">
        <f t="shared" ca="1" si="9"/>
        <v>#N/A</v>
      </c>
      <c r="AG19" s="13" t="str">
        <f t="shared" si="10"/>
        <v>USDJPYV2Y Curncy</v>
      </c>
      <c r="AH19" s="6" t="str">
        <f>$E19&amp;"V"&amp;AD10&amp;" Curncy"</f>
        <v>USDJPYV2Y Curncy</v>
      </c>
      <c r="AI19" s="6" t="str">
        <f>$E19&amp;"H"&amp;AD10&amp;" Curncy"</f>
        <v>USDJPYH2Y Curncy</v>
      </c>
      <c r="AJ19" s="76" t="e">
        <f ca="1">HLOOKUP($AD$10, INDEX('Interest Rate Curves'!$1:$1048576, MATCH(LEFT($E19,3), 'Interest Rate Curves'!$B:$B,0) + 4, 5):INDEX('Interest Rate Curves'!$1:$1048576, MATCH(LEFT($E19,3), 'Interest Rate Curves'!$B:$B,0) + 8, 55),  3, FALSE)</f>
        <v>#N/A</v>
      </c>
      <c r="AK19" s="76" t="e">
        <f ca="1">HLOOKUP($AD$10, INDEX('Interest Rate Curves'!$1:$1048576, MATCH(RIGHT($E19, 3), 'Interest Rate Curves'!$B:$B,0) + 4, 5):INDEX('Interest Rate Curves'!$1:$1048576, MATCH(RIGHT($E19, 3), 'Interest Rate Curves'!$B:$B,0) + 8, 55),  3, FALSE)</f>
        <v>#N/A</v>
      </c>
      <c r="AL19" s="6"/>
      <c r="AM19" s="6"/>
      <c r="AN19" s="21" t="e" cm="1">
        <f t="array" aca="1" ref="AN19" ca="1">IF($G$8=_xlfn.SINGLE(_xll.BTODAY()), _xll.BDP(AR19, IF($L$7, "LAST_PRICE", "PX_LAST")), _xll.BDH(AR19, "PX_LAST", $G$8, $G$8, "Days=A"))</f>
        <v>#NAME?</v>
      </c>
      <c r="AO19" s="19" t="e" cm="1">
        <f t="array" aca="1" ref="AO19" ca="1">IF(AND(RIGHT(AU19,6)="Comdty",UPPER(LEFT(AL19,3))&lt;&gt;"BRL"),IF($G$8=_xlfn.SINGLE(_xll.BTODAY()), 100-_xlfn.SINGLE(_xll.BDP(AU19, IF($L$7, "LAST_PRICE", "PX_LAST"))), 100-_xlfn.SINGLE(_xll.BDH(AU19, "PX_LAST", $G$8, $G$8, "Days=A"))),IF($G$8=_xlfn.SINGLE(_xll.BTODAY()), _xll.BDP(AU19, IF($L$7, "LAST_PRICE", "PX_LAST")), _xll.BDH(AU19, "PX_LAST", $G$8, $G$8, "Days=A")))</f>
        <v>#N/A</v>
      </c>
      <c r="AP19" s="19" t="e" cm="1">
        <f t="array" aca="1" ref="AP19" ca="1">IF(AND(RIGHT(AV19,6)="Comdty",UPPER(RIGHT($E19,3))&lt;&gt;"BRL"),IF($G$8=_xlfn.SINGLE(_xll.BTODAY()), 100-_xlfn.SINGLE(_xll.BDP(AV19, IF($L$7, "LAST_PRICE", "PX_LAST"))), 100-_xlfn.SINGLE(_xll.BDH(AV19, "PX_LAST", $G$8, $G$8, "Days=A"))),IF($G$8=_xlfn.SINGLE(_xll.BTODAY()), _xll.BDP(AV19, IF($L$7, "LAST_PRICE", "PX_LAST")), _xll.BDH(AV19, "PX_LAST", $G$8, $G$8, "Days=A")))</f>
        <v>#N/A</v>
      </c>
      <c r="AQ19" s="22" t="e">
        <f t="shared" ca="1" si="11"/>
        <v>#N/A</v>
      </c>
      <c r="AR19" s="14" t="str">
        <f t="shared" si="12"/>
        <v>USDJPYV5Y Curncy</v>
      </c>
      <c r="AS19" s="4" t="str">
        <f>$E19&amp;"V"&amp;AO10&amp;" Curncy"</f>
        <v>USDJPYV5Y Curncy</v>
      </c>
      <c r="AT19" s="4" t="str">
        <f>$E19&amp;"H"&amp;AO10&amp;" Curncy"</f>
        <v>USDJPYH5Y Curncy</v>
      </c>
      <c r="AU19" s="4" t="e">
        <f ca="1">HLOOKUP($AO$10, INDEX('Interest Rate Curves'!$1:$1048576, MATCH(LEFT($E19,3), 'Interest Rate Curves'!$B:$B,0) + 4, 5):INDEX('Interest Rate Curves'!$1:$1048576, MATCH(LEFT($E19,3), 'Interest Rate Curves'!$B:$B,0) + 8, 55),  3, FALSE)</f>
        <v>#N/A</v>
      </c>
      <c r="AV19" s="4" t="e">
        <f ca="1">HLOOKUP($AO$10, INDEX('Interest Rate Curves'!$1:$1048576, MATCH(RIGHT($E19, 3), 'Interest Rate Curves'!$B:$B,0) + 4, 5):INDEX('Interest Rate Curves'!$1:$1048576, MATCH(RIGHT($E19, 3), 'Interest Rate Curves'!$B:$B,0) + 8, 55),  3, FALSE)</f>
        <v>#N/A</v>
      </c>
      <c r="AY19" s="4" t="str">
        <f t="shared" si="13"/>
        <v>JPY</v>
      </c>
      <c r="AZ19" s="4" t="str">
        <f t="shared" si="0"/>
        <v>USDJPYV2Y Curncy</v>
      </c>
      <c r="BA19" s="4" t="e">
        <f t="shared" ca="1" si="1"/>
        <v>#N/A</v>
      </c>
      <c r="BB19" s="4" t="e">
        <f t="shared" ca="1" si="14"/>
        <v>#N/A</v>
      </c>
      <c r="BG19" s="4" t="str">
        <f t="shared" si="15"/>
        <v>JPY</v>
      </c>
      <c r="BH19" s="4" t="e">
        <f t="shared" ca="1" si="2"/>
        <v>#NAME?</v>
      </c>
      <c r="BI19" s="4" t="e">
        <f t="shared" ca="1" si="3"/>
        <v>#N/A</v>
      </c>
      <c r="BK19" s="97" t="e">
        <f>'Historical - Raw data'!AU15</f>
        <v>#N/A</v>
      </c>
      <c r="BL19" s="58" t="e">
        <f ca="1">'Historical - Raw data'!AV15</f>
        <v>#N/A</v>
      </c>
      <c r="BM19" s="58" t="e">
        <f ca="1">'Historical - Raw data'!AW15</f>
        <v>#N/A</v>
      </c>
      <c r="BN19" s="58" t="e">
        <f ca="1">'Historical - Raw data'!AX15</f>
        <v>#N/A</v>
      </c>
      <c r="BO19" s="58" t="e">
        <f ca="1">'Historical - Raw data'!AY15</f>
        <v>#N/A</v>
      </c>
      <c r="BP19" s="58" t="e">
        <f ca="1">'Historical - Raw data'!AZ15</f>
        <v>#N/A</v>
      </c>
      <c r="BQ19" s="58" t="e">
        <f ca="1">'Historical - Raw data'!BA15</f>
        <v>#N/A</v>
      </c>
      <c r="BR19" s="58" t="e">
        <f ca="1">'Historical - Raw data'!BB15</f>
        <v>#N/A</v>
      </c>
      <c r="BS19" s="58" t="e">
        <f ca="1">'Historical - Raw data'!BC15</f>
        <v>#N/A</v>
      </c>
      <c r="BT19" s="58" t="e">
        <f ca="1">'Historical - Raw data'!BD15</f>
        <v>#N/A</v>
      </c>
      <c r="BU19" s="58" t="e">
        <f ca="1">'Historical - Raw data'!BE15</f>
        <v>#N/A</v>
      </c>
      <c r="BV19" s="58" t="e">
        <f ca="1">'Historical - Raw data'!BF15</f>
        <v>#N/A</v>
      </c>
      <c r="BW19" s="58" t="e">
        <f ca="1">'Historical - Raw data'!BG15</f>
        <v>#N/A</v>
      </c>
      <c r="BZ19" s="4" t="s">
        <v>13</v>
      </c>
    </row>
    <row r="20" spans="4:78" ht="15" customHeight="1">
      <c r="D20" s="38" t="s">
        <v>34</v>
      </c>
      <c r="E20" s="10" t="str">
        <f t="shared" si="4"/>
        <v>USDCHF</v>
      </c>
      <c r="F20" s="10"/>
      <c r="G20" s="23" t="e" cm="1">
        <f t="array" aca="1" ref="G20" ca="1">IF($G$8=_xlfn.SINGLE(_xll.BTODAY()), _xll.BDP(K20, IF($L$7, "LAST_PRICE", "PX_LAST")), _xll.BDH(K20, "PX_LAST", $G$8, $G$8, "Days=A"))</f>
        <v>#NAME?</v>
      </c>
      <c r="H20" s="20" t="e" cm="1">
        <f t="array" aca="1" ref="H20" ca="1">IF(AND(RIGHT(N20,6)="Comdty",UPPER(LEFT(E20,3))&lt;&gt;"BRL"),IF($G$8=_xlfn.SINGLE(_xll.BTODAY()), 100-_xlfn.SINGLE(_xll.BDP(N20, IF($L$7, "LAST_PRICE", "PX_LAST"))), 100-_xlfn.SINGLE(_xll.BDH(N20, "PX_LAST", $G$8, $G$8, "Days=A"))),IF($G$8=_xlfn.SINGLE(_xll.BTODAY()), _xll.BDP(N20, IF($L$7, "LAST_PRICE", "PX_LAST")), _xll.BDH(N20, "PX_LAST", $G$8, $G$8, "Days=A")))</f>
        <v>#N/A</v>
      </c>
      <c r="I20" s="20" t="e" cm="1">
        <f t="array" aca="1" ref="I20" ca="1">IF(AND(RIGHT(O20,6)="Comdty",UPPER(RIGHT($E20,3))&lt;&gt;"BRL"),IF($G$8=_xlfn.SINGLE(_xll.BTODAY()), 100-_xlfn.SINGLE(_xll.BDP(O20, IF($L$7, "LAST_PRICE", "PX_LAST"))), 100-_xlfn.SINGLE(_xll.BDH(O20, "PX_LAST", $G$8, $G$8, "Days=A"))),IF($G$8=_xlfn.SINGLE(_xll.BTODAY()), _xll.BDP(O20, IF($L$7, "LAST_PRICE", "PX_LAST")), _xll.BDH(O20, "PX_LAST", $G$8, $G$8, "Days=A")))</f>
        <v>#N/A</v>
      </c>
      <c r="J20" s="24" t="e">
        <f t="shared" ca="1" si="5"/>
        <v>#N/A</v>
      </c>
      <c r="K20" s="13" t="str">
        <f t="shared" si="6"/>
        <v>USDCHFV6M Curncy</v>
      </c>
      <c r="L20" s="6" t="str">
        <f>$E20&amp;"V"&amp;H10&amp;" Curncy"</f>
        <v>USDCHFV6M Curncy</v>
      </c>
      <c r="M20" s="6" t="str">
        <f>$E20&amp;"H"&amp;H10&amp;" Curncy"</f>
        <v>USDCHFH6M Curncy</v>
      </c>
      <c r="N20" s="76" t="e">
        <f ca="1">HLOOKUP($H$10, INDEX('Interest Rate Curves'!$1:$1048576, MATCH(LEFT($E20,3), 'Interest Rate Curves'!$B:$B,0) + 4, 5):INDEX('Interest Rate Curves'!$1:$1048576, MATCH(LEFT($E20,3), 'Interest Rate Curves'!$B:$B,0) + 8, 55),  3, FALSE)</f>
        <v>#N/A</v>
      </c>
      <c r="O20" s="76" t="e">
        <f ca="1">HLOOKUP($H$10, INDEX('Interest Rate Curves'!$1:$1048576, MATCH(RIGHT($E20, 3), 'Interest Rate Curves'!$B:$B,0) + 4, 5):INDEX('Interest Rate Curves'!$1:$1048576, MATCH(RIGHT($E20, 3), 'Interest Rate Curves'!$B:$B,0) + 8, 55),  3, FALSE)</f>
        <v>#N/A</v>
      </c>
      <c r="P20" s="6"/>
      <c r="Q20" s="6"/>
      <c r="R20" s="23" t="e" cm="1">
        <f t="array" aca="1" ref="R20" ca="1">IF($G$8=_xlfn.SINGLE(_xll.BTODAY()), _xll.BDP(V20, IF($L$7, "LAST_PRICE", "PX_LAST")), _xll.BDH(V20, "PX_LAST", $G$8, $G$8, "Days=A"))</f>
        <v>#NAME?</v>
      </c>
      <c r="S20" s="20" t="e" cm="1">
        <f t="array" aca="1" ref="S20" ca="1">IF(AND(RIGHT(Y20,6)="Comdty",UPPER(LEFT(P20,3))&lt;&gt;"BRL"),IF($G$8=_xlfn.SINGLE(_xll.BTODAY()), 100-_xlfn.SINGLE(_xll.BDP(Y20, IF($L$7, "LAST_PRICE", "PX_LAST"))), 100-_xlfn.SINGLE(_xll.BDH(Y20, "PX_LAST", $G$8, $G$8, "Days=A"))),IF($G$8=_xlfn.SINGLE(_xll.BTODAY()), _xll.BDP(Y20, IF($L$7, "LAST_PRICE", "PX_LAST")), _xll.BDH(Y20, "PX_LAST", $G$8, $G$8, "Days=A")))</f>
        <v>#N/A</v>
      </c>
      <c r="T20" s="20" t="e" cm="1">
        <f t="array" aca="1" ref="T20" ca="1">IF(AND(RIGHT(Z20,6)="Comdty",UPPER(RIGHT($E20,3))&lt;&gt;"BRL"),IF($G$8=_xlfn.SINGLE(_xll.BTODAY()), 100-_xlfn.SINGLE(_xll.BDP(Z20, IF($L$7, "LAST_PRICE", "PX_LAST"))), 100-_xlfn.SINGLE(_xll.BDH(Z20, "PX_LAST", $G$8, $G$8, "Days=A"))),IF($G$8=_xlfn.SINGLE(_xll.BTODAY()), _xll.BDP(Z20, IF($L$7, "LAST_PRICE", "PX_LAST")), _xll.BDH(Z20, "PX_LAST", $G$8, $G$8, "Days=A")))</f>
        <v>#N/A</v>
      </c>
      <c r="U20" s="24" t="e">
        <f t="shared" ca="1" si="7"/>
        <v>#N/A</v>
      </c>
      <c r="V20" s="13" t="str">
        <f t="shared" si="8"/>
        <v>USDCHFV1Y Curncy</v>
      </c>
      <c r="W20" s="6" t="str">
        <f>$E20&amp;"V"&amp;S10&amp;" Curncy"</f>
        <v>USDCHFV1Y Curncy</v>
      </c>
      <c r="X20" s="6" t="str">
        <f>$E20&amp;"H"&amp;S10&amp;" Curncy"</f>
        <v>USDCHFH1Y Curncy</v>
      </c>
      <c r="Y20" s="76" t="e">
        <f ca="1">HLOOKUP($S$10, INDEX('Interest Rate Curves'!$1:$1048576, MATCH(LEFT($E20,3), 'Interest Rate Curves'!$B:$B,0) + 4, 5):INDEX('Interest Rate Curves'!$1:$1048576, MATCH(LEFT($E20,3), 'Interest Rate Curves'!$B:$B,0) + 8, 55),  3, FALSE)</f>
        <v>#N/A</v>
      </c>
      <c r="Z20" s="76" t="e">
        <f ca="1">HLOOKUP($S$10, INDEX('Interest Rate Curves'!$1:$1048576, MATCH(RIGHT($E20, 3), 'Interest Rate Curves'!$B:$B,0) + 4, 5):INDEX('Interest Rate Curves'!$1:$1048576, MATCH(RIGHT($E20, 3), 'Interest Rate Curves'!$B:$B,0) + 8, 55),  3, FALSE)</f>
        <v>#N/A</v>
      </c>
      <c r="AA20" s="6"/>
      <c r="AB20" s="6"/>
      <c r="AC20" s="23" t="e" cm="1">
        <f t="array" aca="1" ref="AC20" ca="1">IF($G$8=_xlfn.SINGLE(_xll.BTODAY()), _xll.BDP(AG20, IF($L$7, "LAST_PRICE", "PX_LAST")), _xll.BDH(AG20, "PX_LAST", $G$8, $G$8, "Days=A"))</f>
        <v>#NAME?</v>
      </c>
      <c r="AD20" s="20" t="e" cm="1">
        <f t="array" aca="1" ref="AD20" ca="1">IF(AND(RIGHT(AJ20,6)="Comdty",UPPER(LEFT(AA20,3))&lt;&gt;"BRL"),IF($G$8=_xlfn.SINGLE(_xll.BTODAY()), 100-_xlfn.SINGLE(_xll.BDP(AJ20, IF($L$7, "LAST_PRICE", "PX_LAST"))), 100-_xlfn.SINGLE(_xll.BDH(AJ20, "PX_LAST", $G$8, $G$8, "Days=A"))),IF($G$8=_xlfn.SINGLE(_xll.BTODAY()), _xll.BDP(AJ20, IF($L$7, "LAST_PRICE", "PX_LAST")), _xll.BDH(AJ20, "PX_LAST", $G$8, $G$8, "Days=A")))</f>
        <v>#N/A</v>
      </c>
      <c r="AE20" s="20" t="e" cm="1">
        <f t="array" aca="1" ref="AE20" ca="1">IF(AND(RIGHT(AK20,6)="Comdty",UPPER(RIGHT($E20,3))&lt;&gt;"BRL"),IF($G$8=_xlfn.SINGLE(_xll.BTODAY()), 100-_xlfn.SINGLE(_xll.BDP(AK20, IF($L$7, "LAST_PRICE", "PX_LAST"))), 100-_xlfn.SINGLE(_xll.BDH(AK20, "PX_LAST", $G$8, $G$8, "Days=A"))),IF($G$8=_xlfn.SINGLE(_xll.BTODAY()), _xll.BDP(AK20, IF($L$7, "LAST_PRICE", "PX_LAST")), _xll.BDH(AK20, "PX_LAST", $G$8, $G$8, "Days=A")))</f>
        <v>#N/A</v>
      </c>
      <c r="AF20" s="24" t="e">
        <f t="shared" ca="1" si="9"/>
        <v>#N/A</v>
      </c>
      <c r="AG20" s="13" t="str">
        <f t="shared" si="10"/>
        <v>USDCHFV2Y Curncy</v>
      </c>
      <c r="AH20" s="6" t="str">
        <f>$E20&amp;"V"&amp;AD10&amp;" Curncy"</f>
        <v>USDCHFV2Y Curncy</v>
      </c>
      <c r="AI20" s="6" t="str">
        <f>$E20&amp;"H"&amp;AD10&amp;" Curncy"</f>
        <v>USDCHFH2Y Curncy</v>
      </c>
      <c r="AJ20" s="76" t="e">
        <f ca="1">HLOOKUP($AD$10, INDEX('Interest Rate Curves'!$1:$1048576, MATCH(LEFT($E20,3), 'Interest Rate Curves'!$B:$B,0) + 4, 5):INDEX('Interest Rate Curves'!$1:$1048576, MATCH(LEFT($E20,3), 'Interest Rate Curves'!$B:$B,0) + 8, 55),  3, FALSE)</f>
        <v>#N/A</v>
      </c>
      <c r="AK20" s="76" t="e">
        <f ca="1">HLOOKUP($AD$10, INDEX('Interest Rate Curves'!$1:$1048576, MATCH(RIGHT($E20, 3), 'Interest Rate Curves'!$B:$B,0) + 4, 5):INDEX('Interest Rate Curves'!$1:$1048576, MATCH(RIGHT($E20, 3), 'Interest Rate Curves'!$B:$B,0) + 8, 55),  3, FALSE)</f>
        <v>#N/A</v>
      </c>
      <c r="AL20" s="6"/>
      <c r="AM20" s="6"/>
      <c r="AN20" s="23" t="e" cm="1">
        <f t="array" aca="1" ref="AN20" ca="1">IF($G$8=_xlfn.SINGLE(_xll.BTODAY()), _xll.BDP(AR20, IF($L$7, "LAST_PRICE", "PX_LAST")), _xll.BDH(AR20, "PX_LAST", $G$8, $G$8, "Days=A"))</f>
        <v>#NAME?</v>
      </c>
      <c r="AO20" s="20" t="e" cm="1">
        <f t="array" aca="1" ref="AO20" ca="1">IF(AND(RIGHT(AU20,6)="Comdty",UPPER(LEFT(AL20,3))&lt;&gt;"BRL"),IF($G$8=_xlfn.SINGLE(_xll.BTODAY()), 100-_xlfn.SINGLE(_xll.BDP(AU20, IF($L$7, "LAST_PRICE", "PX_LAST"))), 100-_xlfn.SINGLE(_xll.BDH(AU20, "PX_LAST", $G$8, $G$8, "Days=A"))),IF($G$8=_xlfn.SINGLE(_xll.BTODAY()), _xll.BDP(AU20, IF($L$7, "LAST_PRICE", "PX_LAST")), _xll.BDH(AU20, "PX_LAST", $G$8, $G$8, "Days=A")))</f>
        <v>#N/A</v>
      </c>
      <c r="AP20" s="20" t="e" cm="1">
        <f t="array" aca="1" ref="AP20" ca="1">IF(AND(RIGHT(AV20,6)="Comdty",UPPER(RIGHT($E20,3))&lt;&gt;"BRL"),IF($G$8=_xlfn.SINGLE(_xll.BTODAY()), 100-_xlfn.SINGLE(_xll.BDP(AV20, IF($L$7, "LAST_PRICE", "PX_LAST"))), 100-_xlfn.SINGLE(_xll.BDH(AV20, "PX_LAST", $G$8, $G$8, "Days=A"))),IF($G$8=_xlfn.SINGLE(_xll.BTODAY()), _xll.BDP(AV20, IF($L$7, "LAST_PRICE", "PX_LAST")), _xll.BDH(AV20, "PX_LAST", $G$8, $G$8, "Days=A")))</f>
        <v>#N/A</v>
      </c>
      <c r="AQ20" s="24" t="e">
        <f t="shared" ca="1" si="11"/>
        <v>#N/A</v>
      </c>
      <c r="AR20" s="14" t="str">
        <f t="shared" si="12"/>
        <v>USDCHFV5Y Curncy</v>
      </c>
      <c r="AS20" s="4" t="str">
        <f>$E20&amp;"V"&amp;AO10&amp;" Curncy"</f>
        <v>USDCHFV5Y Curncy</v>
      </c>
      <c r="AT20" s="4" t="str">
        <f>$E20&amp;"H"&amp;AO10&amp;" Curncy"</f>
        <v>USDCHFH5Y Curncy</v>
      </c>
      <c r="AU20" s="4" t="e">
        <f ca="1">HLOOKUP($AO$10, INDEX('Interest Rate Curves'!$1:$1048576, MATCH(LEFT($E20,3), 'Interest Rate Curves'!$B:$B,0) + 4, 5):INDEX('Interest Rate Curves'!$1:$1048576, MATCH(LEFT($E20,3), 'Interest Rate Curves'!$B:$B,0) + 8, 55),  3, FALSE)</f>
        <v>#N/A</v>
      </c>
      <c r="AV20" s="4" t="e">
        <f ca="1">HLOOKUP($AO$10, INDEX('Interest Rate Curves'!$1:$1048576, MATCH(RIGHT($E20, 3), 'Interest Rate Curves'!$B:$B,0) + 4, 5):INDEX('Interest Rate Curves'!$1:$1048576, MATCH(RIGHT($E20, 3), 'Interest Rate Curves'!$B:$B,0) + 8, 55),  3, FALSE)</f>
        <v>#N/A</v>
      </c>
      <c r="AY20" s="4" t="str">
        <f t="shared" si="13"/>
        <v>CHF</v>
      </c>
      <c r="AZ20" s="4" t="str">
        <f t="shared" si="0"/>
        <v>USDCHFV2Y Curncy</v>
      </c>
      <c r="BA20" s="4" t="e">
        <f t="shared" ca="1" si="1"/>
        <v>#N/A</v>
      </c>
      <c r="BB20" s="4" t="e">
        <f t="shared" ca="1" si="14"/>
        <v>#N/A</v>
      </c>
      <c r="BG20" s="4" t="str">
        <f t="shared" si="15"/>
        <v>CHF</v>
      </c>
      <c r="BH20" s="4" t="e">
        <f t="shared" ca="1" si="2"/>
        <v>#NAME?</v>
      </c>
      <c r="BI20" s="4" t="e">
        <f t="shared" ca="1" si="3"/>
        <v>#N/A</v>
      </c>
      <c r="BK20" s="97" t="e">
        <f>'Historical - Raw data'!AU16</f>
        <v>#N/A</v>
      </c>
      <c r="BL20" s="58" t="e">
        <f ca="1">'Historical - Raw data'!AV16</f>
        <v>#N/A</v>
      </c>
      <c r="BM20" s="58" t="e">
        <f ca="1">'Historical - Raw data'!AW16</f>
        <v>#N/A</v>
      </c>
      <c r="BN20" s="58" t="e">
        <f ca="1">'Historical - Raw data'!AX16</f>
        <v>#N/A</v>
      </c>
      <c r="BO20" s="58" t="e">
        <f ca="1">'Historical - Raw data'!AY16</f>
        <v>#N/A</v>
      </c>
      <c r="BP20" s="58" t="e">
        <f ca="1">'Historical - Raw data'!AZ16</f>
        <v>#N/A</v>
      </c>
      <c r="BQ20" s="58" t="e">
        <f ca="1">'Historical - Raw data'!BA16</f>
        <v>#N/A</v>
      </c>
      <c r="BR20" s="58" t="e">
        <f ca="1">'Historical - Raw data'!BB16</f>
        <v>#N/A</v>
      </c>
      <c r="BS20" s="58" t="e">
        <f ca="1">'Historical - Raw data'!BC16</f>
        <v>#N/A</v>
      </c>
      <c r="BT20" s="58" t="e">
        <f ca="1">'Historical - Raw data'!BD16</f>
        <v>#N/A</v>
      </c>
      <c r="BU20" s="58" t="e">
        <f ca="1">'Historical - Raw data'!BE16</f>
        <v>#N/A</v>
      </c>
      <c r="BV20" s="58" t="e">
        <f ca="1">'Historical - Raw data'!BF16</f>
        <v>#N/A</v>
      </c>
      <c r="BW20" s="58" t="e">
        <f ca="1">'Historical - Raw data'!BG16</f>
        <v>#N/A</v>
      </c>
      <c r="BZ20" s="4" t="s">
        <v>3</v>
      </c>
    </row>
    <row r="21" spans="4:78" ht="15" customHeight="1">
      <c r="D21" s="38" t="s">
        <v>27</v>
      </c>
      <c r="E21" s="10" t="str">
        <f t="shared" si="4"/>
        <v>GBPUSD</v>
      </c>
      <c r="F21" s="10"/>
      <c r="G21" s="21" t="e" cm="1">
        <f t="array" aca="1" ref="G21" ca="1">IF($G$8=_xlfn.SINGLE(_xll.BTODAY()), _xll.BDP(K21, IF($L$7, "LAST_PRICE", "PX_LAST")), _xll.BDH(K21, "PX_LAST", $G$8, $G$8, "Days=A"))</f>
        <v>#NAME?</v>
      </c>
      <c r="H21" s="19" t="e" cm="1">
        <f t="array" aca="1" ref="H21" ca="1">IF(AND(RIGHT(N21,6)="Comdty",UPPER(LEFT(E21,3))&lt;&gt;"BRL"),IF($G$8=_xlfn.SINGLE(_xll.BTODAY()), 100-_xlfn.SINGLE(_xll.BDP(N21, IF($L$7, "LAST_PRICE", "PX_LAST"))), 100-_xlfn.SINGLE(_xll.BDH(N21, "PX_LAST", $G$8, $G$8, "Days=A"))),IF($G$8=_xlfn.SINGLE(_xll.BTODAY()), _xll.BDP(N21, IF($L$7, "LAST_PRICE", "PX_LAST")), _xll.BDH(N21, "PX_LAST", $G$8, $G$8, "Days=A")))</f>
        <v>#N/A</v>
      </c>
      <c r="I21" s="19" t="e" cm="1">
        <f t="array" aca="1" ref="I21" ca="1">IF(AND(RIGHT(O21,6)="Comdty",UPPER(RIGHT($E21,3))&lt;&gt;"BRL"),IF($G$8=_xlfn.SINGLE(_xll.BTODAY()), 100-_xlfn.SINGLE(_xll.BDP(O21, IF($L$7, "LAST_PRICE", "PX_LAST"))), 100-_xlfn.SINGLE(_xll.BDH(O21, "PX_LAST", $G$8, $G$8, "Days=A"))),IF($G$8=_xlfn.SINGLE(_xll.BTODAY()), _xll.BDP(O21, IF($L$7, "LAST_PRICE", "PX_LAST")), _xll.BDH(O21, "PX_LAST", $G$8, $G$8, "Days=A")))</f>
        <v>#N/A</v>
      </c>
      <c r="J21" s="22" t="e">
        <f t="shared" ca="1" si="5"/>
        <v>#N/A</v>
      </c>
      <c r="K21" s="13" t="str">
        <f t="shared" si="6"/>
        <v>GBPUSDV6M Curncy</v>
      </c>
      <c r="L21" s="6" t="str">
        <f>$E21&amp;"V"&amp;H10&amp;" Curncy"</f>
        <v>GBPUSDV6M Curncy</v>
      </c>
      <c r="M21" s="6" t="str">
        <f>$E21&amp;"H"&amp;H10&amp;" Curncy"</f>
        <v>GBPUSDH6M Curncy</v>
      </c>
      <c r="N21" s="76" t="e">
        <f ca="1">HLOOKUP($H$10, INDEX('Interest Rate Curves'!$1:$1048576, MATCH(LEFT($E21,3), 'Interest Rate Curves'!$B:$B,0) + 4, 5):INDEX('Interest Rate Curves'!$1:$1048576, MATCH(LEFT($E21,3), 'Interest Rate Curves'!$B:$B,0) + 8, 55),  3, FALSE)</f>
        <v>#N/A</v>
      </c>
      <c r="O21" s="76" t="e">
        <f ca="1">HLOOKUP($H$10, INDEX('Interest Rate Curves'!$1:$1048576, MATCH(RIGHT($E21, 3), 'Interest Rate Curves'!$B:$B,0) + 4, 5):INDEX('Interest Rate Curves'!$1:$1048576, MATCH(RIGHT($E21, 3), 'Interest Rate Curves'!$B:$B,0) + 8, 55),  3, FALSE)</f>
        <v>#N/A</v>
      </c>
      <c r="P21" s="6"/>
      <c r="Q21" s="6"/>
      <c r="R21" s="21" t="e" cm="1">
        <f t="array" aca="1" ref="R21" ca="1">IF($G$8=_xlfn.SINGLE(_xll.BTODAY()), _xll.BDP(V21, IF($L$7, "LAST_PRICE", "PX_LAST")), _xll.BDH(V21, "PX_LAST", $G$8, $G$8, "Days=A"))</f>
        <v>#NAME?</v>
      </c>
      <c r="S21" s="19" t="e" cm="1">
        <f t="array" aca="1" ref="S21" ca="1">IF(AND(RIGHT(Y21,6)="Comdty",UPPER(LEFT(P21,3))&lt;&gt;"BRL"),IF($G$8=_xlfn.SINGLE(_xll.BTODAY()), 100-_xlfn.SINGLE(_xll.BDP(Y21, IF($L$7, "LAST_PRICE", "PX_LAST"))), 100-_xlfn.SINGLE(_xll.BDH(Y21, "PX_LAST", $G$8, $G$8, "Days=A"))),IF($G$8=_xlfn.SINGLE(_xll.BTODAY()), _xll.BDP(Y21, IF($L$7, "LAST_PRICE", "PX_LAST")), _xll.BDH(Y21, "PX_LAST", $G$8, $G$8, "Days=A")))</f>
        <v>#N/A</v>
      </c>
      <c r="T21" s="19" t="e" cm="1">
        <f t="array" aca="1" ref="T21" ca="1">IF(AND(RIGHT(Z21,6)="Comdty",UPPER(RIGHT($E21,3))&lt;&gt;"BRL"),IF($G$8=_xlfn.SINGLE(_xll.BTODAY()), 100-_xlfn.SINGLE(_xll.BDP(Z21, IF($L$7, "LAST_PRICE", "PX_LAST"))), 100-_xlfn.SINGLE(_xll.BDH(Z21, "PX_LAST", $G$8, $G$8, "Days=A"))),IF($G$8=_xlfn.SINGLE(_xll.BTODAY()), _xll.BDP(Z21, IF($L$7, "LAST_PRICE", "PX_LAST")), _xll.BDH(Z21, "PX_LAST", $G$8, $G$8, "Days=A")))</f>
        <v>#N/A</v>
      </c>
      <c r="U21" s="22" t="e">
        <f t="shared" ca="1" si="7"/>
        <v>#N/A</v>
      </c>
      <c r="V21" s="13" t="str">
        <f t="shared" si="8"/>
        <v>GBPUSDV1Y Curncy</v>
      </c>
      <c r="W21" s="6" t="str">
        <f>$E21&amp;"V"&amp;S10&amp;" Curncy"</f>
        <v>GBPUSDV1Y Curncy</v>
      </c>
      <c r="X21" s="6" t="str">
        <f>$E21&amp;"H"&amp;S10&amp;" Curncy"</f>
        <v>GBPUSDH1Y Curncy</v>
      </c>
      <c r="Y21" s="76" t="e">
        <f ca="1">HLOOKUP($S$10, INDEX('Interest Rate Curves'!$1:$1048576, MATCH(LEFT($E21,3), 'Interest Rate Curves'!$B:$B,0) + 4, 5):INDEX('Interest Rate Curves'!$1:$1048576, MATCH(LEFT($E21,3), 'Interest Rate Curves'!$B:$B,0) + 8, 55),  3, FALSE)</f>
        <v>#N/A</v>
      </c>
      <c r="Z21" s="76" t="e">
        <f ca="1">HLOOKUP($S$10, INDEX('Interest Rate Curves'!$1:$1048576, MATCH(RIGHT($E21, 3), 'Interest Rate Curves'!$B:$B,0) + 4, 5):INDEX('Interest Rate Curves'!$1:$1048576, MATCH(RIGHT($E21, 3), 'Interest Rate Curves'!$B:$B,0) + 8, 55),  3, FALSE)</f>
        <v>#N/A</v>
      </c>
      <c r="AA21" s="6"/>
      <c r="AB21" s="6"/>
      <c r="AC21" s="21" t="e" cm="1">
        <f t="array" aca="1" ref="AC21" ca="1">IF($G$8=_xlfn.SINGLE(_xll.BTODAY()), _xll.BDP(AG21, IF($L$7, "LAST_PRICE", "PX_LAST")), _xll.BDH(AG21, "PX_LAST", $G$8, $G$8, "Days=A"))</f>
        <v>#NAME?</v>
      </c>
      <c r="AD21" s="19" t="e" cm="1">
        <f t="array" aca="1" ref="AD21" ca="1">IF(AND(RIGHT(AJ21,6)="Comdty",UPPER(LEFT(AA21,3))&lt;&gt;"BRL"),IF($G$8=_xlfn.SINGLE(_xll.BTODAY()), 100-_xlfn.SINGLE(_xll.BDP(AJ21, IF($L$7, "LAST_PRICE", "PX_LAST"))), 100-_xlfn.SINGLE(_xll.BDH(AJ21, "PX_LAST", $G$8, $G$8, "Days=A"))),IF($G$8=_xlfn.SINGLE(_xll.BTODAY()), _xll.BDP(AJ21, IF($L$7, "LAST_PRICE", "PX_LAST")), _xll.BDH(AJ21, "PX_LAST", $G$8, $G$8, "Days=A")))</f>
        <v>#N/A</v>
      </c>
      <c r="AE21" s="19" t="e" cm="1">
        <f t="array" aca="1" ref="AE21" ca="1">IF(AND(RIGHT(AK21,6)="Comdty",UPPER(RIGHT($E21,3))&lt;&gt;"BRL"),IF($G$8=_xlfn.SINGLE(_xll.BTODAY()), 100-_xlfn.SINGLE(_xll.BDP(AK21, IF($L$7, "LAST_PRICE", "PX_LAST"))), 100-_xlfn.SINGLE(_xll.BDH(AK21, "PX_LAST", $G$8, $G$8, "Days=A"))),IF($G$8=_xlfn.SINGLE(_xll.BTODAY()), _xll.BDP(AK21, IF($L$7, "LAST_PRICE", "PX_LAST")), _xll.BDH(AK21, "PX_LAST", $G$8, $G$8, "Days=A")))</f>
        <v>#N/A</v>
      </c>
      <c r="AF21" s="22" t="e">
        <f t="shared" ca="1" si="9"/>
        <v>#N/A</v>
      </c>
      <c r="AG21" s="13" t="str">
        <f t="shared" si="10"/>
        <v>GBPUSDV2Y Curncy</v>
      </c>
      <c r="AH21" s="6" t="str">
        <f>$E21&amp;"V"&amp;AD10&amp;" Curncy"</f>
        <v>GBPUSDV2Y Curncy</v>
      </c>
      <c r="AI21" s="6" t="str">
        <f>$E21&amp;"H"&amp;AD10&amp;" Curncy"</f>
        <v>GBPUSDH2Y Curncy</v>
      </c>
      <c r="AJ21" s="76" t="e">
        <f ca="1">HLOOKUP($AD$10, INDEX('Interest Rate Curves'!$1:$1048576, MATCH(LEFT($E21,3), 'Interest Rate Curves'!$B:$B,0) + 4, 5):INDEX('Interest Rate Curves'!$1:$1048576, MATCH(LEFT($E21,3), 'Interest Rate Curves'!$B:$B,0) + 8, 55),  3, FALSE)</f>
        <v>#N/A</v>
      </c>
      <c r="AK21" s="76" t="e">
        <f ca="1">HLOOKUP($AD$10, INDEX('Interest Rate Curves'!$1:$1048576, MATCH(RIGHT($E21, 3), 'Interest Rate Curves'!$B:$B,0) + 4, 5):INDEX('Interest Rate Curves'!$1:$1048576, MATCH(RIGHT($E21, 3), 'Interest Rate Curves'!$B:$B,0) + 8, 55),  3, FALSE)</f>
        <v>#N/A</v>
      </c>
      <c r="AL21" s="6"/>
      <c r="AM21" s="6"/>
      <c r="AN21" s="21" t="e" cm="1">
        <f t="array" aca="1" ref="AN21" ca="1">IF($G$8=_xlfn.SINGLE(_xll.BTODAY()), _xll.BDP(AR21, IF($L$7, "LAST_PRICE", "PX_LAST")), _xll.BDH(AR21, "PX_LAST", $G$8, $G$8, "Days=A"))</f>
        <v>#NAME?</v>
      </c>
      <c r="AO21" s="19" t="e" cm="1">
        <f t="array" aca="1" ref="AO21" ca="1">IF(AND(RIGHT(AU21,6)="Comdty",UPPER(LEFT(AL21,3))&lt;&gt;"BRL"),IF($G$8=_xlfn.SINGLE(_xll.BTODAY()), 100-_xlfn.SINGLE(_xll.BDP(AU21, IF($L$7, "LAST_PRICE", "PX_LAST"))), 100-_xlfn.SINGLE(_xll.BDH(AU21, "PX_LAST", $G$8, $G$8, "Days=A"))),IF($G$8=_xlfn.SINGLE(_xll.BTODAY()), _xll.BDP(AU21, IF($L$7, "LAST_PRICE", "PX_LAST")), _xll.BDH(AU21, "PX_LAST", $G$8, $G$8, "Days=A")))</f>
        <v>#N/A</v>
      </c>
      <c r="AP21" s="19" t="e" cm="1">
        <f t="array" aca="1" ref="AP21" ca="1">IF(AND(RIGHT(AV21,6)="Comdty",UPPER(RIGHT($E21,3))&lt;&gt;"BRL"),IF($G$8=_xlfn.SINGLE(_xll.BTODAY()), 100-_xlfn.SINGLE(_xll.BDP(AV21, IF($L$7, "LAST_PRICE", "PX_LAST"))), 100-_xlfn.SINGLE(_xll.BDH(AV21, "PX_LAST", $G$8, $G$8, "Days=A"))),IF($G$8=_xlfn.SINGLE(_xll.BTODAY()), _xll.BDP(AV21, IF($L$7, "LAST_PRICE", "PX_LAST")), _xll.BDH(AV21, "PX_LAST", $G$8, $G$8, "Days=A")))</f>
        <v>#N/A</v>
      </c>
      <c r="AQ21" s="22" t="e">
        <f t="shared" ca="1" si="11"/>
        <v>#N/A</v>
      </c>
      <c r="AR21" s="14" t="str">
        <f t="shared" si="12"/>
        <v>GBPUSDV5Y Curncy</v>
      </c>
      <c r="AS21" s="4" t="str">
        <f>$E21&amp;"V"&amp;AO10&amp;" Curncy"</f>
        <v>GBPUSDV5Y Curncy</v>
      </c>
      <c r="AT21" s="4" t="str">
        <f>$E21&amp;"H"&amp;AO10&amp;" Curncy"</f>
        <v>GBPUSDH5Y Curncy</v>
      </c>
      <c r="AU21" s="4" t="e">
        <f ca="1">HLOOKUP($AO$10, INDEX('Interest Rate Curves'!$1:$1048576, MATCH(LEFT($E21,3), 'Interest Rate Curves'!$B:$B,0) + 4, 5):INDEX('Interest Rate Curves'!$1:$1048576, MATCH(LEFT($E21,3), 'Interest Rate Curves'!$B:$B,0) + 8, 55),  3, FALSE)</f>
        <v>#N/A</v>
      </c>
      <c r="AV21" s="4" t="e">
        <f ca="1">HLOOKUP($AO$10, INDEX('Interest Rate Curves'!$1:$1048576, MATCH(RIGHT($E21, 3), 'Interest Rate Curves'!$B:$B,0) + 4, 5):INDEX('Interest Rate Curves'!$1:$1048576, MATCH(RIGHT($E21, 3), 'Interest Rate Curves'!$B:$B,0) + 8, 55),  3, FALSE)</f>
        <v>#N/A</v>
      </c>
      <c r="AY21" s="4" t="str">
        <f t="shared" si="13"/>
        <v>GBP</v>
      </c>
      <c r="AZ21" s="4" t="str">
        <f t="shared" si="0"/>
        <v>GBPUSDV2Y Curncy</v>
      </c>
      <c r="BA21" s="4" t="e">
        <f t="shared" ca="1" si="1"/>
        <v>#N/A</v>
      </c>
      <c r="BB21" s="4" t="e">
        <f t="shared" ca="1" si="14"/>
        <v>#N/A</v>
      </c>
      <c r="BG21" s="4" t="str">
        <f t="shared" si="15"/>
        <v>GBP</v>
      </c>
      <c r="BH21" s="4" t="e">
        <f t="shared" ca="1" si="2"/>
        <v>#NAME?</v>
      </c>
      <c r="BI21" s="4" t="e">
        <f t="shared" ca="1" si="3"/>
        <v>#N/A</v>
      </c>
      <c r="BK21" s="97" t="e">
        <f>'Historical - Raw data'!AU17</f>
        <v>#N/A</v>
      </c>
      <c r="BL21" s="58" t="e">
        <f ca="1">'Historical - Raw data'!AV17</f>
        <v>#N/A</v>
      </c>
      <c r="BM21" s="58" t="e">
        <f ca="1">'Historical - Raw data'!AW17</f>
        <v>#N/A</v>
      </c>
      <c r="BN21" s="58" t="e">
        <f ca="1">'Historical - Raw data'!AX17</f>
        <v>#N/A</v>
      </c>
      <c r="BO21" s="58" t="e">
        <f ca="1">'Historical - Raw data'!AY17</f>
        <v>#N/A</v>
      </c>
      <c r="BP21" s="58" t="e">
        <f ca="1">'Historical - Raw data'!AZ17</f>
        <v>#N/A</v>
      </c>
      <c r="BQ21" s="58" t="e">
        <f ca="1">'Historical - Raw data'!BA17</f>
        <v>#N/A</v>
      </c>
      <c r="BR21" s="58" t="e">
        <f ca="1">'Historical - Raw data'!BB17</f>
        <v>#N/A</v>
      </c>
      <c r="BS21" s="58" t="e">
        <f ca="1">'Historical - Raw data'!BC17</f>
        <v>#N/A</v>
      </c>
      <c r="BT21" s="58" t="e">
        <f ca="1">'Historical - Raw data'!BD17</f>
        <v>#N/A</v>
      </c>
      <c r="BU21" s="58" t="e">
        <f ca="1">'Historical - Raw data'!BE17</f>
        <v>#N/A</v>
      </c>
      <c r="BV21" s="58" t="e">
        <f ca="1">'Historical - Raw data'!BF17</f>
        <v>#N/A</v>
      </c>
      <c r="BW21" s="58" t="e">
        <f ca="1">'Historical - Raw data'!BG17</f>
        <v>#N/A</v>
      </c>
      <c r="BZ21" s="4" t="s">
        <v>14</v>
      </c>
    </row>
    <row r="22" spans="4:78" ht="15" customHeight="1">
      <c r="D22" s="38" t="s">
        <v>0</v>
      </c>
      <c r="E22" s="10" t="str">
        <f t="shared" si="4"/>
        <v>EURGBP</v>
      </c>
      <c r="F22" s="10"/>
      <c r="G22" s="23" t="e" cm="1">
        <f t="array" aca="1" ref="G22" ca="1">IF($G$8=_xlfn.SINGLE(_xll.BTODAY()), _xll.BDP(K22, IF($L$7, "LAST_PRICE", "PX_LAST")), _xll.BDH(K22, "PX_LAST", $G$8, $G$8, "Days=A"))</f>
        <v>#NAME?</v>
      </c>
      <c r="H22" s="20" t="e" cm="1">
        <f t="array" aca="1" ref="H22" ca="1">IF(AND(RIGHT(N22,6)="Comdty",UPPER(LEFT(E22,3))&lt;&gt;"BRL"),IF($G$8=_xlfn.SINGLE(_xll.BTODAY()), 100-_xlfn.SINGLE(_xll.BDP(N22, IF($L$7, "LAST_PRICE", "PX_LAST"))), 100-_xlfn.SINGLE(_xll.BDH(N22, "PX_LAST", $G$8, $G$8, "Days=A"))),IF($G$8=_xlfn.SINGLE(_xll.BTODAY()), _xll.BDP(N22, IF($L$7, "LAST_PRICE", "PX_LAST")), _xll.BDH(N22, "PX_LAST", $G$8, $G$8, "Days=A")))</f>
        <v>#N/A</v>
      </c>
      <c r="I22" s="20" t="e" cm="1">
        <f t="array" aca="1" ref="I22" ca="1">IF(AND(RIGHT(O22,6)="Comdty",UPPER(RIGHT($E22,3))&lt;&gt;"BRL"),IF($G$8=_xlfn.SINGLE(_xll.BTODAY()), 100-_xlfn.SINGLE(_xll.BDP(O22, IF($L$7, "LAST_PRICE", "PX_LAST"))), 100-_xlfn.SINGLE(_xll.BDH(O22, "PX_LAST", $G$8, $G$8, "Days=A"))),IF($G$8=_xlfn.SINGLE(_xll.BTODAY()), _xll.BDP(O22, IF($L$7, "LAST_PRICE", "PX_LAST")), _xll.BDH(O22, "PX_LAST", $G$8, $G$8, "Days=A")))</f>
        <v>#N/A</v>
      </c>
      <c r="J22" s="24" t="e">
        <f t="shared" ca="1" si="5"/>
        <v>#N/A</v>
      </c>
      <c r="K22" s="13" t="str">
        <f t="shared" si="6"/>
        <v>EURGBPV6M Curncy</v>
      </c>
      <c r="L22" s="6" t="str">
        <f>$E22&amp;"V"&amp;H10&amp;" Curncy"</f>
        <v>EURGBPV6M Curncy</v>
      </c>
      <c r="M22" s="6" t="str">
        <f>$E22&amp;"H"&amp;H10&amp;" Curncy"</f>
        <v>EURGBPH6M Curncy</v>
      </c>
      <c r="N22" s="76" t="e">
        <f ca="1">HLOOKUP($H$10, INDEX('Interest Rate Curves'!$1:$1048576, MATCH(LEFT($E22,3), 'Interest Rate Curves'!$B:$B,0) + 4, 5):INDEX('Interest Rate Curves'!$1:$1048576, MATCH(LEFT($E22,3), 'Interest Rate Curves'!$B:$B,0) + 8, 55),  3, FALSE)</f>
        <v>#N/A</v>
      </c>
      <c r="O22" s="76" t="e">
        <f ca="1">HLOOKUP($H$10, INDEX('Interest Rate Curves'!$1:$1048576, MATCH(RIGHT($E22, 3), 'Interest Rate Curves'!$B:$B,0) + 4, 5):INDEX('Interest Rate Curves'!$1:$1048576, MATCH(RIGHT($E22, 3), 'Interest Rate Curves'!$B:$B,0) + 8, 55),  3, FALSE)</f>
        <v>#N/A</v>
      </c>
      <c r="P22" s="6"/>
      <c r="Q22" s="6"/>
      <c r="R22" s="23" t="e" cm="1">
        <f t="array" aca="1" ref="R22" ca="1">IF($G$8=_xlfn.SINGLE(_xll.BTODAY()), _xll.BDP(V22, IF($L$7, "LAST_PRICE", "PX_LAST")), _xll.BDH(V22, "PX_LAST", $G$8, $G$8, "Days=A"))</f>
        <v>#NAME?</v>
      </c>
      <c r="S22" s="20" t="e" cm="1">
        <f t="array" aca="1" ref="S22" ca="1">IF(AND(RIGHT(Y22,6)="Comdty",UPPER(LEFT(P22,3))&lt;&gt;"BRL"),IF($G$8=_xlfn.SINGLE(_xll.BTODAY()), 100-_xlfn.SINGLE(_xll.BDP(Y22, IF($L$7, "LAST_PRICE", "PX_LAST"))), 100-_xlfn.SINGLE(_xll.BDH(Y22, "PX_LAST", $G$8, $G$8, "Days=A"))),IF($G$8=_xlfn.SINGLE(_xll.BTODAY()), _xll.BDP(Y22, IF($L$7, "LAST_PRICE", "PX_LAST")), _xll.BDH(Y22, "PX_LAST", $G$8, $G$8, "Days=A")))</f>
        <v>#N/A</v>
      </c>
      <c r="T22" s="20" t="e" cm="1">
        <f t="array" aca="1" ref="T22" ca="1">IF(AND(RIGHT(Z22,6)="Comdty",UPPER(RIGHT($E22,3))&lt;&gt;"BRL"),IF($G$8=_xlfn.SINGLE(_xll.BTODAY()), 100-_xlfn.SINGLE(_xll.BDP(Z22, IF($L$7, "LAST_PRICE", "PX_LAST"))), 100-_xlfn.SINGLE(_xll.BDH(Z22, "PX_LAST", $G$8, $G$8, "Days=A"))),IF($G$8=_xlfn.SINGLE(_xll.BTODAY()), _xll.BDP(Z22, IF($L$7, "LAST_PRICE", "PX_LAST")), _xll.BDH(Z22, "PX_LAST", $G$8, $G$8, "Days=A")))</f>
        <v>#N/A</v>
      </c>
      <c r="U22" s="24" t="e">
        <f t="shared" ca="1" si="7"/>
        <v>#N/A</v>
      </c>
      <c r="V22" s="13" t="str">
        <f t="shared" si="8"/>
        <v>EURGBPV1Y Curncy</v>
      </c>
      <c r="W22" s="6" t="str">
        <f>$E22&amp;"V"&amp;S10&amp;" Curncy"</f>
        <v>EURGBPV1Y Curncy</v>
      </c>
      <c r="X22" s="6" t="str">
        <f>$E22&amp;"H"&amp;S10&amp;" Curncy"</f>
        <v>EURGBPH1Y Curncy</v>
      </c>
      <c r="Y22" s="76" t="e">
        <f ca="1">HLOOKUP($S$10, INDEX('Interest Rate Curves'!$1:$1048576, MATCH(LEFT($E22,3), 'Interest Rate Curves'!$B:$B,0) + 4, 5):INDEX('Interest Rate Curves'!$1:$1048576, MATCH(LEFT($E22,3), 'Interest Rate Curves'!$B:$B,0) + 8, 55),  3, FALSE)</f>
        <v>#N/A</v>
      </c>
      <c r="Z22" s="76" t="e">
        <f ca="1">HLOOKUP($S$10, INDEX('Interest Rate Curves'!$1:$1048576, MATCH(RIGHT($E22, 3), 'Interest Rate Curves'!$B:$B,0) + 4, 5):INDEX('Interest Rate Curves'!$1:$1048576, MATCH(RIGHT($E22, 3), 'Interest Rate Curves'!$B:$B,0) + 8, 55),  3, FALSE)</f>
        <v>#N/A</v>
      </c>
      <c r="AA22" s="6"/>
      <c r="AB22" s="6"/>
      <c r="AC22" s="23" t="e" cm="1">
        <f t="array" aca="1" ref="AC22" ca="1">IF($G$8=_xlfn.SINGLE(_xll.BTODAY()), _xll.BDP(AG22, IF($L$7, "LAST_PRICE", "PX_LAST")), _xll.BDH(AG22, "PX_LAST", $G$8, $G$8, "Days=A"))</f>
        <v>#NAME?</v>
      </c>
      <c r="AD22" s="20" t="e" cm="1">
        <f t="array" aca="1" ref="AD22" ca="1">IF(AND(RIGHT(AJ22,6)="Comdty",UPPER(LEFT(AA22,3))&lt;&gt;"BRL"),IF($G$8=_xlfn.SINGLE(_xll.BTODAY()), 100-_xlfn.SINGLE(_xll.BDP(AJ22, IF($L$7, "LAST_PRICE", "PX_LAST"))), 100-_xlfn.SINGLE(_xll.BDH(AJ22, "PX_LAST", $G$8, $G$8, "Days=A"))),IF($G$8=_xlfn.SINGLE(_xll.BTODAY()), _xll.BDP(AJ22, IF($L$7, "LAST_PRICE", "PX_LAST")), _xll.BDH(AJ22, "PX_LAST", $G$8, $G$8, "Days=A")))</f>
        <v>#N/A</v>
      </c>
      <c r="AE22" s="20" t="e" cm="1">
        <f t="array" aca="1" ref="AE22" ca="1">IF(AND(RIGHT(AK22,6)="Comdty",UPPER(RIGHT($E22,3))&lt;&gt;"BRL"),IF($G$8=_xlfn.SINGLE(_xll.BTODAY()), 100-_xlfn.SINGLE(_xll.BDP(AK22, IF($L$7, "LAST_PRICE", "PX_LAST"))), 100-_xlfn.SINGLE(_xll.BDH(AK22, "PX_LAST", $G$8, $G$8, "Days=A"))),IF($G$8=_xlfn.SINGLE(_xll.BTODAY()), _xll.BDP(AK22, IF($L$7, "LAST_PRICE", "PX_LAST")), _xll.BDH(AK22, "PX_LAST", $G$8, $G$8, "Days=A")))</f>
        <v>#N/A</v>
      </c>
      <c r="AF22" s="24" t="e">
        <f t="shared" ca="1" si="9"/>
        <v>#N/A</v>
      </c>
      <c r="AG22" s="13" t="str">
        <f t="shared" si="10"/>
        <v>EURGBPV2Y Curncy</v>
      </c>
      <c r="AH22" s="6" t="str">
        <f>$E22&amp;"V"&amp;AD10&amp;" Curncy"</f>
        <v>EURGBPV2Y Curncy</v>
      </c>
      <c r="AI22" s="6" t="str">
        <f>$E22&amp;"H"&amp;AD10&amp;" Curncy"</f>
        <v>EURGBPH2Y Curncy</v>
      </c>
      <c r="AJ22" s="76" t="e">
        <f ca="1">HLOOKUP($AD$10, INDEX('Interest Rate Curves'!$1:$1048576, MATCH(LEFT($E22,3), 'Interest Rate Curves'!$B:$B,0) + 4, 5):INDEX('Interest Rate Curves'!$1:$1048576, MATCH(LEFT($E22,3), 'Interest Rate Curves'!$B:$B,0) + 8, 55),  3, FALSE)</f>
        <v>#N/A</v>
      </c>
      <c r="AK22" s="76" t="e">
        <f ca="1">HLOOKUP($AD$10, INDEX('Interest Rate Curves'!$1:$1048576, MATCH(RIGHT($E22, 3), 'Interest Rate Curves'!$B:$B,0) + 4, 5):INDEX('Interest Rate Curves'!$1:$1048576, MATCH(RIGHT($E22, 3), 'Interest Rate Curves'!$B:$B,0) + 8, 55),  3, FALSE)</f>
        <v>#N/A</v>
      </c>
      <c r="AL22" s="6"/>
      <c r="AM22" s="6"/>
      <c r="AN22" s="23" t="e" cm="1">
        <f t="array" aca="1" ref="AN22" ca="1">IF($G$8=_xlfn.SINGLE(_xll.BTODAY()), _xll.BDP(AR22, IF($L$7, "LAST_PRICE", "PX_LAST")), _xll.BDH(AR22, "PX_LAST", $G$8, $G$8, "Days=A"))</f>
        <v>#NAME?</v>
      </c>
      <c r="AO22" s="20" t="e" cm="1">
        <f t="array" aca="1" ref="AO22" ca="1">IF(AND(RIGHT(AU22,6)="Comdty",UPPER(LEFT(AL22,3))&lt;&gt;"BRL"),IF($G$8=_xlfn.SINGLE(_xll.BTODAY()), 100-_xlfn.SINGLE(_xll.BDP(AU22, IF($L$7, "LAST_PRICE", "PX_LAST"))), 100-_xlfn.SINGLE(_xll.BDH(AU22, "PX_LAST", $G$8, $G$8, "Days=A"))),IF($G$8=_xlfn.SINGLE(_xll.BTODAY()), _xll.BDP(AU22, IF($L$7, "LAST_PRICE", "PX_LAST")), _xll.BDH(AU22, "PX_LAST", $G$8, $G$8, "Days=A")))</f>
        <v>#N/A</v>
      </c>
      <c r="AP22" s="20" t="e" cm="1">
        <f t="array" aca="1" ref="AP22" ca="1">IF(AND(RIGHT(AV22,6)="Comdty",UPPER(RIGHT($E22,3))&lt;&gt;"BRL"),IF($G$8=_xlfn.SINGLE(_xll.BTODAY()), 100-_xlfn.SINGLE(_xll.BDP(AV22, IF($L$7, "LAST_PRICE", "PX_LAST"))), 100-_xlfn.SINGLE(_xll.BDH(AV22, "PX_LAST", $G$8, $G$8, "Days=A"))),IF($G$8=_xlfn.SINGLE(_xll.BTODAY()), _xll.BDP(AV22, IF($L$7, "LAST_PRICE", "PX_LAST")), _xll.BDH(AV22, "PX_LAST", $G$8, $G$8, "Days=A")))</f>
        <v>#N/A</v>
      </c>
      <c r="AQ22" s="24" t="e">
        <f t="shared" ca="1" si="11"/>
        <v>#N/A</v>
      </c>
      <c r="AR22" s="14" t="str">
        <f t="shared" si="12"/>
        <v>EURGBPV5Y Curncy</v>
      </c>
      <c r="AS22" s="4" t="str">
        <f>$E22&amp;"V"&amp;AO10&amp;" Curncy"</f>
        <v>EURGBPV5Y Curncy</v>
      </c>
      <c r="AT22" s="4" t="str">
        <f>$E22&amp;"H"&amp;AO10&amp;" Curncy"</f>
        <v>EURGBPH5Y Curncy</v>
      </c>
      <c r="AU22" s="4" t="e">
        <f ca="1">HLOOKUP($AO$10, INDEX('Interest Rate Curves'!$1:$1048576, MATCH(LEFT($E22,3), 'Interest Rate Curves'!$B:$B,0) + 4, 5):INDEX('Interest Rate Curves'!$1:$1048576, MATCH(LEFT($E22,3), 'Interest Rate Curves'!$B:$B,0) + 8, 55),  3, FALSE)</f>
        <v>#N/A</v>
      </c>
      <c r="AV22" s="4" t="e">
        <f ca="1">HLOOKUP($AO$10, INDEX('Interest Rate Curves'!$1:$1048576, MATCH(RIGHT($E22, 3), 'Interest Rate Curves'!$B:$B,0) + 4, 5):INDEX('Interest Rate Curves'!$1:$1048576, MATCH(RIGHT($E22, 3), 'Interest Rate Curves'!$B:$B,0) + 8, 55),  3, FALSE)</f>
        <v>#N/A</v>
      </c>
      <c r="AY22" s="4" t="str">
        <f t="shared" si="13"/>
        <v>EURGBP</v>
      </c>
      <c r="AZ22" s="4" t="str">
        <f t="shared" si="0"/>
        <v>EURGBPV2Y Curncy</v>
      </c>
      <c r="BA22" s="4" t="e">
        <f t="shared" ca="1" si="1"/>
        <v>#N/A</v>
      </c>
      <c r="BB22" s="4" t="e">
        <f t="shared" ca="1" si="14"/>
        <v>#N/A</v>
      </c>
      <c r="BG22" s="4" t="str">
        <f t="shared" si="15"/>
        <v>EURGBP</v>
      </c>
      <c r="BH22" s="4" t="e">
        <f t="shared" ca="1" si="2"/>
        <v>#NAME?</v>
      </c>
      <c r="BI22" s="4" t="e">
        <f t="shared" ca="1" si="3"/>
        <v>#N/A</v>
      </c>
      <c r="BK22" s="97" t="e">
        <f>'Historical - Raw data'!AU18</f>
        <v>#N/A</v>
      </c>
      <c r="BL22" s="58" t="e">
        <f ca="1">'Historical - Raw data'!AV18</f>
        <v>#N/A</v>
      </c>
      <c r="BM22" s="58" t="e">
        <f ca="1">'Historical - Raw data'!AW18</f>
        <v>#N/A</v>
      </c>
      <c r="BN22" s="58" t="e">
        <f ca="1">'Historical - Raw data'!AX18</f>
        <v>#N/A</v>
      </c>
      <c r="BO22" s="58" t="e">
        <f ca="1">'Historical - Raw data'!AY18</f>
        <v>#N/A</v>
      </c>
      <c r="BP22" s="58" t="e">
        <f ca="1">'Historical - Raw data'!AZ18</f>
        <v>#N/A</v>
      </c>
      <c r="BQ22" s="58" t="e">
        <f ca="1">'Historical - Raw data'!BA18</f>
        <v>#N/A</v>
      </c>
      <c r="BR22" s="58" t="e">
        <f ca="1">'Historical - Raw data'!BB18</f>
        <v>#N/A</v>
      </c>
      <c r="BS22" s="58" t="e">
        <f ca="1">'Historical - Raw data'!BC18</f>
        <v>#N/A</v>
      </c>
      <c r="BT22" s="58" t="e">
        <f ca="1">'Historical - Raw data'!BD18</f>
        <v>#N/A</v>
      </c>
      <c r="BU22" s="58" t="e">
        <f ca="1">'Historical - Raw data'!BE18</f>
        <v>#N/A</v>
      </c>
      <c r="BV22" s="58" t="e">
        <f ca="1">'Historical - Raw data'!BF18</f>
        <v>#N/A</v>
      </c>
      <c r="BW22" s="58" t="e">
        <f ca="1">'Historical - Raw data'!BG18</f>
        <v>#N/A</v>
      </c>
      <c r="BZ22" s="4" t="s">
        <v>16</v>
      </c>
    </row>
    <row r="23" spans="4:78" ht="15" customHeight="1">
      <c r="D23" s="38" t="s">
        <v>32</v>
      </c>
      <c r="E23" s="10" t="str">
        <f t="shared" si="4"/>
        <v>NZDUSD</v>
      </c>
      <c r="F23" s="10"/>
      <c r="G23" s="21" t="e" cm="1">
        <f t="array" aca="1" ref="G23" ca="1">IF($G$8=_xlfn.SINGLE(_xll.BTODAY()), _xll.BDP(K23, IF($L$7, "LAST_PRICE", "PX_LAST")), _xll.BDH(K23, "PX_LAST", $G$8, $G$8, "Days=A"))</f>
        <v>#NAME?</v>
      </c>
      <c r="H23" s="19" t="e" cm="1">
        <f t="array" aca="1" ref="H23" ca="1">IF(AND(RIGHT(N23,6)="Comdty",UPPER(LEFT(E23,3))&lt;&gt;"BRL"),IF($G$8=_xlfn.SINGLE(_xll.BTODAY()), 100-_xlfn.SINGLE(_xll.BDP(N23, IF($L$7, "LAST_PRICE", "PX_LAST"))), 100-_xlfn.SINGLE(_xll.BDH(N23, "PX_LAST", $G$8, $G$8, "Days=A"))),IF($G$8=_xlfn.SINGLE(_xll.BTODAY()), _xll.BDP(N23, IF($L$7, "LAST_PRICE", "PX_LAST")), _xll.BDH(N23, "PX_LAST", $G$8, $G$8, "Days=A")))</f>
        <v>#N/A</v>
      </c>
      <c r="I23" s="19" t="e" cm="1">
        <f t="array" aca="1" ref="I23" ca="1">IF(AND(RIGHT(O23,6)="Comdty",UPPER(RIGHT($E23,3))&lt;&gt;"BRL"),IF($G$8=_xlfn.SINGLE(_xll.BTODAY()), 100-_xlfn.SINGLE(_xll.BDP(O23, IF($L$7, "LAST_PRICE", "PX_LAST"))), 100-_xlfn.SINGLE(_xll.BDH(O23, "PX_LAST", $G$8, $G$8, "Days=A"))),IF($G$8=_xlfn.SINGLE(_xll.BTODAY()), _xll.BDP(O23, IF($L$7, "LAST_PRICE", "PX_LAST")), _xll.BDH(O23, "PX_LAST", $G$8, $G$8, "Days=A")))</f>
        <v>#N/A</v>
      </c>
      <c r="J23" s="22" t="e">
        <f t="shared" ca="1" si="5"/>
        <v>#N/A</v>
      </c>
      <c r="K23" s="13" t="str">
        <f t="shared" si="6"/>
        <v>NZDUSDV6M Curncy</v>
      </c>
      <c r="L23" s="6" t="str">
        <f>$E23&amp;"V"&amp;H10&amp;" Curncy"</f>
        <v>NZDUSDV6M Curncy</v>
      </c>
      <c r="M23" s="6" t="str">
        <f>$E23&amp;"H"&amp;H10&amp;" Curncy"</f>
        <v>NZDUSDH6M Curncy</v>
      </c>
      <c r="N23" s="76" t="e">
        <f ca="1">HLOOKUP($H$10, INDEX('Interest Rate Curves'!$1:$1048576, MATCH(LEFT($E23,3), 'Interest Rate Curves'!$B:$B,0) + 4, 5):INDEX('Interest Rate Curves'!$1:$1048576, MATCH(LEFT($E23,3), 'Interest Rate Curves'!$B:$B,0) + 8, 55),  3, FALSE)</f>
        <v>#N/A</v>
      </c>
      <c r="O23" s="76" t="e">
        <f ca="1">HLOOKUP($H$10, INDEX('Interest Rate Curves'!$1:$1048576, MATCH(RIGHT($E23, 3), 'Interest Rate Curves'!$B:$B,0) + 4, 5):INDEX('Interest Rate Curves'!$1:$1048576, MATCH(RIGHT($E23, 3), 'Interest Rate Curves'!$B:$B,0) + 8, 55),  3, FALSE)</f>
        <v>#N/A</v>
      </c>
      <c r="P23" s="6"/>
      <c r="Q23" s="6"/>
      <c r="R23" s="21" t="e" cm="1">
        <f t="array" aca="1" ref="R23" ca="1">IF($G$8=_xlfn.SINGLE(_xll.BTODAY()), _xll.BDP(V23, IF($L$7, "LAST_PRICE", "PX_LAST")), _xll.BDH(V23, "PX_LAST", $G$8, $G$8, "Days=A"))</f>
        <v>#NAME?</v>
      </c>
      <c r="S23" s="19" t="e" cm="1">
        <f t="array" aca="1" ref="S23" ca="1">IF(AND(RIGHT(Y23,6)="Comdty",UPPER(LEFT(P23,3))&lt;&gt;"BRL"),IF($G$8=_xlfn.SINGLE(_xll.BTODAY()), 100-_xlfn.SINGLE(_xll.BDP(Y23, IF($L$7, "LAST_PRICE", "PX_LAST"))), 100-_xlfn.SINGLE(_xll.BDH(Y23, "PX_LAST", $G$8, $G$8, "Days=A"))),IF($G$8=_xlfn.SINGLE(_xll.BTODAY()), _xll.BDP(Y23, IF($L$7, "LAST_PRICE", "PX_LAST")), _xll.BDH(Y23, "PX_LAST", $G$8, $G$8, "Days=A")))</f>
        <v>#N/A</v>
      </c>
      <c r="T23" s="19" t="e" cm="1">
        <f t="array" aca="1" ref="T23" ca="1">IF(AND(RIGHT(Z23,6)="Comdty",UPPER(RIGHT($E23,3))&lt;&gt;"BRL"),IF($G$8=_xlfn.SINGLE(_xll.BTODAY()), 100-_xlfn.SINGLE(_xll.BDP(Z23, IF($L$7, "LAST_PRICE", "PX_LAST"))), 100-_xlfn.SINGLE(_xll.BDH(Z23, "PX_LAST", $G$8, $G$8, "Days=A"))),IF($G$8=_xlfn.SINGLE(_xll.BTODAY()), _xll.BDP(Z23, IF($L$7, "LAST_PRICE", "PX_LAST")), _xll.BDH(Z23, "PX_LAST", $G$8, $G$8, "Days=A")))</f>
        <v>#N/A</v>
      </c>
      <c r="U23" s="22" t="e">
        <f t="shared" ca="1" si="7"/>
        <v>#N/A</v>
      </c>
      <c r="V23" s="13" t="str">
        <f t="shared" si="8"/>
        <v>NZDUSDV1Y Curncy</v>
      </c>
      <c r="W23" s="6" t="str">
        <f>$E23&amp;"V"&amp;S10&amp;" Curncy"</f>
        <v>NZDUSDV1Y Curncy</v>
      </c>
      <c r="X23" s="6" t="str">
        <f>$E23&amp;"H"&amp;S10&amp;" Curncy"</f>
        <v>NZDUSDH1Y Curncy</v>
      </c>
      <c r="Y23" s="76" t="e">
        <f ca="1">HLOOKUP($S$10, INDEX('Interest Rate Curves'!$1:$1048576, MATCH(LEFT($E23,3), 'Interest Rate Curves'!$B:$B,0) + 4, 5):INDEX('Interest Rate Curves'!$1:$1048576, MATCH(LEFT($E23,3), 'Interest Rate Curves'!$B:$B,0) + 8, 55),  3, FALSE)</f>
        <v>#N/A</v>
      </c>
      <c r="Z23" s="76" t="e">
        <f ca="1">HLOOKUP($S$10, INDEX('Interest Rate Curves'!$1:$1048576, MATCH(RIGHT($E23, 3), 'Interest Rate Curves'!$B:$B,0) + 4, 5):INDEX('Interest Rate Curves'!$1:$1048576, MATCH(RIGHT($E23, 3), 'Interest Rate Curves'!$B:$B,0) + 8, 55),  3, FALSE)</f>
        <v>#N/A</v>
      </c>
      <c r="AA23" s="6"/>
      <c r="AB23" s="6"/>
      <c r="AC23" s="21" t="e" cm="1">
        <f t="array" aca="1" ref="AC23" ca="1">IF($G$8=_xlfn.SINGLE(_xll.BTODAY()), _xll.BDP(AG23, IF($L$7, "LAST_PRICE", "PX_LAST")), _xll.BDH(AG23, "PX_LAST", $G$8, $G$8, "Days=A"))</f>
        <v>#NAME?</v>
      </c>
      <c r="AD23" s="19" t="e" cm="1">
        <f t="array" aca="1" ref="AD23" ca="1">IF(AND(RIGHT(AJ23,6)="Comdty",UPPER(LEFT(AA23,3))&lt;&gt;"BRL"),IF($G$8=_xlfn.SINGLE(_xll.BTODAY()), 100-_xlfn.SINGLE(_xll.BDP(AJ23, IF($L$7, "LAST_PRICE", "PX_LAST"))), 100-_xlfn.SINGLE(_xll.BDH(AJ23, "PX_LAST", $G$8, $G$8, "Days=A"))),IF($G$8=_xlfn.SINGLE(_xll.BTODAY()), _xll.BDP(AJ23, IF($L$7, "LAST_PRICE", "PX_LAST")), _xll.BDH(AJ23, "PX_LAST", $G$8, $G$8, "Days=A")))</f>
        <v>#N/A</v>
      </c>
      <c r="AE23" s="19" t="e" cm="1">
        <f t="array" aca="1" ref="AE23" ca="1">IF(AND(RIGHT(AK23,6)="Comdty",UPPER(RIGHT($E23,3))&lt;&gt;"BRL"),IF($G$8=_xlfn.SINGLE(_xll.BTODAY()), 100-_xlfn.SINGLE(_xll.BDP(AK23, IF($L$7, "LAST_PRICE", "PX_LAST"))), 100-_xlfn.SINGLE(_xll.BDH(AK23, "PX_LAST", $G$8, $G$8, "Days=A"))),IF($G$8=_xlfn.SINGLE(_xll.BTODAY()), _xll.BDP(AK23, IF($L$7, "LAST_PRICE", "PX_LAST")), _xll.BDH(AK23, "PX_LAST", $G$8, $G$8, "Days=A")))</f>
        <v>#N/A</v>
      </c>
      <c r="AF23" s="22" t="e">
        <f t="shared" ca="1" si="9"/>
        <v>#N/A</v>
      </c>
      <c r="AG23" s="13" t="str">
        <f t="shared" si="10"/>
        <v>NZDUSDV2Y Curncy</v>
      </c>
      <c r="AH23" s="6" t="str">
        <f>$E23&amp;"V"&amp;AD10&amp;" Curncy"</f>
        <v>NZDUSDV2Y Curncy</v>
      </c>
      <c r="AI23" s="6" t="str">
        <f>$E23&amp;"H"&amp;AD10&amp;" Curncy"</f>
        <v>NZDUSDH2Y Curncy</v>
      </c>
      <c r="AJ23" s="76" t="e">
        <f ca="1">HLOOKUP($AD$10, INDEX('Interest Rate Curves'!$1:$1048576, MATCH(LEFT($E23,3), 'Interest Rate Curves'!$B:$B,0) + 4, 5):INDEX('Interest Rate Curves'!$1:$1048576, MATCH(LEFT($E23,3), 'Interest Rate Curves'!$B:$B,0) + 8, 55),  3, FALSE)</f>
        <v>#N/A</v>
      </c>
      <c r="AK23" s="76" t="e">
        <f ca="1">HLOOKUP($AD$10, INDEX('Interest Rate Curves'!$1:$1048576, MATCH(RIGHT($E23, 3), 'Interest Rate Curves'!$B:$B,0) + 4, 5):INDEX('Interest Rate Curves'!$1:$1048576, MATCH(RIGHT($E23, 3), 'Interest Rate Curves'!$B:$B,0) + 8, 55),  3, FALSE)</f>
        <v>#N/A</v>
      </c>
      <c r="AL23" s="6"/>
      <c r="AM23" s="6"/>
      <c r="AN23" s="21" t="e" cm="1">
        <f t="array" aca="1" ref="AN23" ca="1">IF($G$8=_xlfn.SINGLE(_xll.BTODAY()), _xll.BDP(AR23, IF($L$7, "LAST_PRICE", "PX_LAST")), _xll.BDH(AR23, "PX_LAST", $G$8, $G$8, "Days=A"))</f>
        <v>#NAME?</v>
      </c>
      <c r="AO23" s="19" t="e" cm="1">
        <f t="array" aca="1" ref="AO23" ca="1">IF(AND(RIGHT(AU23,6)="Comdty",UPPER(LEFT(AL23,3))&lt;&gt;"BRL"),IF($G$8=_xlfn.SINGLE(_xll.BTODAY()), 100-_xlfn.SINGLE(_xll.BDP(AU23, IF($L$7, "LAST_PRICE", "PX_LAST"))), 100-_xlfn.SINGLE(_xll.BDH(AU23, "PX_LAST", $G$8, $G$8, "Days=A"))),IF($G$8=_xlfn.SINGLE(_xll.BTODAY()), _xll.BDP(AU23, IF($L$7, "LAST_PRICE", "PX_LAST")), _xll.BDH(AU23, "PX_LAST", $G$8, $G$8, "Days=A")))</f>
        <v>#N/A</v>
      </c>
      <c r="AP23" s="19" t="e" cm="1">
        <f t="array" aca="1" ref="AP23" ca="1">IF(AND(RIGHT(AV23,6)="Comdty",UPPER(RIGHT($E23,3))&lt;&gt;"BRL"),IF($G$8=_xlfn.SINGLE(_xll.BTODAY()), 100-_xlfn.SINGLE(_xll.BDP(AV23, IF($L$7, "LAST_PRICE", "PX_LAST"))), 100-_xlfn.SINGLE(_xll.BDH(AV23, "PX_LAST", $G$8, $G$8, "Days=A"))),IF($G$8=_xlfn.SINGLE(_xll.BTODAY()), _xll.BDP(AV23, IF($L$7, "LAST_PRICE", "PX_LAST")), _xll.BDH(AV23, "PX_LAST", $G$8, $G$8, "Days=A")))</f>
        <v>#N/A</v>
      </c>
      <c r="AQ23" s="22" t="e">
        <f t="shared" ca="1" si="11"/>
        <v>#N/A</v>
      </c>
      <c r="AR23" s="14" t="str">
        <f t="shared" si="12"/>
        <v>NZDUSDV5Y Curncy</v>
      </c>
      <c r="AS23" s="4" t="str">
        <f>$E23&amp;"V"&amp;AO10&amp;" Curncy"</f>
        <v>NZDUSDV5Y Curncy</v>
      </c>
      <c r="AT23" s="4" t="str">
        <f>$E23&amp;"H"&amp;AO10&amp;" Curncy"</f>
        <v>NZDUSDH5Y Curncy</v>
      </c>
      <c r="AU23" s="4" t="e">
        <f ca="1">HLOOKUP($AO$10, INDEX('Interest Rate Curves'!$1:$1048576, MATCH(LEFT($E23,3), 'Interest Rate Curves'!$B:$B,0) + 4, 5):INDEX('Interest Rate Curves'!$1:$1048576, MATCH(LEFT($E23,3), 'Interest Rate Curves'!$B:$B,0) + 8, 55),  3, FALSE)</f>
        <v>#N/A</v>
      </c>
      <c r="AV23" s="4" t="e">
        <f ca="1">HLOOKUP($AO$10, INDEX('Interest Rate Curves'!$1:$1048576, MATCH(RIGHT($E23, 3), 'Interest Rate Curves'!$B:$B,0) + 4, 5):INDEX('Interest Rate Curves'!$1:$1048576, MATCH(RIGHT($E23, 3), 'Interest Rate Curves'!$B:$B,0) + 8, 55),  3, FALSE)</f>
        <v>#N/A</v>
      </c>
      <c r="AY23" s="4" t="str">
        <f t="shared" si="13"/>
        <v>NZD</v>
      </c>
      <c r="AZ23" s="4" t="str">
        <f t="shared" si="0"/>
        <v>NZDUSDV2Y Curncy</v>
      </c>
      <c r="BA23" s="4" t="e">
        <f t="shared" ca="1" si="1"/>
        <v>#N/A</v>
      </c>
      <c r="BB23" s="4" t="e">
        <f t="shared" ca="1" si="14"/>
        <v>#N/A</v>
      </c>
      <c r="BG23" s="4" t="str">
        <f t="shared" si="15"/>
        <v>NZD</v>
      </c>
      <c r="BH23" s="4" t="e">
        <f t="shared" ca="1" si="2"/>
        <v>#NAME?</v>
      </c>
      <c r="BI23" s="4" t="e">
        <f t="shared" ca="1" si="3"/>
        <v>#N/A</v>
      </c>
      <c r="BK23" s="97" t="e">
        <f>'Historical - Raw data'!AU19</f>
        <v>#N/A</v>
      </c>
      <c r="BL23" s="58" t="e">
        <f ca="1">'Historical - Raw data'!AV19</f>
        <v>#N/A</v>
      </c>
      <c r="BM23" s="58" t="e">
        <f ca="1">'Historical - Raw data'!AW19</f>
        <v>#N/A</v>
      </c>
      <c r="BN23" s="58" t="e">
        <f ca="1">'Historical - Raw data'!AX19</f>
        <v>#N/A</v>
      </c>
      <c r="BO23" s="58" t="e">
        <f ca="1">'Historical - Raw data'!AY19</f>
        <v>#N/A</v>
      </c>
      <c r="BP23" s="58" t="e">
        <f ca="1">'Historical - Raw data'!AZ19</f>
        <v>#N/A</v>
      </c>
      <c r="BQ23" s="58" t="e">
        <f ca="1">'Historical - Raw data'!BA19</f>
        <v>#N/A</v>
      </c>
      <c r="BR23" s="58" t="e">
        <f ca="1">'Historical - Raw data'!BB19</f>
        <v>#N/A</v>
      </c>
      <c r="BS23" s="58" t="e">
        <f ca="1">'Historical - Raw data'!BC19</f>
        <v>#N/A</v>
      </c>
      <c r="BT23" s="58" t="e">
        <f ca="1">'Historical - Raw data'!BD19</f>
        <v>#N/A</v>
      </c>
      <c r="BU23" s="58" t="e">
        <f ca="1">'Historical - Raw data'!BE19</f>
        <v>#N/A</v>
      </c>
      <c r="BV23" s="58" t="e">
        <f ca="1">'Historical - Raw data'!BF19</f>
        <v>#N/A</v>
      </c>
      <c r="BW23" s="58" t="e">
        <f ca="1">'Historical - Raw data'!BG19</f>
        <v>#N/A</v>
      </c>
      <c r="BZ23" s="4" t="s">
        <v>15</v>
      </c>
    </row>
    <row r="24" spans="4:78" ht="15" customHeight="1">
      <c r="D24" s="38" t="s">
        <v>37</v>
      </c>
      <c r="E24" s="10" t="str">
        <f t="shared" si="4"/>
        <v>USDHKD</v>
      </c>
      <c r="F24" s="10"/>
      <c r="G24" s="23" t="e" cm="1">
        <f t="array" aca="1" ref="G24" ca="1">IF($G$8=_xlfn.SINGLE(_xll.BTODAY()), _xll.BDP(K24, IF($L$7, "LAST_PRICE", "PX_LAST")), _xll.BDH(K24, "PX_LAST", $G$8, $G$8, "Days=A"))</f>
        <v>#NAME?</v>
      </c>
      <c r="H24" s="20" t="e" cm="1">
        <f t="array" aca="1" ref="H24" ca="1">IF(AND(RIGHT(N24,6)="Comdty",UPPER(LEFT(E24,3))&lt;&gt;"BRL"),IF($G$8=_xlfn.SINGLE(_xll.BTODAY()), 100-_xlfn.SINGLE(_xll.BDP(N24, IF($L$7, "LAST_PRICE", "PX_LAST"))), 100-_xlfn.SINGLE(_xll.BDH(N24, "PX_LAST", $G$8, $G$8, "Days=A"))),IF($G$8=_xlfn.SINGLE(_xll.BTODAY()), _xll.BDP(N24, IF($L$7, "LAST_PRICE", "PX_LAST")), _xll.BDH(N24, "PX_LAST", $G$8, $G$8, "Days=A")))</f>
        <v>#N/A</v>
      </c>
      <c r="I24" s="20" t="e" cm="1">
        <f t="array" aca="1" ref="I24" ca="1">IF(AND(RIGHT(O24,6)="Comdty",UPPER(RIGHT($E24,3))&lt;&gt;"BRL"),IF($G$8=_xlfn.SINGLE(_xll.BTODAY()), 100-_xlfn.SINGLE(_xll.BDP(O24, IF($L$7, "LAST_PRICE", "PX_LAST"))), 100-_xlfn.SINGLE(_xll.BDH(O24, "PX_LAST", $G$8, $G$8, "Days=A"))),IF($G$8=_xlfn.SINGLE(_xll.BTODAY()), _xll.BDP(O24, IF($L$7, "LAST_PRICE", "PX_LAST")), _xll.BDH(O24, "PX_LAST", $G$8, $G$8, "Days=A")))</f>
        <v>#N/A</v>
      </c>
      <c r="J24" s="24" t="e">
        <f t="shared" ca="1" si="5"/>
        <v>#N/A</v>
      </c>
      <c r="K24" s="13" t="str">
        <f t="shared" si="6"/>
        <v>USDHKDV6M Curncy</v>
      </c>
      <c r="L24" s="6" t="str">
        <f>$E24&amp;"V"&amp;H10&amp;" Curncy"</f>
        <v>USDHKDV6M Curncy</v>
      </c>
      <c r="M24" s="6" t="str">
        <f>$E24&amp;"H"&amp;H10&amp;" Curncy"</f>
        <v>USDHKDH6M Curncy</v>
      </c>
      <c r="N24" s="76" t="e">
        <f ca="1">HLOOKUP($H$10, INDEX('Interest Rate Curves'!$1:$1048576, MATCH(LEFT($E24,3), 'Interest Rate Curves'!$B:$B,0) + 4, 5):INDEX('Interest Rate Curves'!$1:$1048576, MATCH(LEFT($E24,3), 'Interest Rate Curves'!$B:$B,0) + 8, 55),  3, FALSE)</f>
        <v>#N/A</v>
      </c>
      <c r="O24" s="76" t="e">
        <f ca="1">HLOOKUP($H$10, INDEX('Interest Rate Curves'!$1:$1048576, MATCH(RIGHT($E24, 3), 'Interest Rate Curves'!$B:$B,0) + 4, 5):INDEX('Interest Rate Curves'!$1:$1048576, MATCH(RIGHT($E24, 3), 'Interest Rate Curves'!$B:$B,0) + 8, 55),  3, FALSE)</f>
        <v>#N/A</v>
      </c>
      <c r="P24" s="6"/>
      <c r="Q24" s="6"/>
      <c r="R24" s="23" t="e" cm="1">
        <f t="array" aca="1" ref="R24" ca="1">IF($G$8=_xlfn.SINGLE(_xll.BTODAY()), _xll.BDP(V24, IF($L$7, "LAST_PRICE", "PX_LAST")), _xll.BDH(V24, "PX_LAST", $G$8, $G$8, "Days=A"))</f>
        <v>#NAME?</v>
      </c>
      <c r="S24" s="20" t="e" cm="1">
        <f t="array" aca="1" ref="S24" ca="1">IF(AND(RIGHT(Y24,6)="Comdty",UPPER(LEFT(P24,3))&lt;&gt;"BRL"),IF($G$8=_xlfn.SINGLE(_xll.BTODAY()), 100-_xlfn.SINGLE(_xll.BDP(Y24, IF($L$7, "LAST_PRICE", "PX_LAST"))), 100-_xlfn.SINGLE(_xll.BDH(Y24, "PX_LAST", $G$8, $G$8, "Days=A"))),IF($G$8=_xlfn.SINGLE(_xll.BTODAY()), _xll.BDP(Y24, IF($L$7, "LAST_PRICE", "PX_LAST")), _xll.BDH(Y24, "PX_LAST", $G$8, $G$8, "Days=A")))</f>
        <v>#N/A</v>
      </c>
      <c r="T24" s="20" t="e" cm="1">
        <f t="array" aca="1" ref="T24" ca="1">IF(AND(RIGHT(Z24,6)="Comdty",UPPER(RIGHT($E24,3))&lt;&gt;"BRL"),IF($G$8=_xlfn.SINGLE(_xll.BTODAY()), 100-_xlfn.SINGLE(_xll.BDP(Z24, IF($L$7, "LAST_PRICE", "PX_LAST"))), 100-_xlfn.SINGLE(_xll.BDH(Z24, "PX_LAST", $G$8, $G$8, "Days=A"))),IF($G$8=_xlfn.SINGLE(_xll.BTODAY()), _xll.BDP(Z24, IF($L$7, "LAST_PRICE", "PX_LAST")), _xll.BDH(Z24, "PX_LAST", $G$8, $G$8, "Days=A")))</f>
        <v>#N/A</v>
      </c>
      <c r="U24" s="24" t="e">
        <f t="shared" ca="1" si="7"/>
        <v>#N/A</v>
      </c>
      <c r="V24" s="13" t="str">
        <f t="shared" si="8"/>
        <v>USDHKDV1Y Curncy</v>
      </c>
      <c r="W24" s="6" t="str">
        <f>$E24&amp;"V"&amp;S10&amp;" Curncy"</f>
        <v>USDHKDV1Y Curncy</v>
      </c>
      <c r="X24" s="6" t="str">
        <f>$E24&amp;"H"&amp;S10&amp;" Curncy"</f>
        <v>USDHKDH1Y Curncy</v>
      </c>
      <c r="Y24" s="76" t="e">
        <f ca="1">HLOOKUP($S$10, INDEX('Interest Rate Curves'!$1:$1048576, MATCH(LEFT($E24,3), 'Interest Rate Curves'!$B:$B,0) + 4, 5):INDEX('Interest Rate Curves'!$1:$1048576, MATCH(LEFT($E24,3), 'Interest Rate Curves'!$B:$B,0) + 8, 55),  3, FALSE)</f>
        <v>#N/A</v>
      </c>
      <c r="Z24" s="76" t="e">
        <f ca="1">HLOOKUP($S$10, INDEX('Interest Rate Curves'!$1:$1048576, MATCH(RIGHT($E24, 3), 'Interest Rate Curves'!$B:$B,0) + 4, 5):INDEX('Interest Rate Curves'!$1:$1048576, MATCH(RIGHT($E24, 3), 'Interest Rate Curves'!$B:$B,0) + 8, 55),  3, FALSE)</f>
        <v>#N/A</v>
      </c>
      <c r="AA24" s="6"/>
      <c r="AB24" s="6"/>
      <c r="AC24" s="23" t="e" cm="1">
        <f t="array" aca="1" ref="AC24" ca="1">IF($G$8=_xlfn.SINGLE(_xll.BTODAY()), _xll.BDP(AG24, IF($L$7, "LAST_PRICE", "PX_LAST")), _xll.BDH(AG24, "PX_LAST", $G$8, $G$8, "Days=A"))</f>
        <v>#NAME?</v>
      </c>
      <c r="AD24" s="20" t="e" cm="1">
        <f t="array" aca="1" ref="AD24" ca="1">IF(AND(RIGHT(AJ24,6)="Comdty",UPPER(LEFT(AA24,3))&lt;&gt;"BRL"),IF($G$8=_xlfn.SINGLE(_xll.BTODAY()), 100-_xlfn.SINGLE(_xll.BDP(AJ24, IF($L$7, "LAST_PRICE", "PX_LAST"))), 100-_xlfn.SINGLE(_xll.BDH(AJ24, "PX_LAST", $G$8, $G$8, "Days=A"))),IF($G$8=_xlfn.SINGLE(_xll.BTODAY()), _xll.BDP(AJ24, IF($L$7, "LAST_PRICE", "PX_LAST")), _xll.BDH(AJ24, "PX_LAST", $G$8, $G$8, "Days=A")))</f>
        <v>#N/A</v>
      </c>
      <c r="AE24" s="20" t="e" cm="1">
        <f t="array" aca="1" ref="AE24" ca="1">IF(AND(RIGHT(AK24,6)="Comdty",UPPER(RIGHT($E24,3))&lt;&gt;"BRL"),IF($G$8=_xlfn.SINGLE(_xll.BTODAY()), 100-_xlfn.SINGLE(_xll.BDP(AK24, IF($L$7, "LAST_PRICE", "PX_LAST"))), 100-_xlfn.SINGLE(_xll.BDH(AK24, "PX_LAST", $G$8, $G$8, "Days=A"))),IF($G$8=_xlfn.SINGLE(_xll.BTODAY()), _xll.BDP(AK24, IF($L$7, "LAST_PRICE", "PX_LAST")), _xll.BDH(AK24, "PX_LAST", $G$8, $G$8, "Days=A")))</f>
        <v>#N/A</v>
      </c>
      <c r="AF24" s="24" t="e">
        <f t="shared" ca="1" si="9"/>
        <v>#N/A</v>
      </c>
      <c r="AG24" s="13" t="str">
        <f t="shared" si="10"/>
        <v>USDHKDV2Y Curncy</v>
      </c>
      <c r="AH24" s="6" t="str">
        <f>$E24&amp;"V"&amp;AD10&amp;" Curncy"</f>
        <v>USDHKDV2Y Curncy</v>
      </c>
      <c r="AI24" s="6" t="str">
        <f>$E24&amp;"H"&amp;AD10&amp;" Curncy"</f>
        <v>USDHKDH2Y Curncy</v>
      </c>
      <c r="AJ24" s="76" t="e">
        <f ca="1">HLOOKUP($AD$10, INDEX('Interest Rate Curves'!$1:$1048576, MATCH(LEFT($E24,3), 'Interest Rate Curves'!$B:$B,0) + 4, 5):INDEX('Interest Rate Curves'!$1:$1048576, MATCH(LEFT($E24,3), 'Interest Rate Curves'!$B:$B,0) + 8, 55),  3, FALSE)</f>
        <v>#N/A</v>
      </c>
      <c r="AK24" s="76" t="e">
        <f ca="1">HLOOKUP($AD$10, INDEX('Interest Rate Curves'!$1:$1048576, MATCH(RIGHT($E24, 3), 'Interest Rate Curves'!$B:$B,0) + 4, 5):INDEX('Interest Rate Curves'!$1:$1048576, MATCH(RIGHT($E24, 3), 'Interest Rate Curves'!$B:$B,0) + 8, 55),  3, FALSE)</f>
        <v>#N/A</v>
      </c>
      <c r="AL24" s="6"/>
      <c r="AM24" s="6"/>
      <c r="AN24" s="23" t="e" cm="1">
        <f t="array" aca="1" ref="AN24" ca="1">IF($G$8=_xlfn.SINGLE(_xll.BTODAY()), _xll.BDP(AR24, IF($L$7, "LAST_PRICE", "PX_LAST")), _xll.BDH(AR24, "PX_LAST", $G$8, $G$8, "Days=A"))</f>
        <v>#NAME?</v>
      </c>
      <c r="AO24" s="20" t="e" cm="1">
        <f t="array" aca="1" ref="AO24" ca="1">IF(AND(RIGHT(AU24,6)="Comdty",UPPER(LEFT(AL24,3))&lt;&gt;"BRL"),IF($G$8=_xlfn.SINGLE(_xll.BTODAY()), 100-_xlfn.SINGLE(_xll.BDP(AU24, IF($L$7, "LAST_PRICE", "PX_LAST"))), 100-_xlfn.SINGLE(_xll.BDH(AU24, "PX_LAST", $G$8, $G$8, "Days=A"))),IF($G$8=_xlfn.SINGLE(_xll.BTODAY()), _xll.BDP(AU24, IF($L$7, "LAST_PRICE", "PX_LAST")), _xll.BDH(AU24, "PX_LAST", $G$8, $G$8, "Days=A")))</f>
        <v>#N/A</v>
      </c>
      <c r="AP24" s="20" t="e" cm="1">
        <f t="array" aca="1" ref="AP24" ca="1">IF(AND(RIGHT(AV24,6)="Comdty",UPPER(RIGHT($E24,3))&lt;&gt;"BRL"),IF($G$8=_xlfn.SINGLE(_xll.BTODAY()), 100-_xlfn.SINGLE(_xll.BDP(AV24, IF($L$7, "LAST_PRICE", "PX_LAST"))), 100-_xlfn.SINGLE(_xll.BDH(AV24, "PX_LAST", $G$8, $G$8, "Days=A"))),IF($G$8=_xlfn.SINGLE(_xll.BTODAY()), _xll.BDP(AV24, IF($L$7, "LAST_PRICE", "PX_LAST")), _xll.BDH(AV24, "PX_LAST", $G$8, $G$8, "Days=A")))</f>
        <v>#N/A</v>
      </c>
      <c r="AQ24" s="24" t="e">
        <f t="shared" ca="1" si="11"/>
        <v>#N/A</v>
      </c>
      <c r="AR24" s="14" t="str">
        <f t="shared" si="12"/>
        <v>USDHKDV5Y Curncy</v>
      </c>
      <c r="AS24" s="4" t="str">
        <f>$E24&amp;"V"&amp;AO10&amp;" Curncy"</f>
        <v>USDHKDV5Y Curncy</v>
      </c>
      <c r="AT24" s="4" t="str">
        <f>$E24&amp;"H"&amp;AO10&amp;" Curncy"</f>
        <v>USDHKDH5Y Curncy</v>
      </c>
      <c r="AU24" s="4" t="e">
        <f ca="1">HLOOKUP($AO$10, INDEX('Interest Rate Curves'!$1:$1048576, MATCH(LEFT($E24,3), 'Interest Rate Curves'!$B:$B,0) + 4, 5):INDEX('Interest Rate Curves'!$1:$1048576, MATCH(LEFT($E24,3), 'Interest Rate Curves'!$B:$B,0) + 8, 55),  3, FALSE)</f>
        <v>#N/A</v>
      </c>
      <c r="AV24" s="4" t="e">
        <f ca="1">HLOOKUP($AO$10, INDEX('Interest Rate Curves'!$1:$1048576, MATCH(RIGHT($E24, 3), 'Interest Rate Curves'!$B:$B,0) + 4, 5):INDEX('Interest Rate Curves'!$1:$1048576, MATCH(RIGHT($E24, 3), 'Interest Rate Curves'!$B:$B,0) + 8, 55),  3, FALSE)</f>
        <v>#N/A</v>
      </c>
      <c r="AY24" s="4" t="str">
        <f t="shared" si="13"/>
        <v>HKD</v>
      </c>
      <c r="AZ24" s="4" t="str">
        <f t="shared" si="0"/>
        <v>USDHKDV2Y Curncy</v>
      </c>
      <c r="BA24" s="4" t="e">
        <f t="shared" ca="1" si="1"/>
        <v>#N/A</v>
      </c>
      <c r="BB24" s="4" t="e">
        <f t="shared" ca="1" si="14"/>
        <v>#N/A</v>
      </c>
      <c r="BG24" s="4" t="str">
        <f t="shared" si="15"/>
        <v>HKD</v>
      </c>
      <c r="BH24" s="4" t="e">
        <f t="shared" ca="1" si="2"/>
        <v>#NAME?</v>
      </c>
      <c r="BI24" s="4" t="e">
        <f t="shared" ca="1" si="3"/>
        <v>#N/A</v>
      </c>
      <c r="BK24" s="97" t="e">
        <f>'Historical - Raw data'!AU20</f>
        <v>#N/A</v>
      </c>
      <c r="BL24" s="58" t="e">
        <f ca="1">'Historical - Raw data'!AV20</f>
        <v>#N/A</v>
      </c>
      <c r="BM24" s="58" t="e">
        <f ca="1">'Historical - Raw data'!AW20</f>
        <v>#N/A</v>
      </c>
      <c r="BN24" s="58" t="e">
        <f ca="1">'Historical - Raw data'!AX20</f>
        <v>#N/A</v>
      </c>
      <c r="BO24" s="58" t="e">
        <f ca="1">'Historical - Raw data'!AY20</f>
        <v>#N/A</v>
      </c>
      <c r="BP24" s="58" t="e">
        <f ca="1">'Historical - Raw data'!AZ20</f>
        <v>#N/A</v>
      </c>
      <c r="BQ24" s="58" t="e">
        <f ca="1">'Historical - Raw data'!BA20</f>
        <v>#N/A</v>
      </c>
      <c r="BR24" s="58" t="e">
        <f ca="1">'Historical - Raw data'!BB20</f>
        <v>#N/A</v>
      </c>
      <c r="BS24" s="58" t="e">
        <f ca="1">'Historical - Raw data'!BC20</f>
        <v>#N/A</v>
      </c>
      <c r="BT24" s="58" t="e">
        <f ca="1">'Historical - Raw data'!BD20</f>
        <v>#N/A</v>
      </c>
      <c r="BU24" s="58" t="e">
        <f ca="1">'Historical - Raw data'!BE20</f>
        <v>#N/A</v>
      </c>
      <c r="BV24" s="58" t="e">
        <f ca="1">'Historical - Raw data'!BF20</f>
        <v>#N/A</v>
      </c>
      <c r="BW24" s="58" t="e">
        <f ca="1">'Historical - Raw data'!BG20</f>
        <v>#N/A</v>
      </c>
      <c r="BZ24" s="4" t="s">
        <v>5</v>
      </c>
    </row>
    <row r="25" spans="4:78" ht="15" customHeight="1">
      <c r="D25" s="38" t="s">
        <v>33</v>
      </c>
      <c r="E25" s="10" t="str">
        <f t="shared" si="4"/>
        <v>USDSEK</v>
      </c>
      <c r="F25" s="10"/>
      <c r="G25" s="21" t="e" cm="1">
        <f t="array" aca="1" ref="G25" ca="1">IF($G$8=_xlfn.SINGLE(_xll.BTODAY()), _xll.BDP(K25, IF($L$7, "LAST_PRICE", "PX_LAST")), _xll.BDH(K25, "PX_LAST", $G$8, $G$8, "Days=A"))</f>
        <v>#NAME?</v>
      </c>
      <c r="H25" s="19" t="e" cm="1">
        <f t="array" aca="1" ref="H25" ca="1">IF(AND(RIGHT(N25,6)="Comdty",UPPER(LEFT(E25,3))&lt;&gt;"BRL"),IF($G$8=_xlfn.SINGLE(_xll.BTODAY()), 100-_xlfn.SINGLE(_xll.BDP(N25, IF($L$7, "LAST_PRICE", "PX_LAST"))), 100-_xlfn.SINGLE(_xll.BDH(N25, "PX_LAST", $G$8, $G$8, "Days=A"))),IF($G$8=_xlfn.SINGLE(_xll.BTODAY()), _xll.BDP(N25, IF($L$7, "LAST_PRICE", "PX_LAST")), _xll.BDH(N25, "PX_LAST", $G$8, $G$8, "Days=A")))</f>
        <v>#N/A</v>
      </c>
      <c r="I25" s="19" t="e" cm="1">
        <f t="array" aca="1" ref="I25" ca="1">IF(AND(RIGHT(O25,6)="Comdty",UPPER(RIGHT($E25,3))&lt;&gt;"BRL"),IF($G$8=_xlfn.SINGLE(_xll.BTODAY()), 100-_xlfn.SINGLE(_xll.BDP(O25, IF($L$7, "LAST_PRICE", "PX_LAST"))), 100-_xlfn.SINGLE(_xll.BDH(O25, "PX_LAST", $G$8, $G$8, "Days=A"))),IF($G$8=_xlfn.SINGLE(_xll.BTODAY()), _xll.BDP(O25, IF($L$7, "LAST_PRICE", "PX_LAST")), _xll.BDH(O25, "PX_LAST", $G$8, $G$8, "Days=A")))</f>
        <v>#N/A</v>
      </c>
      <c r="J25" s="22" t="e">
        <f t="shared" ca="1" si="5"/>
        <v>#N/A</v>
      </c>
      <c r="K25" s="13" t="str">
        <f t="shared" si="6"/>
        <v>USDSEKV6M Curncy</v>
      </c>
      <c r="L25" s="6" t="str">
        <f>$E25&amp;"V"&amp;H10&amp;" Curncy"</f>
        <v>USDSEKV6M Curncy</v>
      </c>
      <c r="M25" s="6" t="str">
        <f>$E25&amp;"H"&amp;H10&amp;" Curncy"</f>
        <v>USDSEKH6M Curncy</v>
      </c>
      <c r="N25" s="76" t="e">
        <f ca="1">HLOOKUP($H$10, INDEX('Interest Rate Curves'!$1:$1048576, MATCH(LEFT($E25,3), 'Interest Rate Curves'!$B:$B,0) + 4, 5):INDEX('Interest Rate Curves'!$1:$1048576, MATCH(LEFT($E25,3), 'Interest Rate Curves'!$B:$B,0) + 8, 55),  3, FALSE)</f>
        <v>#N/A</v>
      </c>
      <c r="O25" s="76" t="e">
        <f ca="1">HLOOKUP($H$10, INDEX('Interest Rate Curves'!$1:$1048576, MATCH(RIGHT($E25, 3), 'Interest Rate Curves'!$B:$B,0) + 4, 5):INDEX('Interest Rate Curves'!$1:$1048576, MATCH(RIGHT($E25, 3), 'Interest Rate Curves'!$B:$B,0) + 8, 55),  3, FALSE)</f>
        <v>#N/A</v>
      </c>
      <c r="P25" s="6"/>
      <c r="Q25" s="6"/>
      <c r="R25" s="21" t="e" cm="1">
        <f t="array" aca="1" ref="R25" ca="1">IF($G$8=_xlfn.SINGLE(_xll.BTODAY()), _xll.BDP(V25, IF($L$7, "LAST_PRICE", "PX_LAST")), _xll.BDH(V25, "PX_LAST", $G$8, $G$8, "Days=A"))</f>
        <v>#NAME?</v>
      </c>
      <c r="S25" s="19" t="e" cm="1">
        <f t="array" aca="1" ref="S25" ca="1">IF(AND(RIGHT(Y25,6)="Comdty",UPPER(LEFT(P25,3))&lt;&gt;"BRL"),IF($G$8=_xlfn.SINGLE(_xll.BTODAY()), 100-_xlfn.SINGLE(_xll.BDP(Y25, IF($L$7, "LAST_PRICE", "PX_LAST"))), 100-_xlfn.SINGLE(_xll.BDH(Y25, "PX_LAST", $G$8, $G$8, "Days=A"))),IF($G$8=_xlfn.SINGLE(_xll.BTODAY()), _xll.BDP(Y25, IF($L$7, "LAST_PRICE", "PX_LAST")), _xll.BDH(Y25, "PX_LAST", $G$8, $G$8, "Days=A")))</f>
        <v>#N/A</v>
      </c>
      <c r="T25" s="19" t="e" cm="1">
        <f t="array" aca="1" ref="T25" ca="1">IF(AND(RIGHT(Z25,6)="Comdty",UPPER(RIGHT($E25,3))&lt;&gt;"BRL"),IF($G$8=_xlfn.SINGLE(_xll.BTODAY()), 100-_xlfn.SINGLE(_xll.BDP(Z25, IF($L$7, "LAST_PRICE", "PX_LAST"))), 100-_xlfn.SINGLE(_xll.BDH(Z25, "PX_LAST", $G$8, $G$8, "Days=A"))),IF($G$8=_xlfn.SINGLE(_xll.BTODAY()), _xll.BDP(Z25, IF($L$7, "LAST_PRICE", "PX_LAST")), _xll.BDH(Z25, "PX_LAST", $G$8, $G$8, "Days=A")))</f>
        <v>#N/A</v>
      </c>
      <c r="U25" s="22" t="e">
        <f t="shared" ca="1" si="7"/>
        <v>#N/A</v>
      </c>
      <c r="V25" s="13" t="str">
        <f t="shared" si="8"/>
        <v>USDSEKV1Y Curncy</v>
      </c>
      <c r="W25" s="6" t="str">
        <f>$E25&amp;"V"&amp;S10&amp;" Curncy"</f>
        <v>USDSEKV1Y Curncy</v>
      </c>
      <c r="X25" s="6" t="str">
        <f>$E25&amp;"H"&amp;S10&amp;" Curncy"</f>
        <v>USDSEKH1Y Curncy</v>
      </c>
      <c r="Y25" s="76" t="e">
        <f ca="1">HLOOKUP($S$10, INDEX('Interest Rate Curves'!$1:$1048576, MATCH(LEFT($E25,3), 'Interest Rate Curves'!$B:$B,0) + 4, 5):INDEX('Interest Rate Curves'!$1:$1048576, MATCH(LEFT($E25,3), 'Interest Rate Curves'!$B:$B,0) + 8, 55),  3, FALSE)</f>
        <v>#N/A</v>
      </c>
      <c r="Z25" s="76" t="e">
        <f ca="1">HLOOKUP($S$10, INDEX('Interest Rate Curves'!$1:$1048576, MATCH(RIGHT($E25, 3), 'Interest Rate Curves'!$B:$B,0) + 4, 5):INDEX('Interest Rate Curves'!$1:$1048576, MATCH(RIGHT($E25, 3), 'Interest Rate Curves'!$B:$B,0) + 8, 55),  3, FALSE)</f>
        <v>#N/A</v>
      </c>
      <c r="AA25" s="6"/>
      <c r="AB25" s="6"/>
      <c r="AC25" s="21" t="e" cm="1">
        <f t="array" aca="1" ref="AC25" ca="1">IF($G$8=_xlfn.SINGLE(_xll.BTODAY()), _xll.BDP(AG25, IF($L$7, "LAST_PRICE", "PX_LAST")), _xll.BDH(AG25, "PX_LAST", $G$8, $G$8, "Days=A"))</f>
        <v>#NAME?</v>
      </c>
      <c r="AD25" s="19" t="e" cm="1">
        <f t="array" aca="1" ref="AD25" ca="1">IF(AND(RIGHT(AJ25,6)="Comdty",UPPER(LEFT(AA25,3))&lt;&gt;"BRL"),IF($G$8=_xlfn.SINGLE(_xll.BTODAY()), 100-_xlfn.SINGLE(_xll.BDP(AJ25, IF($L$7, "LAST_PRICE", "PX_LAST"))), 100-_xlfn.SINGLE(_xll.BDH(AJ25, "PX_LAST", $G$8, $G$8, "Days=A"))),IF($G$8=_xlfn.SINGLE(_xll.BTODAY()), _xll.BDP(AJ25, IF($L$7, "LAST_PRICE", "PX_LAST")), _xll.BDH(AJ25, "PX_LAST", $G$8, $G$8, "Days=A")))</f>
        <v>#N/A</v>
      </c>
      <c r="AE25" s="19" t="e" cm="1">
        <f t="array" aca="1" ref="AE25" ca="1">IF(AND(RIGHT(AK25,6)="Comdty",UPPER(RIGHT($E25,3))&lt;&gt;"BRL"),IF($G$8=_xlfn.SINGLE(_xll.BTODAY()), 100-_xlfn.SINGLE(_xll.BDP(AK25, IF($L$7, "LAST_PRICE", "PX_LAST"))), 100-_xlfn.SINGLE(_xll.BDH(AK25, "PX_LAST", $G$8, $G$8, "Days=A"))),IF($G$8=_xlfn.SINGLE(_xll.BTODAY()), _xll.BDP(AK25, IF($L$7, "LAST_PRICE", "PX_LAST")), _xll.BDH(AK25, "PX_LAST", $G$8, $G$8, "Days=A")))</f>
        <v>#N/A</v>
      </c>
      <c r="AF25" s="22" t="e">
        <f t="shared" ca="1" si="9"/>
        <v>#N/A</v>
      </c>
      <c r="AG25" s="13" t="str">
        <f t="shared" si="10"/>
        <v>USDSEKV2Y Curncy</v>
      </c>
      <c r="AH25" s="6" t="str">
        <f>$E25&amp;"V"&amp;AD10&amp;" Curncy"</f>
        <v>USDSEKV2Y Curncy</v>
      </c>
      <c r="AI25" s="6" t="str">
        <f>$E25&amp;"H"&amp;AD10&amp;" Curncy"</f>
        <v>USDSEKH2Y Curncy</v>
      </c>
      <c r="AJ25" s="76" t="e">
        <f ca="1">HLOOKUP($AD$10, INDEX('Interest Rate Curves'!$1:$1048576, MATCH(LEFT($E25,3), 'Interest Rate Curves'!$B:$B,0) + 4, 5):INDEX('Interest Rate Curves'!$1:$1048576, MATCH(LEFT($E25,3), 'Interest Rate Curves'!$B:$B,0) + 8, 55),  3, FALSE)</f>
        <v>#N/A</v>
      </c>
      <c r="AK25" s="76" t="e">
        <f ca="1">HLOOKUP($AD$10, INDEX('Interest Rate Curves'!$1:$1048576, MATCH(RIGHT($E25, 3), 'Interest Rate Curves'!$B:$B,0) + 4, 5):INDEX('Interest Rate Curves'!$1:$1048576, MATCH(RIGHT($E25, 3), 'Interest Rate Curves'!$B:$B,0) + 8, 55),  3, FALSE)</f>
        <v>#N/A</v>
      </c>
      <c r="AL25" s="6"/>
      <c r="AM25" s="6"/>
      <c r="AN25" s="21" t="e" cm="1">
        <f t="array" aca="1" ref="AN25" ca="1">IF($G$8=_xlfn.SINGLE(_xll.BTODAY()), _xll.BDP(AR25, IF($L$7, "LAST_PRICE", "PX_LAST")), _xll.BDH(AR25, "PX_LAST", $G$8, $G$8, "Days=A"))</f>
        <v>#NAME?</v>
      </c>
      <c r="AO25" s="19" t="e" cm="1">
        <f t="array" aca="1" ref="AO25" ca="1">IF(AND(RIGHT(AU25,6)="Comdty",UPPER(LEFT(AL25,3))&lt;&gt;"BRL"),IF($G$8=_xlfn.SINGLE(_xll.BTODAY()), 100-_xlfn.SINGLE(_xll.BDP(AU25, IF($L$7, "LAST_PRICE", "PX_LAST"))), 100-_xlfn.SINGLE(_xll.BDH(AU25, "PX_LAST", $G$8, $G$8, "Days=A"))),IF($G$8=_xlfn.SINGLE(_xll.BTODAY()), _xll.BDP(AU25, IF($L$7, "LAST_PRICE", "PX_LAST")), _xll.BDH(AU25, "PX_LAST", $G$8, $G$8, "Days=A")))</f>
        <v>#N/A</v>
      </c>
      <c r="AP25" s="19" t="e" cm="1">
        <f t="array" aca="1" ref="AP25" ca="1">IF(AND(RIGHT(AV25,6)="Comdty",UPPER(RIGHT($E25,3))&lt;&gt;"BRL"),IF($G$8=_xlfn.SINGLE(_xll.BTODAY()), 100-_xlfn.SINGLE(_xll.BDP(AV25, IF($L$7, "LAST_PRICE", "PX_LAST"))), 100-_xlfn.SINGLE(_xll.BDH(AV25, "PX_LAST", $G$8, $G$8, "Days=A"))),IF($G$8=_xlfn.SINGLE(_xll.BTODAY()), _xll.BDP(AV25, IF($L$7, "LAST_PRICE", "PX_LAST")), _xll.BDH(AV25, "PX_LAST", $G$8, $G$8, "Days=A")))</f>
        <v>#N/A</v>
      </c>
      <c r="AQ25" s="22" t="e">
        <f t="shared" ca="1" si="11"/>
        <v>#N/A</v>
      </c>
      <c r="AR25" s="14" t="str">
        <f t="shared" si="12"/>
        <v>USDSEKV5Y Curncy</v>
      </c>
      <c r="AS25" s="4" t="str">
        <f>$E25&amp;"V"&amp;AO10&amp;" Curncy"</f>
        <v>USDSEKV5Y Curncy</v>
      </c>
      <c r="AT25" s="4" t="str">
        <f>$E25&amp;"H"&amp;AO10&amp;" Curncy"</f>
        <v>USDSEKH5Y Curncy</v>
      </c>
      <c r="AU25" s="4" t="e">
        <f ca="1">HLOOKUP($AO$10, INDEX('Interest Rate Curves'!$1:$1048576, MATCH(LEFT($E25,3), 'Interest Rate Curves'!$B:$B,0) + 4, 5):INDEX('Interest Rate Curves'!$1:$1048576, MATCH(LEFT($E25,3), 'Interest Rate Curves'!$B:$B,0) + 8, 55),  3, FALSE)</f>
        <v>#N/A</v>
      </c>
      <c r="AV25" s="4" t="e">
        <f ca="1">HLOOKUP($AO$10, INDEX('Interest Rate Curves'!$1:$1048576, MATCH(RIGHT($E25, 3), 'Interest Rate Curves'!$B:$B,0) + 4, 5):INDEX('Interest Rate Curves'!$1:$1048576, MATCH(RIGHT($E25, 3), 'Interest Rate Curves'!$B:$B,0) + 8, 55),  3, FALSE)</f>
        <v>#N/A</v>
      </c>
      <c r="AY25" s="4" t="str">
        <f t="shared" si="13"/>
        <v>SEK</v>
      </c>
      <c r="AZ25" s="4" t="str">
        <f t="shared" si="0"/>
        <v>USDSEKV2Y Curncy</v>
      </c>
      <c r="BA25" s="4" t="e">
        <f t="shared" ca="1" si="1"/>
        <v>#N/A</v>
      </c>
      <c r="BB25" s="4" t="e">
        <f t="shared" ca="1" si="14"/>
        <v>#N/A</v>
      </c>
      <c r="BG25" s="4" t="str">
        <f t="shared" si="15"/>
        <v>SEK</v>
      </c>
      <c r="BH25" s="4" t="e">
        <f t="shared" ca="1" si="2"/>
        <v>#NAME?</v>
      </c>
      <c r="BI25" s="4" t="e">
        <f t="shared" ca="1" si="3"/>
        <v>#N/A</v>
      </c>
      <c r="BK25" s="97" t="e">
        <f>'Historical - Raw data'!AU21</f>
        <v>#N/A</v>
      </c>
      <c r="BL25" s="58" t="e">
        <f ca="1">'Historical - Raw data'!AV21</f>
        <v>#N/A</v>
      </c>
      <c r="BM25" s="58" t="e">
        <f ca="1">'Historical - Raw data'!AW21</f>
        <v>#N/A</v>
      </c>
      <c r="BN25" s="58" t="e">
        <f ca="1">'Historical - Raw data'!AX21</f>
        <v>#N/A</v>
      </c>
      <c r="BO25" s="58" t="e">
        <f ca="1">'Historical - Raw data'!AY21</f>
        <v>#N/A</v>
      </c>
      <c r="BP25" s="58" t="e">
        <f ca="1">'Historical - Raw data'!AZ21</f>
        <v>#N/A</v>
      </c>
      <c r="BQ25" s="58" t="e">
        <f ca="1">'Historical - Raw data'!BA21</f>
        <v>#N/A</v>
      </c>
      <c r="BR25" s="58" t="e">
        <f ca="1">'Historical - Raw data'!BB21</f>
        <v>#N/A</v>
      </c>
      <c r="BS25" s="58" t="e">
        <f ca="1">'Historical - Raw data'!BC21</f>
        <v>#N/A</v>
      </c>
      <c r="BT25" s="58" t="e">
        <f ca="1">'Historical - Raw data'!BD21</f>
        <v>#N/A</v>
      </c>
      <c r="BU25" s="58" t="e">
        <f ca="1">'Historical - Raw data'!BE21</f>
        <v>#N/A</v>
      </c>
      <c r="BV25" s="58" t="e">
        <f ca="1">'Historical - Raw data'!BF21</f>
        <v>#N/A</v>
      </c>
      <c r="BW25" s="58" t="e">
        <f ca="1">'Historical - Raw data'!BG21</f>
        <v>#N/A</v>
      </c>
      <c r="BZ25" s="4" t="s">
        <v>6</v>
      </c>
    </row>
    <row r="26" spans="4:78" ht="15" customHeight="1">
      <c r="D26" s="38" t="s">
        <v>40</v>
      </c>
      <c r="E26" s="10" t="str">
        <f t="shared" si="4"/>
        <v>USDNOK</v>
      </c>
      <c r="F26" s="10"/>
      <c r="G26" s="23" t="e" cm="1">
        <f t="array" aca="1" ref="G26" ca="1">IF($G$8=_xlfn.SINGLE(_xll.BTODAY()), _xll.BDP(K26, IF($L$7, "LAST_PRICE", "PX_LAST")), _xll.BDH(K26, "PX_LAST", $G$8, $G$8, "Days=A"))</f>
        <v>#NAME?</v>
      </c>
      <c r="H26" s="20" t="e" cm="1">
        <f t="array" aca="1" ref="H26" ca="1">IF(AND(RIGHT(N26,6)="Comdty",UPPER(LEFT(E26,3))&lt;&gt;"BRL"),IF($G$8=_xlfn.SINGLE(_xll.BTODAY()), 100-_xlfn.SINGLE(_xll.BDP(N26, IF($L$7, "LAST_PRICE", "PX_LAST"))), 100-_xlfn.SINGLE(_xll.BDH(N26, "PX_LAST", $G$8, $G$8, "Days=A"))),IF($G$8=_xlfn.SINGLE(_xll.BTODAY()), _xll.BDP(N26, IF($L$7, "LAST_PRICE", "PX_LAST")), _xll.BDH(N26, "PX_LAST", $G$8, $G$8, "Days=A")))</f>
        <v>#N/A</v>
      </c>
      <c r="I26" s="20" t="e" cm="1">
        <f t="array" aca="1" ref="I26" ca="1">IF(AND(RIGHT(O26,6)="Comdty",UPPER(RIGHT($E26,3))&lt;&gt;"BRL"),IF($G$8=_xlfn.SINGLE(_xll.BTODAY()), 100-_xlfn.SINGLE(_xll.BDP(O26, IF($L$7, "LAST_PRICE", "PX_LAST"))), 100-_xlfn.SINGLE(_xll.BDH(O26, "PX_LAST", $G$8, $G$8, "Days=A"))),IF($G$8=_xlfn.SINGLE(_xll.BTODAY()), _xll.BDP(O26, IF($L$7, "LAST_PRICE", "PX_LAST")), _xll.BDH(O26, "PX_LAST", $G$8, $G$8, "Days=A")))</f>
        <v>#N/A</v>
      </c>
      <c r="J26" s="24" t="e">
        <f t="shared" ca="1" si="5"/>
        <v>#N/A</v>
      </c>
      <c r="K26" s="13" t="str">
        <f t="shared" si="6"/>
        <v>USDNOKV6M Curncy</v>
      </c>
      <c r="L26" s="6" t="str">
        <f>$E26&amp;"V"&amp;H10&amp;" Curncy"</f>
        <v>USDNOKV6M Curncy</v>
      </c>
      <c r="M26" s="6" t="str">
        <f>$E26&amp;"H"&amp;H10&amp;" Curncy"</f>
        <v>USDNOKH6M Curncy</v>
      </c>
      <c r="N26" s="76" t="e">
        <f ca="1">HLOOKUP($H$10, INDEX('Interest Rate Curves'!$1:$1048576, MATCH(LEFT($E26,3), 'Interest Rate Curves'!$B:$B,0) + 4, 5):INDEX('Interest Rate Curves'!$1:$1048576, MATCH(LEFT($E26,3), 'Interest Rate Curves'!$B:$B,0) + 8, 55),  3, FALSE)</f>
        <v>#N/A</v>
      </c>
      <c r="O26" s="76" t="e">
        <f ca="1">HLOOKUP($H$10, INDEX('Interest Rate Curves'!$1:$1048576, MATCH(RIGHT($E26, 3), 'Interest Rate Curves'!$B:$B,0) + 4, 5):INDEX('Interest Rate Curves'!$1:$1048576, MATCH(RIGHT($E26, 3), 'Interest Rate Curves'!$B:$B,0) + 8, 55),  3, FALSE)</f>
        <v>#N/A</v>
      </c>
      <c r="P26" s="6"/>
      <c r="Q26" s="6"/>
      <c r="R26" s="23" t="e" cm="1">
        <f t="array" aca="1" ref="R26" ca="1">IF($G$8=_xlfn.SINGLE(_xll.BTODAY()), _xll.BDP(V26, IF($L$7, "LAST_PRICE", "PX_LAST")), _xll.BDH(V26, "PX_LAST", $G$8, $G$8, "Days=A"))</f>
        <v>#NAME?</v>
      </c>
      <c r="S26" s="20" t="e" cm="1">
        <f t="array" aca="1" ref="S26" ca="1">IF(AND(RIGHT(Y26,6)="Comdty",UPPER(LEFT(P26,3))&lt;&gt;"BRL"),IF($G$8=_xlfn.SINGLE(_xll.BTODAY()), 100-_xlfn.SINGLE(_xll.BDP(Y26, IF($L$7, "LAST_PRICE", "PX_LAST"))), 100-_xlfn.SINGLE(_xll.BDH(Y26, "PX_LAST", $G$8, $G$8, "Days=A"))),IF($G$8=_xlfn.SINGLE(_xll.BTODAY()), _xll.BDP(Y26, IF($L$7, "LAST_PRICE", "PX_LAST")), _xll.BDH(Y26, "PX_LAST", $G$8, $G$8, "Days=A")))</f>
        <v>#N/A</v>
      </c>
      <c r="T26" s="20" t="e" cm="1">
        <f t="array" aca="1" ref="T26" ca="1">IF(AND(RIGHT(Z26,6)="Comdty",UPPER(RIGHT($E26,3))&lt;&gt;"BRL"),IF($G$8=_xlfn.SINGLE(_xll.BTODAY()), 100-_xlfn.SINGLE(_xll.BDP(Z26, IF($L$7, "LAST_PRICE", "PX_LAST"))), 100-_xlfn.SINGLE(_xll.BDH(Z26, "PX_LAST", $G$8, $G$8, "Days=A"))),IF($G$8=_xlfn.SINGLE(_xll.BTODAY()), _xll.BDP(Z26, IF($L$7, "LAST_PRICE", "PX_LAST")), _xll.BDH(Z26, "PX_LAST", $G$8, $G$8, "Days=A")))</f>
        <v>#N/A</v>
      </c>
      <c r="U26" s="24" t="e">
        <f t="shared" ca="1" si="7"/>
        <v>#N/A</v>
      </c>
      <c r="V26" s="13" t="str">
        <f t="shared" si="8"/>
        <v>USDNOKV1Y Curncy</v>
      </c>
      <c r="W26" s="6" t="str">
        <f>$E26&amp;"V"&amp;S10&amp;" Curncy"</f>
        <v>USDNOKV1Y Curncy</v>
      </c>
      <c r="X26" s="6" t="str">
        <f>$E26&amp;"H"&amp;S10&amp;" Curncy"</f>
        <v>USDNOKH1Y Curncy</v>
      </c>
      <c r="Y26" s="76" t="e">
        <f ca="1">HLOOKUP($S$10, INDEX('Interest Rate Curves'!$1:$1048576, MATCH(LEFT($E26,3), 'Interest Rate Curves'!$B:$B,0) + 4, 5):INDEX('Interest Rate Curves'!$1:$1048576, MATCH(LEFT($E26,3), 'Interest Rate Curves'!$B:$B,0) + 8, 55),  3, FALSE)</f>
        <v>#N/A</v>
      </c>
      <c r="Z26" s="76" t="e">
        <f ca="1">HLOOKUP($S$10, INDEX('Interest Rate Curves'!$1:$1048576, MATCH(RIGHT($E26, 3), 'Interest Rate Curves'!$B:$B,0) + 4, 5):INDEX('Interest Rate Curves'!$1:$1048576, MATCH(RIGHT($E26, 3), 'Interest Rate Curves'!$B:$B,0) + 8, 55),  3, FALSE)</f>
        <v>#N/A</v>
      </c>
      <c r="AA26" s="6"/>
      <c r="AB26" s="6"/>
      <c r="AC26" s="23" t="e" cm="1">
        <f t="array" aca="1" ref="AC26" ca="1">IF($G$8=_xlfn.SINGLE(_xll.BTODAY()), _xll.BDP(AG26, IF($L$7, "LAST_PRICE", "PX_LAST")), _xll.BDH(AG26, "PX_LAST", $G$8, $G$8, "Days=A"))</f>
        <v>#NAME?</v>
      </c>
      <c r="AD26" s="20" t="e" cm="1">
        <f t="array" aca="1" ref="AD26" ca="1">IF(AND(RIGHT(AJ26,6)="Comdty",UPPER(LEFT(AA26,3))&lt;&gt;"BRL"),IF($G$8=_xlfn.SINGLE(_xll.BTODAY()), 100-_xlfn.SINGLE(_xll.BDP(AJ26, IF($L$7, "LAST_PRICE", "PX_LAST"))), 100-_xlfn.SINGLE(_xll.BDH(AJ26, "PX_LAST", $G$8, $G$8, "Days=A"))),IF($G$8=_xlfn.SINGLE(_xll.BTODAY()), _xll.BDP(AJ26, IF($L$7, "LAST_PRICE", "PX_LAST")), _xll.BDH(AJ26, "PX_LAST", $G$8, $G$8, "Days=A")))</f>
        <v>#N/A</v>
      </c>
      <c r="AE26" s="20" t="e" cm="1">
        <f t="array" aca="1" ref="AE26" ca="1">IF(AND(RIGHT(AK26,6)="Comdty",UPPER(RIGHT($E26,3))&lt;&gt;"BRL"),IF($G$8=_xlfn.SINGLE(_xll.BTODAY()), 100-_xlfn.SINGLE(_xll.BDP(AK26, IF($L$7, "LAST_PRICE", "PX_LAST"))), 100-_xlfn.SINGLE(_xll.BDH(AK26, "PX_LAST", $G$8, $G$8, "Days=A"))),IF($G$8=_xlfn.SINGLE(_xll.BTODAY()), _xll.BDP(AK26, IF($L$7, "LAST_PRICE", "PX_LAST")), _xll.BDH(AK26, "PX_LAST", $G$8, $G$8, "Days=A")))</f>
        <v>#N/A</v>
      </c>
      <c r="AF26" s="24" t="e">
        <f t="shared" ca="1" si="9"/>
        <v>#N/A</v>
      </c>
      <c r="AG26" s="13" t="str">
        <f t="shared" si="10"/>
        <v>USDNOKV2Y Curncy</v>
      </c>
      <c r="AH26" s="6" t="str">
        <f>$E26&amp;"V"&amp;AD10&amp;" Curncy"</f>
        <v>USDNOKV2Y Curncy</v>
      </c>
      <c r="AI26" s="6" t="str">
        <f>$E26&amp;"H"&amp;AD10&amp;" Curncy"</f>
        <v>USDNOKH2Y Curncy</v>
      </c>
      <c r="AJ26" s="76" t="e">
        <f ca="1">HLOOKUP($AD$10, INDEX('Interest Rate Curves'!$1:$1048576, MATCH(LEFT($E26,3), 'Interest Rate Curves'!$B:$B,0) + 4, 5):INDEX('Interest Rate Curves'!$1:$1048576, MATCH(LEFT($E26,3), 'Interest Rate Curves'!$B:$B,0) + 8, 55),  3, FALSE)</f>
        <v>#N/A</v>
      </c>
      <c r="AK26" s="76" t="e">
        <f ca="1">HLOOKUP($AD$10, INDEX('Interest Rate Curves'!$1:$1048576, MATCH(RIGHT($E26, 3), 'Interest Rate Curves'!$B:$B,0) + 4, 5):INDEX('Interest Rate Curves'!$1:$1048576, MATCH(RIGHT($E26, 3), 'Interest Rate Curves'!$B:$B,0) + 8, 55),  3, FALSE)</f>
        <v>#N/A</v>
      </c>
      <c r="AL26" s="6"/>
      <c r="AM26" s="6"/>
      <c r="AN26" s="23" t="e" cm="1">
        <f t="array" aca="1" ref="AN26" ca="1">IF($G$8=_xlfn.SINGLE(_xll.BTODAY()), _xll.BDP(AR26, IF($L$7, "LAST_PRICE", "PX_LAST")), _xll.BDH(AR26, "PX_LAST", $G$8, $G$8, "Days=A"))</f>
        <v>#NAME?</v>
      </c>
      <c r="AO26" s="20" t="e" cm="1">
        <f t="array" aca="1" ref="AO26" ca="1">IF(AND(RIGHT(AU26,6)="Comdty",UPPER(LEFT(AL26,3))&lt;&gt;"BRL"),IF($G$8=_xlfn.SINGLE(_xll.BTODAY()), 100-_xlfn.SINGLE(_xll.BDP(AU26, IF($L$7, "LAST_PRICE", "PX_LAST"))), 100-_xlfn.SINGLE(_xll.BDH(AU26, "PX_LAST", $G$8, $G$8, "Days=A"))),IF($G$8=_xlfn.SINGLE(_xll.BTODAY()), _xll.BDP(AU26, IF($L$7, "LAST_PRICE", "PX_LAST")), _xll.BDH(AU26, "PX_LAST", $G$8, $G$8, "Days=A")))</f>
        <v>#N/A</v>
      </c>
      <c r="AP26" s="20" t="e" cm="1">
        <f t="array" aca="1" ref="AP26" ca="1">IF(AND(RIGHT(AV26,6)="Comdty",UPPER(RIGHT($E26,3))&lt;&gt;"BRL"),IF($G$8=_xlfn.SINGLE(_xll.BTODAY()), 100-_xlfn.SINGLE(_xll.BDP(AV26, IF($L$7, "LAST_PRICE", "PX_LAST"))), 100-_xlfn.SINGLE(_xll.BDH(AV26, "PX_LAST", $G$8, $G$8, "Days=A"))),IF($G$8=_xlfn.SINGLE(_xll.BTODAY()), _xll.BDP(AV26, IF($L$7, "LAST_PRICE", "PX_LAST")), _xll.BDH(AV26, "PX_LAST", $G$8, $G$8, "Days=A")))</f>
        <v>#N/A</v>
      </c>
      <c r="AQ26" s="24" t="e">
        <f t="shared" ca="1" si="11"/>
        <v>#N/A</v>
      </c>
      <c r="AR26" s="14" t="str">
        <f t="shared" si="12"/>
        <v>USDNOKV5Y Curncy</v>
      </c>
      <c r="AS26" s="4" t="str">
        <f>$E26&amp;"V"&amp;AO10&amp;" Curncy"</f>
        <v>USDNOKV5Y Curncy</v>
      </c>
      <c r="AT26" s="4" t="str">
        <f>$E26&amp;"H"&amp;AO10&amp;" Curncy"</f>
        <v>USDNOKH5Y Curncy</v>
      </c>
      <c r="AU26" s="4" t="e">
        <f ca="1">HLOOKUP($AO$10, INDEX('Interest Rate Curves'!$1:$1048576, MATCH(LEFT($E26,3), 'Interest Rate Curves'!$B:$B,0) + 4, 5):INDEX('Interest Rate Curves'!$1:$1048576, MATCH(LEFT($E26,3), 'Interest Rate Curves'!$B:$B,0) + 8, 55),  3, FALSE)</f>
        <v>#N/A</v>
      </c>
      <c r="AV26" s="4" t="e">
        <f ca="1">HLOOKUP($AO$10, INDEX('Interest Rate Curves'!$1:$1048576, MATCH(RIGHT($E26, 3), 'Interest Rate Curves'!$B:$B,0) + 4, 5):INDEX('Interest Rate Curves'!$1:$1048576, MATCH(RIGHT($E26, 3), 'Interest Rate Curves'!$B:$B,0) + 8, 55),  3, FALSE)</f>
        <v>#N/A</v>
      </c>
      <c r="AY26" s="4" t="str">
        <f t="shared" si="13"/>
        <v>NOK</v>
      </c>
      <c r="AZ26" s="4" t="str">
        <f t="shared" si="0"/>
        <v>USDNOKV2Y Curncy</v>
      </c>
      <c r="BA26" s="4" t="e">
        <f t="shared" ca="1" si="1"/>
        <v>#N/A</v>
      </c>
      <c r="BB26" s="4" t="e">
        <f t="shared" ca="1" si="14"/>
        <v>#N/A</v>
      </c>
      <c r="BG26" s="4" t="str">
        <f t="shared" si="15"/>
        <v>NOK</v>
      </c>
      <c r="BH26" s="4" t="e">
        <f t="shared" ca="1" si="2"/>
        <v>#NAME?</v>
      </c>
      <c r="BI26" s="4" t="e">
        <f t="shared" ca="1" si="3"/>
        <v>#N/A</v>
      </c>
      <c r="BK26" s="97" t="e">
        <f>'Historical - Raw data'!AU22</f>
        <v>#N/A</v>
      </c>
      <c r="BL26" s="58" t="e">
        <f ca="1">'Historical - Raw data'!AV22</f>
        <v>#N/A</v>
      </c>
      <c r="BM26" s="58" t="e">
        <f ca="1">'Historical - Raw data'!AW22</f>
        <v>#N/A</v>
      </c>
      <c r="BN26" s="58" t="e">
        <f ca="1">'Historical - Raw data'!AX22</f>
        <v>#N/A</v>
      </c>
      <c r="BO26" s="58" t="e">
        <f ca="1">'Historical - Raw data'!AY22</f>
        <v>#N/A</v>
      </c>
      <c r="BP26" s="58" t="e">
        <f ca="1">'Historical - Raw data'!AZ22</f>
        <v>#N/A</v>
      </c>
      <c r="BQ26" s="58" t="e">
        <f ca="1">'Historical - Raw data'!BA22</f>
        <v>#N/A</v>
      </c>
      <c r="BR26" s="58" t="e">
        <f ca="1">'Historical - Raw data'!BB22</f>
        <v>#N/A</v>
      </c>
      <c r="BS26" s="58" t="e">
        <f ca="1">'Historical - Raw data'!BC22</f>
        <v>#N/A</v>
      </c>
      <c r="BT26" s="58" t="e">
        <f ca="1">'Historical - Raw data'!BD22</f>
        <v>#N/A</v>
      </c>
      <c r="BU26" s="58" t="e">
        <f ca="1">'Historical - Raw data'!BE22</f>
        <v>#N/A</v>
      </c>
      <c r="BV26" s="58" t="e">
        <f ca="1">'Historical - Raw data'!BF22</f>
        <v>#N/A</v>
      </c>
      <c r="BW26" s="58" t="e">
        <f ca="1">'Historical - Raw data'!BG22</f>
        <v>#N/A</v>
      </c>
      <c r="BZ26" s="4" t="s">
        <v>7</v>
      </c>
    </row>
    <row r="27" spans="4:78" ht="15" customHeight="1">
      <c r="D27" s="38" t="s">
        <v>29</v>
      </c>
      <c r="E27" s="15" t="str">
        <f t="shared" si="4"/>
        <v>USDDKK</v>
      </c>
      <c r="F27" s="10"/>
      <c r="G27" s="25" t="e" cm="1">
        <f t="array" aca="1" ref="G27" ca="1">IF($G$8=_xlfn.SINGLE(_xll.BTODAY()), _xll.BDP(K27, IF($L$7, "LAST_PRICE", "PX_LAST")), _xll.BDH(K27, "PX_LAST", $G$8, $G$8, "Days=A"))</f>
        <v>#NAME?</v>
      </c>
      <c r="H27" s="26" t="e" cm="1">
        <f t="array" aca="1" ref="H27" ca="1">IF(AND(RIGHT(N27,6)="Comdty",UPPER(LEFT(E27,3))&lt;&gt;"BRL"),IF($G$8=_xlfn.SINGLE(_xll.BTODAY()), 100-_xlfn.SINGLE(_xll.BDP(N27, IF($L$7, "LAST_PRICE", "PX_LAST"))), 100-_xlfn.SINGLE(_xll.BDH(N27, "PX_LAST", $G$8, $G$8, "Days=A"))),IF($G$8=_xlfn.SINGLE(_xll.BTODAY()), _xll.BDP(N27, IF($L$7, "LAST_PRICE", "PX_LAST")), _xll.BDH(N27, "PX_LAST", $G$8, $G$8, "Days=A")))</f>
        <v>#N/A</v>
      </c>
      <c r="I27" s="26" t="e" cm="1">
        <f t="array" aca="1" ref="I27" ca="1">IF(AND(RIGHT(O27,6)="Comdty",UPPER(RIGHT($E27,3))&lt;&gt;"BRL"),IF($G$8=_xlfn.SINGLE(_xll.BTODAY()), 100-_xlfn.SINGLE(_xll.BDP(O27, IF($L$7, "LAST_PRICE", "PX_LAST"))), 100-_xlfn.SINGLE(_xll.BDH(O27, "PX_LAST", $G$8, $G$8, "Days=A"))),IF($G$8=_xlfn.SINGLE(_xll.BTODAY()), _xll.BDP(O27, IF($L$7, "LAST_PRICE", "PX_LAST")), _xll.BDH(O27, "PX_LAST", $G$8, $G$8, "Days=A")))</f>
        <v>#N/A</v>
      </c>
      <c r="J27" s="27" t="e">
        <f t="shared" ca="1" si="5"/>
        <v>#N/A</v>
      </c>
      <c r="K27" s="13" t="str">
        <f t="shared" si="6"/>
        <v>USDDKKV6M Curncy</v>
      </c>
      <c r="L27" s="6" t="str">
        <f>$E27&amp;"V"&amp;H10&amp;" Curncy"</f>
        <v>USDDKKV6M Curncy</v>
      </c>
      <c r="M27" s="6" t="str">
        <f>$E27&amp;"H"&amp;H10&amp;" Curncy"</f>
        <v>USDDKKH6M Curncy</v>
      </c>
      <c r="N27" s="76" t="e">
        <f ca="1">HLOOKUP($H$10, INDEX('Interest Rate Curves'!$1:$1048576, MATCH(LEFT($E27,3), 'Interest Rate Curves'!$B:$B,0) + 4, 5):INDEX('Interest Rate Curves'!$1:$1048576, MATCH(LEFT($E27,3), 'Interest Rate Curves'!$B:$B,0) + 8, 55),  3, FALSE)</f>
        <v>#N/A</v>
      </c>
      <c r="O27" s="76" t="e">
        <f ca="1">HLOOKUP($H$10, INDEX('Interest Rate Curves'!$1:$1048576, MATCH(RIGHT($E27, 3), 'Interest Rate Curves'!$B:$B,0) + 4, 5):INDEX('Interest Rate Curves'!$1:$1048576, MATCH(RIGHT($E27, 3), 'Interest Rate Curves'!$B:$B,0) + 8, 55),  3, FALSE)</f>
        <v>#N/A</v>
      </c>
      <c r="P27" s="6"/>
      <c r="Q27" s="6"/>
      <c r="R27" s="25" t="e" cm="1">
        <f t="array" aca="1" ref="R27" ca="1">IF($G$8=_xlfn.SINGLE(_xll.BTODAY()), _xll.BDP(V27, IF($L$7, "LAST_PRICE", "PX_LAST")), _xll.BDH(V27, "PX_LAST", $G$8, $G$8, "Days=A"))</f>
        <v>#NAME?</v>
      </c>
      <c r="S27" s="26" t="e" cm="1">
        <f t="array" aca="1" ref="S27" ca="1">IF(AND(RIGHT(Y27,6)="Comdty",UPPER(LEFT(P27,3))&lt;&gt;"BRL"),IF($G$8=_xlfn.SINGLE(_xll.BTODAY()), 100-_xlfn.SINGLE(_xll.BDP(Y27, IF($L$7, "LAST_PRICE", "PX_LAST"))), 100-_xlfn.SINGLE(_xll.BDH(Y27, "PX_LAST", $G$8, $G$8, "Days=A"))),IF($G$8=_xlfn.SINGLE(_xll.BTODAY()), _xll.BDP(Y27, IF($L$7, "LAST_PRICE", "PX_LAST")), _xll.BDH(Y27, "PX_LAST", $G$8, $G$8, "Days=A")))</f>
        <v>#N/A</v>
      </c>
      <c r="T27" s="26" t="e" cm="1">
        <f t="array" aca="1" ref="T27" ca="1">IF(AND(RIGHT(Z27,6)="Comdty",UPPER(RIGHT($E27,3))&lt;&gt;"BRL"),IF($G$8=_xlfn.SINGLE(_xll.BTODAY()), 100-_xlfn.SINGLE(_xll.BDP(Z27, IF($L$7, "LAST_PRICE", "PX_LAST"))), 100-_xlfn.SINGLE(_xll.BDH(Z27, "PX_LAST", $G$8, $G$8, "Days=A"))),IF($G$8=_xlfn.SINGLE(_xll.BTODAY()), _xll.BDP(Z27, IF($L$7, "LAST_PRICE", "PX_LAST")), _xll.BDH(Z27, "PX_LAST", $G$8, $G$8, "Days=A")))</f>
        <v>#N/A</v>
      </c>
      <c r="U27" s="27" t="e">
        <f t="shared" ca="1" si="7"/>
        <v>#N/A</v>
      </c>
      <c r="V27" s="13" t="str">
        <f t="shared" si="8"/>
        <v>USDDKKV1Y Curncy</v>
      </c>
      <c r="W27" s="6" t="str">
        <f>$E27&amp;"V"&amp;S10&amp;" Curncy"</f>
        <v>USDDKKV1Y Curncy</v>
      </c>
      <c r="X27" s="6" t="str">
        <f>$E27&amp;"H"&amp;S10&amp;" Curncy"</f>
        <v>USDDKKH1Y Curncy</v>
      </c>
      <c r="Y27" s="76" t="e">
        <f ca="1">HLOOKUP($S$10, INDEX('Interest Rate Curves'!$1:$1048576, MATCH(LEFT($E27,3), 'Interest Rate Curves'!$B:$B,0) + 4, 5):INDEX('Interest Rate Curves'!$1:$1048576, MATCH(LEFT($E27,3), 'Interest Rate Curves'!$B:$B,0) + 8, 55),  3, FALSE)</f>
        <v>#N/A</v>
      </c>
      <c r="Z27" s="76" t="e">
        <f ca="1">HLOOKUP($S$10, INDEX('Interest Rate Curves'!$1:$1048576, MATCH(RIGHT($E27, 3), 'Interest Rate Curves'!$B:$B,0) + 4, 5):INDEX('Interest Rate Curves'!$1:$1048576, MATCH(RIGHT($E27, 3), 'Interest Rate Curves'!$B:$B,0) + 8, 55),  3, FALSE)</f>
        <v>#N/A</v>
      </c>
      <c r="AA27" s="6"/>
      <c r="AB27" s="6"/>
      <c r="AC27" s="25" t="e" cm="1">
        <f t="array" aca="1" ref="AC27" ca="1">IF($G$8=_xlfn.SINGLE(_xll.BTODAY()), _xll.BDP(AG27, IF($L$7, "LAST_PRICE", "PX_LAST")), _xll.BDH(AG27, "PX_LAST", $G$8, $G$8, "Days=A"))</f>
        <v>#NAME?</v>
      </c>
      <c r="AD27" s="26" t="e" cm="1">
        <f t="array" aca="1" ref="AD27" ca="1">IF(AND(RIGHT(AJ27,6)="Comdty",UPPER(LEFT(AA27,3))&lt;&gt;"BRL"),IF($G$8=_xlfn.SINGLE(_xll.BTODAY()), 100-_xlfn.SINGLE(_xll.BDP(AJ27, IF($L$7, "LAST_PRICE", "PX_LAST"))), 100-_xlfn.SINGLE(_xll.BDH(AJ27, "PX_LAST", $G$8, $G$8, "Days=A"))),IF($G$8=_xlfn.SINGLE(_xll.BTODAY()), _xll.BDP(AJ27, IF($L$7, "LAST_PRICE", "PX_LAST")), _xll.BDH(AJ27, "PX_LAST", $G$8, $G$8, "Days=A")))</f>
        <v>#N/A</v>
      </c>
      <c r="AE27" s="26" t="e" cm="1">
        <f t="array" aca="1" ref="AE27" ca="1">IF(AND(RIGHT(AK27,6)="Comdty",UPPER(RIGHT($E27,3))&lt;&gt;"BRL"),IF($G$8=_xlfn.SINGLE(_xll.BTODAY()), 100-_xlfn.SINGLE(_xll.BDP(AK27, IF($L$7, "LAST_PRICE", "PX_LAST"))), 100-_xlfn.SINGLE(_xll.BDH(AK27, "PX_LAST", $G$8, $G$8, "Days=A"))),IF($G$8=_xlfn.SINGLE(_xll.BTODAY()), _xll.BDP(AK27, IF($L$7, "LAST_PRICE", "PX_LAST")), _xll.BDH(AK27, "PX_LAST", $G$8, $G$8, "Days=A")))</f>
        <v>#N/A</v>
      </c>
      <c r="AF27" s="27" t="e">
        <f t="shared" ca="1" si="9"/>
        <v>#N/A</v>
      </c>
      <c r="AG27" s="13" t="str">
        <f t="shared" si="10"/>
        <v>USDDKKV2Y Curncy</v>
      </c>
      <c r="AH27" s="6" t="str">
        <f>$E27&amp;"V"&amp;AD10&amp;" Curncy"</f>
        <v>USDDKKV2Y Curncy</v>
      </c>
      <c r="AI27" s="6" t="str">
        <f>$E27&amp;"H"&amp;AD10&amp;" Curncy"</f>
        <v>USDDKKH2Y Curncy</v>
      </c>
      <c r="AJ27" s="76" t="e">
        <f ca="1">HLOOKUP($AD$10, INDEX('Interest Rate Curves'!$1:$1048576, MATCH(LEFT($E27,3), 'Interest Rate Curves'!$B:$B,0) + 4, 5):INDEX('Interest Rate Curves'!$1:$1048576, MATCH(LEFT($E27,3), 'Interest Rate Curves'!$B:$B,0) + 8, 55),  3, FALSE)</f>
        <v>#N/A</v>
      </c>
      <c r="AK27" s="76" t="e">
        <f ca="1">HLOOKUP($AD$10, INDEX('Interest Rate Curves'!$1:$1048576, MATCH(RIGHT($E27, 3), 'Interest Rate Curves'!$B:$B,0) + 4, 5):INDEX('Interest Rate Curves'!$1:$1048576, MATCH(RIGHT($E27, 3), 'Interest Rate Curves'!$B:$B,0) + 8, 55),  3, FALSE)</f>
        <v>#N/A</v>
      </c>
      <c r="AL27" s="6"/>
      <c r="AM27" s="6"/>
      <c r="AN27" s="25" t="e" cm="1">
        <f t="array" aca="1" ref="AN27" ca="1">IF($G$8=_xlfn.SINGLE(_xll.BTODAY()), _xll.BDP(AR27, IF($L$7, "LAST_PRICE", "PX_LAST")), _xll.BDH(AR27, "PX_LAST", $G$8, $G$8, "Days=A"))</f>
        <v>#NAME?</v>
      </c>
      <c r="AO27" s="26" t="e" cm="1">
        <f t="array" aca="1" ref="AO27" ca="1">IF(AND(RIGHT(AU27,6)="Comdty",UPPER(LEFT(AL27,3))&lt;&gt;"BRL"),IF($G$8=_xlfn.SINGLE(_xll.BTODAY()), 100-_xlfn.SINGLE(_xll.BDP(AU27, IF($L$7, "LAST_PRICE", "PX_LAST"))), 100-_xlfn.SINGLE(_xll.BDH(AU27, "PX_LAST", $G$8, $G$8, "Days=A"))),IF($G$8=_xlfn.SINGLE(_xll.BTODAY()), _xll.BDP(AU27, IF($L$7, "LAST_PRICE", "PX_LAST")), _xll.BDH(AU27, "PX_LAST", $G$8, $G$8, "Days=A")))</f>
        <v>#N/A</v>
      </c>
      <c r="AP27" s="26" t="e" cm="1">
        <f t="array" aca="1" ref="AP27" ca="1">IF(AND(RIGHT(AV27,6)="Comdty",UPPER(RIGHT($E27,3))&lt;&gt;"BRL"),IF($G$8=_xlfn.SINGLE(_xll.BTODAY()), 100-_xlfn.SINGLE(_xll.BDP(AV27, IF($L$7, "LAST_PRICE", "PX_LAST"))), 100-_xlfn.SINGLE(_xll.BDH(AV27, "PX_LAST", $G$8, $G$8, "Days=A"))),IF($G$8=_xlfn.SINGLE(_xll.BTODAY()), _xll.BDP(AV27, IF($L$7, "LAST_PRICE", "PX_LAST")), _xll.BDH(AV27, "PX_LAST", $G$8, $G$8, "Days=A")))</f>
        <v>#N/A</v>
      </c>
      <c r="AQ27" s="27" t="e">
        <f t="shared" ca="1" si="11"/>
        <v>#N/A</v>
      </c>
      <c r="AR27" s="14" t="str">
        <f t="shared" si="12"/>
        <v>USDDKKV5Y Curncy</v>
      </c>
      <c r="AS27" s="4" t="str">
        <f>$E27&amp;"V"&amp;AO10&amp;" Curncy"</f>
        <v>USDDKKV5Y Curncy</v>
      </c>
      <c r="AT27" s="4" t="str">
        <f>$E27&amp;"H"&amp;AO10&amp;" Curncy"</f>
        <v>USDDKKH5Y Curncy</v>
      </c>
      <c r="AU27" s="4" t="e">
        <f ca="1">HLOOKUP($AO$10, INDEX('Interest Rate Curves'!$1:$1048576, MATCH(LEFT($E27,3), 'Interest Rate Curves'!$B:$B,0) + 4, 5):INDEX('Interest Rate Curves'!$1:$1048576, MATCH(LEFT($E27,3), 'Interest Rate Curves'!$B:$B,0) + 8, 55),  3, FALSE)</f>
        <v>#N/A</v>
      </c>
      <c r="AV27" s="4" t="e">
        <f ca="1">HLOOKUP($AO$10, INDEX('Interest Rate Curves'!$1:$1048576, MATCH(RIGHT($E27, 3), 'Interest Rate Curves'!$B:$B,0) + 4, 5):INDEX('Interest Rate Curves'!$1:$1048576, MATCH(RIGHT($E27, 3), 'Interest Rate Curves'!$B:$B,0) + 8, 55),  3, FALSE)</f>
        <v>#N/A</v>
      </c>
      <c r="AY27" s="4" t="str">
        <f t="shared" si="13"/>
        <v>DKK</v>
      </c>
      <c r="AZ27" s="4" t="str">
        <f t="shared" si="0"/>
        <v>USDDKKV2Y Curncy</v>
      </c>
      <c r="BA27" s="4" t="e">
        <f t="shared" ca="1" si="1"/>
        <v>#N/A</v>
      </c>
      <c r="BB27" s="4" t="e">
        <f t="shared" ca="1" si="14"/>
        <v>#N/A</v>
      </c>
      <c r="BG27" s="4" t="str">
        <f t="shared" si="15"/>
        <v>DKK</v>
      </c>
      <c r="BH27" s="4" t="e">
        <f t="shared" ca="1" si="2"/>
        <v>#NAME?</v>
      </c>
      <c r="BI27" s="4" t="e">
        <f t="shared" ca="1" si="3"/>
        <v>#N/A</v>
      </c>
      <c r="BK27" s="97" t="e">
        <f>'Historical - Raw data'!AU23</f>
        <v>#N/A</v>
      </c>
      <c r="BL27" s="58" t="e">
        <f ca="1">'Historical - Raw data'!AV23</f>
        <v>#N/A</v>
      </c>
      <c r="BM27" s="58" t="e">
        <f ca="1">'Historical - Raw data'!AW23</f>
        <v>#N/A</v>
      </c>
      <c r="BN27" s="58" t="e">
        <f ca="1">'Historical - Raw data'!AX23</f>
        <v>#N/A</v>
      </c>
      <c r="BO27" s="58" t="e">
        <f ca="1">'Historical - Raw data'!AY23</f>
        <v>#N/A</v>
      </c>
      <c r="BP27" s="58" t="e">
        <f ca="1">'Historical - Raw data'!AZ23</f>
        <v>#N/A</v>
      </c>
      <c r="BQ27" s="58" t="e">
        <f ca="1">'Historical - Raw data'!BA23</f>
        <v>#N/A</v>
      </c>
      <c r="BR27" s="58" t="e">
        <f ca="1">'Historical - Raw data'!BB23</f>
        <v>#N/A</v>
      </c>
      <c r="BS27" s="58" t="e">
        <f ca="1">'Historical - Raw data'!BC23</f>
        <v>#N/A</v>
      </c>
      <c r="BT27" s="58" t="e">
        <f ca="1">'Historical - Raw data'!BD23</f>
        <v>#N/A</v>
      </c>
      <c r="BU27" s="58" t="e">
        <f ca="1">'Historical - Raw data'!BE23</f>
        <v>#N/A</v>
      </c>
      <c r="BV27" s="58" t="e">
        <f ca="1">'Historical - Raw data'!BF23</f>
        <v>#N/A</v>
      </c>
      <c r="BW27" s="58" t="e">
        <f ca="1">'Historical - Raw data'!BG23</f>
        <v>#N/A</v>
      </c>
      <c r="BZ27" s="4" t="s">
        <v>8</v>
      </c>
    </row>
    <row r="28" spans="4:78" ht="15" hidden="1" customHeight="1">
      <c r="BK28" s="97" t="e">
        <f>'Historical - Raw data'!AU24</f>
        <v>#N/A</v>
      </c>
      <c r="BL28" s="58" t="e">
        <f ca="1">'Historical - Raw data'!AV24</f>
        <v>#N/A</v>
      </c>
      <c r="BM28" s="58" t="e">
        <f ca="1">'Historical - Raw data'!AW24</f>
        <v>#N/A</v>
      </c>
      <c r="BN28" s="58" t="e">
        <f ca="1">'Historical - Raw data'!AX24</f>
        <v>#N/A</v>
      </c>
      <c r="BO28" s="58" t="e">
        <f ca="1">'Historical - Raw data'!AY24</f>
        <v>#N/A</v>
      </c>
      <c r="BP28" s="58" t="e">
        <f ca="1">'Historical - Raw data'!AZ24</f>
        <v>#N/A</v>
      </c>
      <c r="BQ28" s="58" t="e">
        <f ca="1">'Historical - Raw data'!BA24</f>
        <v>#N/A</v>
      </c>
      <c r="BR28" s="58" t="e">
        <f ca="1">'Historical - Raw data'!BB24</f>
        <v>#N/A</v>
      </c>
      <c r="BS28" s="58" t="e">
        <f ca="1">'Historical - Raw data'!BC24</f>
        <v>#N/A</v>
      </c>
      <c r="BT28" s="58" t="e">
        <f ca="1">'Historical - Raw data'!BD24</f>
        <v>#N/A</v>
      </c>
      <c r="BU28" s="58" t="e">
        <f ca="1">'Historical - Raw data'!BE24</f>
        <v>#N/A</v>
      </c>
      <c r="BV28" s="58" t="e">
        <f ca="1">'Historical - Raw data'!BF24</f>
        <v>#N/A</v>
      </c>
      <c r="BW28" s="58" t="e">
        <f ca="1">'Historical - Raw data'!BG24</f>
        <v>#N/A</v>
      </c>
      <c r="BZ28" s="4" t="s">
        <v>9</v>
      </c>
    </row>
    <row r="29" spans="4:78" ht="5.15" customHeight="1">
      <c r="BK29" s="97" t="e">
        <f>'Historical - Raw data'!AU25</f>
        <v>#N/A</v>
      </c>
      <c r="BL29" s="58" t="e">
        <f ca="1">'Historical - Raw data'!AV25</f>
        <v>#N/A</v>
      </c>
      <c r="BM29" s="58" t="e">
        <f ca="1">'Historical - Raw data'!AW25</f>
        <v>#N/A</v>
      </c>
      <c r="BN29" s="58" t="e">
        <f ca="1">'Historical - Raw data'!AX25</f>
        <v>#N/A</v>
      </c>
      <c r="BO29" s="58" t="e">
        <f ca="1">'Historical - Raw data'!AY25</f>
        <v>#N/A</v>
      </c>
      <c r="BP29" s="58" t="e">
        <f ca="1">'Historical - Raw data'!AZ25</f>
        <v>#N/A</v>
      </c>
      <c r="BQ29" s="58" t="e">
        <f ca="1">'Historical - Raw data'!BA25</f>
        <v>#N/A</v>
      </c>
      <c r="BR29" s="58" t="e">
        <f ca="1">'Historical - Raw data'!BB25</f>
        <v>#N/A</v>
      </c>
      <c r="BS29" s="58" t="e">
        <f ca="1">'Historical - Raw data'!BC25</f>
        <v>#N/A</v>
      </c>
      <c r="BT29" s="58" t="e">
        <f ca="1">'Historical - Raw data'!BD25</f>
        <v>#N/A</v>
      </c>
      <c r="BU29" s="58" t="e">
        <f ca="1">'Historical - Raw data'!BE25</f>
        <v>#N/A</v>
      </c>
      <c r="BV29" s="58" t="e">
        <f ca="1">'Historical - Raw data'!BF25</f>
        <v>#N/A</v>
      </c>
      <c r="BW29" s="58" t="e">
        <f ca="1">'Historical - Raw data'!BG25</f>
        <v>#N/A</v>
      </c>
      <c r="BZ29" s="4" t="s">
        <v>17</v>
      </c>
    </row>
    <row r="30" spans="4:78" ht="5.15" customHeight="1">
      <c r="AE30" s="16" t="str">
        <f>IF(AND(AD32&lt;&gt;H10, AD32&lt;&gt;S10, AD32&lt;&gt;AD10, AD32&lt;&gt;AO10), "* To graph the data for this tenor, please enter it in one of the tenor fields above.", "")</f>
        <v/>
      </c>
      <c r="BK30" s="97" t="e">
        <f>'Historical - Raw data'!AU26</f>
        <v>#N/A</v>
      </c>
      <c r="BL30" s="58" t="e">
        <f ca="1">'Historical - Raw data'!AV26</f>
        <v>#N/A</v>
      </c>
      <c r="BM30" s="58" t="e">
        <f ca="1">'Historical - Raw data'!AW26</f>
        <v>#N/A</v>
      </c>
      <c r="BN30" s="58" t="e">
        <f ca="1">'Historical - Raw data'!AX26</f>
        <v>#N/A</v>
      </c>
      <c r="BO30" s="58" t="e">
        <f ca="1">'Historical - Raw data'!AY26</f>
        <v>#N/A</v>
      </c>
      <c r="BP30" s="58" t="e">
        <f ca="1">'Historical - Raw data'!AZ26</f>
        <v>#N/A</v>
      </c>
      <c r="BQ30" s="58" t="e">
        <f ca="1">'Historical - Raw data'!BA26</f>
        <v>#N/A</v>
      </c>
      <c r="BR30" s="58" t="e">
        <f ca="1">'Historical - Raw data'!BB26</f>
        <v>#N/A</v>
      </c>
      <c r="BS30" s="58" t="e">
        <f ca="1">'Historical - Raw data'!BC26</f>
        <v>#N/A</v>
      </c>
      <c r="BT30" s="58" t="e">
        <f ca="1">'Historical - Raw data'!BD26</f>
        <v>#N/A</v>
      </c>
      <c r="BU30" s="58" t="e">
        <f ca="1">'Historical - Raw data'!BE26</f>
        <v>#N/A</v>
      </c>
      <c r="BV30" s="58" t="e">
        <f ca="1">'Historical - Raw data'!BF26</f>
        <v>#N/A</v>
      </c>
      <c r="BW30" s="58" t="e">
        <f ca="1">'Historical - Raw data'!BG26</f>
        <v>#N/A</v>
      </c>
      <c r="BZ30" s="4" t="s">
        <v>18</v>
      </c>
    </row>
    <row r="31" spans="4:78" ht="15" customHeight="1">
      <c r="AC31" s="8"/>
      <c r="AD31" s="7"/>
      <c r="BK31" s="97" t="e">
        <f>'Historical - Raw data'!AU27</f>
        <v>#N/A</v>
      </c>
      <c r="BL31" s="58" t="e">
        <f ca="1">'Historical - Raw data'!AV27</f>
        <v>#N/A</v>
      </c>
      <c r="BM31" s="58" t="e">
        <f ca="1">'Historical - Raw data'!AW27</f>
        <v>#N/A</v>
      </c>
      <c r="BN31" s="58" t="e">
        <f ca="1">'Historical - Raw data'!AX27</f>
        <v>#N/A</v>
      </c>
      <c r="BO31" s="58" t="e">
        <f ca="1">'Historical - Raw data'!AY27</f>
        <v>#N/A</v>
      </c>
      <c r="BP31" s="58" t="e">
        <f ca="1">'Historical - Raw data'!AZ27</f>
        <v>#N/A</v>
      </c>
      <c r="BQ31" s="58" t="e">
        <f ca="1">'Historical - Raw data'!BA27</f>
        <v>#N/A</v>
      </c>
      <c r="BR31" s="58" t="e">
        <f ca="1">'Historical - Raw data'!BB27</f>
        <v>#N/A</v>
      </c>
      <c r="BS31" s="58" t="e">
        <f ca="1">'Historical - Raw data'!BC27</f>
        <v>#N/A</v>
      </c>
      <c r="BT31" s="58" t="e">
        <f ca="1">'Historical - Raw data'!BD27</f>
        <v>#N/A</v>
      </c>
      <c r="BU31" s="58" t="e">
        <f ca="1">'Historical - Raw data'!BE27</f>
        <v>#N/A</v>
      </c>
      <c r="BV31" s="58" t="e">
        <f ca="1">'Historical - Raw data'!BF27</f>
        <v>#N/A</v>
      </c>
      <c r="BW31" s="58" t="e">
        <f ca="1">'Historical - Raw data'!BG27</f>
        <v>#N/A</v>
      </c>
      <c r="BZ31" s="4" t="s">
        <v>19</v>
      </c>
    </row>
    <row r="32" spans="4:78" ht="15" customHeight="1">
      <c r="D32" s="110" t="str">
        <f>trans_getMessage("","Chart:",,LANG_ID)</f>
        <v>Chart:</v>
      </c>
      <c r="E32" s="111"/>
      <c r="F32" s="112"/>
      <c r="G32" s="39" t="s">
        <v>5</v>
      </c>
      <c r="H32" s="16" t="str">
        <f>IF(AND(G32&lt;&gt;H10, G32&lt;&gt;S10, G32&lt;&gt;AD10, G32&lt;&gt;AO10), "* To graph the data for this tenor, please enter it in one of the tenor fields above.", "")</f>
        <v/>
      </c>
      <c r="AC32" s="77" t="str">
        <f>trans_getMessage("","Chart:",,LANG_ID)</f>
        <v>Chart:</v>
      </c>
      <c r="AD32" s="78" t="s">
        <v>6</v>
      </c>
      <c r="BK32" s="97" t="e">
        <f>'Historical - Raw data'!AU28</f>
        <v>#N/A</v>
      </c>
      <c r="BL32" s="58" t="e">
        <f ca="1">'Historical - Raw data'!AV28</f>
        <v>#N/A</v>
      </c>
      <c r="BM32" s="58" t="e">
        <f ca="1">'Historical - Raw data'!AW28</f>
        <v>#N/A</v>
      </c>
      <c r="BN32" s="58" t="e">
        <f ca="1">'Historical - Raw data'!AX28</f>
        <v>#N/A</v>
      </c>
      <c r="BO32" s="58" t="e">
        <f ca="1">'Historical - Raw data'!AY28</f>
        <v>#N/A</v>
      </c>
      <c r="BP32" s="58" t="e">
        <f ca="1">'Historical - Raw data'!AZ28</f>
        <v>#N/A</v>
      </c>
      <c r="BQ32" s="58" t="e">
        <f ca="1">'Historical - Raw data'!BA28</f>
        <v>#N/A</v>
      </c>
      <c r="BR32" s="58" t="e">
        <f ca="1">'Historical - Raw data'!BB28</f>
        <v>#N/A</v>
      </c>
      <c r="BS32" s="58" t="e">
        <f ca="1">'Historical - Raw data'!BC28</f>
        <v>#N/A</v>
      </c>
      <c r="BT32" s="58" t="e">
        <f ca="1">'Historical - Raw data'!BD28</f>
        <v>#N/A</v>
      </c>
      <c r="BU32" s="58" t="e">
        <f ca="1">'Historical - Raw data'!BE28</f>
        <v>#N/A</v>
      </c>
      <c r="BV32" s="58" t="e">
        <f ca="1">'Historical - Raw data'!BF28</f>
        <v>#N/A</v>
      </c>
      <c r="BW32" s="58" t="e">
        <f ca="1">'Historical - Raw data'!BG28</f>
        <v>#N/A</v>
      </c>
      <c r="BZ32" s="4" t="s">
        <v>20</v>
      </c>
    </row>
    <row r="33" spans="4:78" ht="15" customHeight="1">
      <c r="D33" s="100" t="e">
        <f ca="1">G32&amp;" "&amp;S8&amp;" vs. "&amp;"Int. Rate Differential as of "&amp;TEXT(G8,"MM/DD/YYYY")</f>
        <v>#NAME?</v>
      </c>
      <c r="E33" s="100"/>
      <c r="F33" s="100"/>
      <c r="G33" s="100"/>
      <c r="H33" s="100"/>
      <c r="I33" s="100"/>
      <c r="J33" s="100"/>
      <c r="K33" s="100"/>
      <c r="L33" s="100"/>
      <c r="M33" s="100"/>
      <c r="N33" s="100"/>
      <c r="O33" s="100"/>
      <c r="P33" s="100"/>
      <c r="Q33" s="100"/>
      <c r="R33" s="100"/>
      <c r="S33" s="100"/>
      <c r="T33" s="100"/>
      <c r="U33" s="100"/>
      <c r="AC33" s="100" t="str">
        <f>trans_getMessage("","Historical Ratio",,LANG_ID)&amp;" of Int. Rate Differential / "&amp;S8</f>
        <v>Historical Ratio of Int. Rate Differential / ATM Implied Vol.</v>
      </c>
      <c r="AD33" s="100"/>
      <c r="AE33" s="100"/>
      <c r="AF33" s="100"/>
      <c r="AG33" s="100"/>
      <c r="AH33" s="100"/>
      <c r="AI33" s="100"/>
      <c r="AJ33" s="100"/>
      <c r="AK33" s="100"/>
      <c r="AL33" s="100"/>
      <c r="AM33" s="100"/>
      <c r="AN33" s="100"/>
      <c r="AO33" s="100"/>
      <c r="AP33" s="100"/>
      <c r="AQ33" s="100"/>
      <c r="BK33" s="97" t="e">
        <f>'Historical - Raw data'!AU29</f>
        <v>#N/A</v>
      </c>
      <c r="BL33" s="58" t="e">
        <f ca="1">'Historical - Raw data'!AV29</f>
        <v>#N/A</v>
      </c>
      <c r="BM33" s="58" t="e">
        <f ca="1">'Historical - Raw data'!AW29</f>
        <v>#N/A</v>
      </c>
      <c r="BN33" s="58" t="e">
        <f ca="1">'Historical - Raw data'!AX29</f>
        <v>#N/A</v>
      </c>
      <c r="BO33" s="58" t="e">
        <f ca="1">'Historical - Raw data'!AY29</f>
        <v>#N/A</v>
      </c>
      <c r="BP33" s="58" t="e">
        <f ca="1">'Historical - Raw data'!AZ29</f>
        <v>#N/A</v>
      </c>
      <c r="BQ33" s="58" t="e">
        <f ca="1">'Historical - Raw data'!BA29</f>
        <v>#N/A</v>
      </c>
      <c r="BR33" s="58" t="e">
        <f ca="1">'Historical - Raw data'!BB29</f>
        <v>#N/A</v>
      </c>
      <c r="BS33" s="58" t="e">
        <f ca="1">'Historical - Raw data'!BC29</f>
        <v>#N/A</v>
      </c>
      <c r="BT33" s="58" t="e">
        <f ca="1">'Historical - Raw data'!BD29</f>
        <v>#N/A</v>
      </c>
      <c r="BU33" s="58" t="e">
        <f ca="1">'Historical - Raw data'!BE29</f>
        <v>#N/A</v>
      </c>
      <c r="BV33" s="58" t="e">
        <f ca="1">'Historical - Raw data'!BF29</f>
        <v>#N/A</v>
      </c>
      <c r="BW33" s="58" t="e">
        <f ca="1">'Historical - Raw data'!BG29</f>
        <v>#N/A</v>
      </c>
      <c r="BZ33" s="4" t="s">
        <v>21</v>
      </c>
    </row>
    <row r="34" spans="4:78" ht="15" customHeight="1">
      <c r="BK34" s="97" t="e">
        <f>'Historical - Raw data'!AU29</f>
        <v>#N/A</v>
      </c>
      <c r="BL34" s="58" t="e">
        <f ca="1">'Historical - Raw data'!AV29</f>
        <v>#N/A</v>
      </c>
      <c r="BM34" s="58" t="e">
        <f ca="1">'Historical - Raw data'!AW29</f>
        <v>#N/A</v>
      </c>
      <c r="BN34" s="58" t="e">
        <f ca="1">'Historical - Raw data'!AX29</f>
        <v>#N/A</v>
      </c>
      <c r="BO34" s="58" t="e">
        <f ca="1">'Historical - Raw data'!AY29</f>
        <v>#N/A</v>
      </c>
      <c r="BP34" s="58" t="e">
        <f ca="1">'Historical - Raw data'!AZ29</f>
        <v>#N/A</v>
      </c>
      <c r="BQ34" s="58" t="e">
        <f ca="1">'Historical - Raw data'!BA29</f>
        <v>#N/A</v>
      </c>
      <c r="BR34" s="58" t="e">
        <f ca="1">'Historical - Raw data'!BB29</f>
        <v>#N/A</v>
      </c>
      <c r="BS34" s="58" t="e">
        <f ca="1">'Historical - Raw data'!BC29</f>
        <v>#N/A</v>
      </c>
      <c r="BT34" s="58" t="e">
        <f ca="1">'Historical - Raw data'!BD29</f>
        <v>#N/A</v>
      </c>
      <c r="BU34" s="58" t="e">
        <f ca="1">'Historical - Raw data'!BE29</f>
        <v>#N/A</v>
      </c>
      <c r="BV34" s="58" t="e">
        <f ca="1">'Historical - Raw data'!BF29</f>
        <v>#N/A</v>
      </c>
      <c r="BW34" s="58" t="e">
        <f ca="1">'Historical - Raw data'!BG29</f>
        <v>#N/A</v>
      </c>
    </row>
    <row r="35" spans="4:78" ht="15" customHeight="1">
      <c r="BK35" s="97" t="e">
        <f>'Historical - Raw data'!AU30</f>
        <v>#N/A</v>
      </c>
      <c r="BL35" s="58" t="e">
        <f ca="1">'Historical - Raw data'!AV30</f>
        <v>#N/A</v>
      </c>
      <c r="BM35" s="58" t="e">
        <f ca="1">'Historical - Raw data'!AW30</f>
        <v>#N/A</v>
      </c>
      <c r="BN35" s="58" t="e">
        <f ca="1">'Historical - Raw data'!AX30</f>
        <v>#N/A</v>
      </c>
      <c r="BO35" s="58" t="e">
        <f ca="1">'Historical - Raw data'!AY30</f>
        <v>#N/A</v>
      </c>
      <c r="BP35" s="58" t="e">
        <f ca="1">'Historical - Raw data'!AZ30</f>
        <v>#N/A</v>
      </c>
      <c r="BQ35" s="58" t="e">
        <f ca="1">'Historical - Raw data'!BA30</f>
        <v>#N/A</v>
      </c>
      <c r="BR35" s="58" t="e">
        <f ca="1">'Historical - Raw data'!BB30</f>
        <v>#N/A</v>
      </c>
      <c r="BS35" s="58" t="e">
        <f ca="1">'Historical - Raw data'!BC30</f>
        <v>#N/A</v>
      </c>
      <c r="BT35" s="58" t="e">
        <f ca="1">'Historical - Raw data'!BD30</f>
        <v>#N/A</v>
      </c>
      <c r="BU35" s="58" t="e">
        <f ca="1">'Historical - Raw data'!BE30</f>
        <v>#N/A</v>
      </c>
      <c r="BV35" s="58" t="e">
        <f ca="1">'Historical - Raw data'!BF30</f>
        <v>#N/A</v>
      </c>
      <c r="BW35" s="58" t="e">
        <f ca="1">'Historical - Raw data'!BG30</f>
        <v>#N/A</v>
      </c>
    </row>
    <row r="36" spans="4:78" ht="15" customHeight="1">
      <c r="BK36" s="97" t="e">
        <f>'Historical - Raw data'!AU31</f>
        <v>#N/A</v>
      </c>
      <c r="BL36" s="58" t="e">
        <f ca="1">'Historical - Raw data'!AV31</f>
        <v>#N/A</v>
      </c>
      <c r="BM36" s="58" t="e">
        <f ca="1">'Historical - Raw data'!AW31</f>
        <v>#N/A</v>
      </c>
      <c r="BN36" s="58" t="e">
        <f ca="1">'Historical - Raw data'!AX31</f>
        <v>#N/A</v>
      </c>
      <c r="BO36" s="58" t="e">
        <f ca="1">'Historical - Raw data'!AY31</f>
        <v>#N/A</v>
      </c>
      <c r="BP36" s="58" t="e">
        <f ca="1">'Historical - Raw data'!AZ31</f>
        <v>#N/A</v>
      </c>
      <c r="BQ36" s="58" t="e">
        <f ca="1">'Historical - Raw data'!BA31</f>
        <v>#N/A</v>
      </c>
      <c r="BR36" s="58" t="e">
        <f ca="1">'Historical - Raw data'!BB31</f>
        <v>#N/A</v>
      </c>
      <c r="BS36" s="58" t="e">
        <f ca="1">'Historical - Raw data'!BC31</f>
        <v>#N/A</v>
      </c>
      <c r="BT36" s="58" t="e">
        <f ca="1">'Historical - Raw data'!BD31</f>
        <v>#N/A</v>
      </c>
      <c r="BU36" s="58" t="e">
        <f ca="1">'Historical - Raw data'!BE31</f>
        <v>#N/A</v>
      </c>
      <c r="BV36" s="58" t="e">
        <f ca="1">'Historical - Raw data'!BF31</f>
        <v>#N/A</v>
      </c>
      <c r="BW36" s="58" t="e">
        <f ca="1">'Historical - Raw data'!BG31</f>
        <v>#N/A</v>
      </c>
    </row>
    <row r="37" spans="4:78" ht="15" customHeight="1">
      <c r="BK37" s="97" t="e">
        <f>'Historical - Raw data'!AU32</f>
        <v>#N/A</v>
      </c>
      <c r="BL37" s="58" t="e">
        <f ca="1">'Historical - Raw data'!AV32</f>
        <v>#N/A</v>
      </c>
      <c r="BM37" s="58" t="e">
        <f ca="1">'Historical - Raw data'!AW32</f>
        <v>#N/A</v>
      </c>
      <c r="BN37" s="58" t="e">
        <f ca="1">'Historical - Raw data'!AX32</f>
        <v>#N/A</v>
      </c>
      <c r="BO37" s="58" t="e">
        <f ca="1">'Historical - Raw data'!AY32</f>
        <v>#N/A</v>
      </c>
      <c r="BP37" s="58" t="e">
        <f ca="1">'Historical - Raw data'!AZ32</f>
        <v>#N/A</v>
      </c>
      <c r="BQ37" s="58" t="e">
        <f ca="1">'Historical - Raw data'!BA32</f>
        <v>#N/A</v>
      </c>
      <c r="BR37" s="58" t="e">
        <f ca="1">'Historical - Raw data'!BB32</f>
        <v>#N/A</v>
      </c>
      <c r="BS37" s="58" t="e">
        <f ca="1">'Historical - Raw data'!BC32</f>
        <v>#N/A</v>
      </c>
      <c r="BT37" s="58" t="e">
        <f ca="1">'Historical - Raw data'!BD32</f>
        <v>#N/A</v>
      </c>
      <c r="BU37" s="58" t="e">
        <f ca="1">'Historical - Raw data'!BE32</f>
        <v>#N/A</v>
      </c>
      <c r="BV37" s="58" t="e">
        <f ca="1">'Historical - Raw data'!BF32</f>
        <v>#N/A</v>
      </c>
      <c r="BW37" s="58" t="e">
        <f ca="1">'Historical - Raw data'!BG32</f>
        <v>#N/A</v>
      </c>
    </row>
    <row r="38" spans="4:78" ht="15" customHeight="1">
      <c r="BK38" s="97" t="e">
        <f>'Historical - Raw data'!AU33</f>
        <v>#N/A</v>
      </c>
      <c r="BL38" s="58" t="e">
        <f ca="1">'Historical - Raw data'!AV33</f>
        <v>#N/A</v>
      </c>
      <c r="BM38" s="58" t="e">
        <f ca="1">'Historical - Raw data'!AW33</f>
        <v>#N/A</v>
      </c>
      <c r="BN38" s="58" t="e">
        <f ca="1">'Historical - Raw data'!AX33</f>
        <v>#N/A</v>
      </c>
      <c r="BO38" s="58" t="e">
        <f ca="1">'Historical - Raw data'!AY33</f>
        <v>#N/A</v>
      </c>
      <c r="BP38" s="58" t="e">
        <f ca="1">'Historical - Raw data'!AZ33</f>
        <v>#N/A</v>
      </c>
      <c r="BQ38" s="58" t="e">
        <f ca="1">'Historical - Raw data'!BA33</f>
        <v>#N/A</v>
      </c>
      <c r="BR38" s="58" t="e">
        <f ca="1">'Historical - Raw data'!BB33</f>
        <v>#N/A</v>
      </c>
      <c r="BS38" s="58" t="e">
        <f ca="1">'Historical - Raw data'!BC33</f>
        <v>#N/A</v>
      </c>
      <c r="BT38" s="58" t="e">
        <f ca="1">'Historical - Raw data'!BD33</f>
        <v>#N/A</v>
      </c>
      <c r="BU38" s="58" t="e">
        <f ca="1">'Historical - Raw data'!BE33</f>
        <v>#N/A</v>
      </c>
      <c r="BV38" s="58" t="e">
        <f ca="1">'Historical - Raw data'!BF33</f>
        <v>#N/A</v>
      </c>
      <c r="BW38" s="58" t="e">
        <f ca="1">'Historical - Raw data'!BG33</f>
        <v>#N/A</v>
      </c>
    </row>
    <row r="39" spans="4:78" ht="15" customHeight="1">
      <c r="BK39" s="97" t="e">
        <f>'Historical - Raw data'!AU34</f>
        <v>#N/A</v>
      </c>
      <c r="BL39" s="58" t="e">
        <f ca="1">'Historical - Raw data'!AV34</f>
        <v>#N/A</v>
      </c>
      <c r="BM39" s="58" t="e">
        <f ca="1">'Historical - Raw data'!AW34</f>
        <v>#N/A</v>
      </c>
      <c r="BN39" s="58" t="e">
        <f ca="1">'Historical - Raw data'!AX34</f>
        <v>#N/A</v>
      </c>
      <c r="BO39" s="58" t="e">
        <f ca="1">'Historical - Raw data'!AY34</f>
        <v>#N/A</v>
      </c>
      <c r="BP39" s="58" t="e">
        <f ca="1">'Historical - Raw data'!AZ34</f>
        <v>#N/A</v>
      </c>
      <c r="BQ39" s="58" t="e">
        <f ca="1">'Historical - Raw data'!BA34</f>
        <v>#N/A</v>
      </c>
      <c r="BR39" s="58" t="e">
        <f ca="1">'Historical - Raw data'!BB34</f>
        <v>#N/A</v>
      </c>
      <c r="BS39" s="58" t="e">
        <f ca="1">'Historical - Raw data'!BC34</f>
        <v>#N/A</v>
      </c>
      <c r="BT39" s="58" t="e">
        <f ca="1">'Historical - Raw data'!BD34</f>
        <v>#N/A</v>
      </c>
      <c r="BU39" s="58" t="e">
        <f ca="1">'Historical - Raw data'!BE34</f>
        <v>#N/A</v>
      </c>
      <c r="BV39" s="58" t="e">
        <f ca="1">'Historical - Raw data'!BF34</f>
        <v>#N/A</v>
      </c>
      <c r="BW39" s="58" t="e">
        <f ca="1">'Historical - Raw data'!BG34</f>
        <v>#N/A</v>
      </c>
    </row>
    <row r="40" spans="4:78" ht="15" customHeight="1">
      <c r="BK40" s="97" t="e">
        <f>'Historical - Raw data'!AU35</f>
        <v>#N/A</v>
      </c>
      <c r="BL40" s="58" t="e">
        <f ca="1">'Historical - Raw data'!AV35</f>
        <v>#N/A</v>
      </c>
      <c r="BM40" s="58" t="e">
        <f ca="1">'Historical - Raw data'!AW35</f>
        <v>#N/A</v>
      </c>
      <c r="BN40" s="58" t="e">
        <f ca="1">'Historical - Raw data'!AX35</f>
        <v>#N/A</v>
      </c>
      <c r="BO40" s="58" t="e">
        <f ca="1">'Historical - Raw data'!AY35</f>
        <v>#N/A</v>
      </c>
      <c r="BP40" s="58" t="e">
        <f ca="1">'Historical - Raw data'!AZ35</f>
        <v>#N/A</v>
      </c>
      <c r="BQ40" s="58" t="e">
        <f ca="1">'Historical - Raw data'!BA35</f>
        <v>#N/A</v>
      </c>
      <c r="BR40" s="58" t="e">
        <f ca="1">'Historical - Raw data'!BB35</f>
        <v>#N/A</v>
      </c>
      <c r="BS40" s="58" t="e">
        <f ca="1">'Historical - Raw data'!BC35</f>
        <v>#N/A</v>
      </c>
      <c r="BT40" s="58" t="e">
        <f ca="1">'Historical - Raw data'!BD35</f>
        <v>#N/A</v>
      </c>
      <c r="BU40" s="58" t="e">
        <f ca="1">'Historical - Raw data'!BE35</f>
        <v>#N/A</v>
      </c>
      <c r="BV40" s="58" t="e">
        <f ca="1">'Historical - Raw data'!BF35</f>
        <v>#N/A</v>
      </c>
      <c r="BW40" s="58" t="e">
        <f ca="1">'Historical - Raw data'!BG35</f>
        <v>#N/A</v>
      </c>
    </row>
    <row r="41" spans="4:78" ht="15" customHeight="1">
      <c r="BK41" s="97" t="e">
        <f>'Historical - Raw data'!AU36</f>
        <v>#N/A</v>
      </c>
      <c r="BL41" s="58" t="e">
        <f ca="1">'Historical - Raw data'!AV36</f>
        <v>#N/A</v>
      </c>
      <c r="BM41" s="58" t="e">
        <f ca="1">'Historical - Raw data'!AW36</f>
        <v>#N/A</v>
      </c>
      <c r="BN41" s="58" t="e">
        <f ca="1">'Historical - Raw data'!AX36</f>
        <v>#N/A</v>
      </c>
      <c r="BO41" s="58" t="e">
        <f ca="1">'Historical - Raw data'!AY36</f>
        <v>#N/A</v>
      </c>
      <c r="BP41" s="58" t="e">
        <f ca="1">'Historical - Raw data'!AZ36</f>
        <v>#N/A</v>
      </c>
      <c r="BQ41" s="58" t="e">
        <f ca="1">'Historical - Raw data'!BA36</f>
        <v>#N/A</v>
      </c>
      <c r="BR41" s="58" t="e">
        <f ca="1">'Historical - Raw data'!BB36</f>
        <v>#N/A</v>
      </c>
      <c r="BS41" s="58" t="e">
        <f ca="1">'Historical - Raw data'!BC36</f>
        <v>#N/A</v>
      </c>
      <c r="BT41" s="58" t="e">
        <f ca="1">'Historical - Raw data'!BD36</f>
        <v>#N/A</v>
      </c>
      <c r="BU41" s="58" t="e">
        <f ca="1">'Historical - Raw data'!BE36</f>
        <v>#N/A</v>
      </c>
      <c r="BV41" s="58" t="e">
        <f ca="1">'Historical - Raw data'!BF36</f>
        <v>#N/A</v>
      </c>
      <c r="BW41" s="58" t="e">
        <f ca="1">'Historical - Raw data'!BG36</f>
        <v>#N/A</v>
      </c>
    </row>
    <row r="42" spans="4:78" ht="15" customHeight="1">
      <c r="BK42" s="97" t="e">
        <f>'Historical - Raw data'!AU37</f>
        <v>#N/A</v>
      </c>
      <c r="BL42" s="58" t="e">
        <f ca="1">'Historical - Raw data'!AV37</f>
        <v>#N/A</v>
      </c>
      <c r="BM42" s="58" t="e">
        <f ca="1">'Historical - Raw data'!AW37</f>
        <v>#N/A</v>
      </c>
      <c r="BN42" s="58" t="e">
        <f ca="1">'Historical - Raw data'!AX37</f>
        <v>#N/A</v>
      </c>
      <c r="BO42" s="58" t="e">
        <f ca="1">'Historical - Raw data'!AY37</f>
        <v>#N/A</v>
      </c>
      <c r="BP42" s="58" t="e">
        <f ca="1">'Historical - Raw data'!AZ37</f>
        <v>#N/A</v>
      </c>
      <c r="BQ42" s="58" t="e">
        <f ca="1">'Historical - Raw data'!BA37</f>
        <v>#N/A</v>
      </c>
      <c r="BR42" s="58" t="e">
        <f ca="1">'Historical - Raw data'!BB37</f>
        <v>#N/A</v>
      </c>
      <c r="BS42" s="58" t="e">
        <f ca="1">'Historical - Raw data'!BC37</f>
        <v>#N/A</v>
      </c>
      <c r="BT42" s="58" t="e">
        <f ca="1">'Historical - Raw data'!BD37</f>
        <v>#N/A</v>
      </c>
      <c r="BU42" s="58" t="e">
        <f ca="1">'Historical - Raw data'!BE37</f>
        <v>#N/A</v>
      </c>
      <c r="BV42" s="58" t="e">
        <f ca="1">'Historical - Raw data'!BF37</f>
        <v>#N/A</v>
      </c>
      <c r="BW42" s="58" t="e">
        <f ca="1">'Historical - Raw data'!BG37</f>
        <v>#N/A</v>
      </c>
    </row>
    <row r="43" spans="4:78" ht="15" customHeight="1">
      <c r="BK43" s="97" t="e">
        <f>'Historical - Raw data'!AU38</f>
        <v>#N/A</v>
      </c>
      <c r="BL43" s="58" t="e">
        <f ca="1">'Historical - Raw data'!AV38</f>
        <v>#N/A</v>
      </c>
      <c r="BM43" s="58" t="e">
        <f ca="1">'Historical - Raw data'!AW38</f>
        <v>#N/A</v>
      </c>
      <c r="BN43" s="58" t="e">
        <f ca="1">'Historical - Raw data'!AX38</f>
        <v>#N/A</v>
      </c>
      <c r="BO43" s="58" t="e">
        <f ca="1">'Historical - Raw data'!AY38</f>
        <v>#N/A</v>
      </c>
      <c r="BP43" s="58" t="e">
        <f ca="1">'Historical - Raw data'!AZ38</f>
        <v>#N/A</v>
      </c>
      <c r="BQ43" s="58" t="e">
        <f ca="1">'Historical - Raw data'!BA38</f>
        <v>#N/A</v>
      </c>
      <c r="BR43" s="58" t="e">
        <f ca="1">'Historical - Raw data'!BB38</f>
        <v>#N/A</v>
      </c>
      <c r="BS43" s="58" t="e">
        <f ca="1">'Historical - Raw data'!BC38</f>
        <v>#N/A</v>
      </c>
      <c r="BT43" s="58" t="e">
        <f ca="1">'Historical - Raw data'!BD38</f>
        <v>#N/A</v>
      </c>
      <c r="BU43" s="58" t="e">
        <f ca="1">'Historical - Raw data'!BE38</f>
        <v>#N/A</v>
      </c>
      <c r="BV43" s="58" t="e">
        <f ca="1">'Historical - Raw data'!BF38</f>
        <v>#N/A</v>
      </c>
      <c r="BW43" s="58" t="e">
        <f ca="1">'Historical - Raw data'!BG38</f>
        <v>#N/A</v>
      </c>
    </row>
    <row r="44" spans="4:78" ht="15" customHeight="1">
      <c r="BK44" s="97" t="e">
        <f>'Historical - Raw data'!AU39</f>
        <v>#N/A</v>
      </c>
      <c r="BL44" s="58" t="e">
        <f ca="1">'Historical - Raw data'!AV39</f>
        <v>#N/A</v>
      </c>
      <c r="BM44" s="58" t="e">
        <f ca="1">'Historical - Raw data'!AW39</f>
        <v>#N/A</v>
      </c>
      <c r="BN44" s="58" t="e">
        <f ca="1">'Historical - Raw data'!AX39</f>
        <v>#N/A</v>
      </c>
      <c r="BO44" s="58" t="e">
        <f ca="1">'Historical - Raw data'!AY39</f>
        <v>#N/A</v>
      </c>
      <c r="BP44" s="58" t="e">
        <f ca="1">'Historical - Raw data'!AZ39</f>
        <v>#N/A</v>
      </c>
      <c r="BQ44" s="58" t="e">
        <f ca="1">'Historical - Raw data'!BA39</f>
        <v>#N/A</v>
      </c>
      <c r="BR44" s="58" t="e">
        <f ca="1">'Historical - Raw data'!BB39</f>
        <v>#N/A</v>
      </c>
      <c r="BS44" s="58" t="e">
        <f ca="1">'Historical - Raw data'!BC39</f>
        <v>#N/A</v>
      </c>
      <c r="BT44" s="58" t="e">
        <f ca="1">'Historical - Raw data'!BD39</f>
        <v>#N/A</v>
      </c>
      <c r="BU44" s="58" t="e">
        <f ca="1">'Historical - Raw data'!BE39</f>
        <v>#N/A</v>
      </c>
      <c r="BV44" s="58" t="e">
        <f ca="1">'Historical - Raw data'!BF39</f>
        <v>#N/A</v>
      </c>
      <c r="BW44" s="58" t="e">
        <f ca="1">'Historical - Raw data'!BG39</f>
        <v>#N/A</v>
      </c>
    </row>
    <row r="45" spans="4:78" ht="15" customHeight="1">
      <c r="BK45" s="97" t="e">
        <f>'Historical - Raw data'!AU40</f>
        <v>#N/A</v>
      </c>
      <c r="BL45" s="58" t="e">
        <f ca="1">'Historical - Raw data'!AV40</f>
        <v>#N/A</v>
      </c>
      <c r="BM45" s="58" t="e">
        <f ca="1">'Historical - Raw data'!AW40</f>
        <v>#N/A</v>
      </c>
      <c r="BN45" s="58" t="e">
        <f ca="1">'Historical - Raw data'!AX40</f>
        <v>#N/A</v>
      </c>
      <c r="BO45" s="58" t="e">
        <f ca="1">'Historical - Raw data'!AY40</f>
        <v>#N/A</v>
      </c>
      <c r="BP45" s="58" t="e">
        <f ca="1">'Historical - Raw data'!AZ40</f>
        <v>#N/A</v>
      </c>
      <c r="BQ45" s="58" t="e">
        <f ca="1">'Historical - Raw data'!BA40</f>
        <v>#N/A</v>
      </c>
      <c r="BR45" s="58" t="e">
        <f ca="1">'Historical - Raw data'!BB40</f>
        <v>#N/A</v>
      </c>
      <c r="BS45" s="58" t="e">
        <f ca="1">'Historical - Raw data'!BC40</f>
        <v>#N/A</v>
      </c>
      <c r="BT45" s="58" t="e">
        <f ca="1">'Historical - Raw data'!BD40</f>
        <v>#N/A</v>
      </c>
      <c r="BU45" s="58" t="e">
        <f ca="1">'Historical - Raw data'!BE40</f>
        <v>#N/A</v>
      </c>
      <c r="BV45" s="58" t="e">
        <f ca="1">'Historical - Raw data'!BF40</f>
        <v>#N/A</v>
      </c>
      <c r="BW45" s="58" t="e">
        <f ca="1">'Historical - Raw data'!BG40</f>
        <v>#N/A</v>
      </c>
    </row>
    <row r="46" spans="4:78" ht="15" customHeight="1">
      <c r="BK46" s="97" t="e">
        <f>'Historical - Raw data'!AU41</f>
        <v>#N/A</v>
      </c>
      <c r="BL46" s="58" t="e">
        <f ca="1">'Historical - Raw data'!AV41</f>
        <v>#N/A</v>
      </c>
      <c r="BM46" s="58" t="e">
        <f ca="1">'Historical - Raw data'!AW41</f>
        <v>#N/A</v>
      </c>
      <c r="BN46" s="58" t="e">
        <f ca="1">'Historical - Raw data'!AX41</f>
        <v>#N/A</v>
      </c>
      <c r="BO46" s="58" t="e">
        <f ca="1">'Historical - Raw data'!AY41</f>
        <v>#N/A</v>
      </c>
      <c r="BP46" s="58" t="e">
        <f ca="1">'Historical - Raw data'!AZ41</f>
        <v>#N/A</v>
      </c>
      <c r="BQ46" s="58" t="e">
        <f ca="1">'Historical - Raw data'!BA41</f>
        <v>#N/A</v>
      </c>
      <c r="BR46" s="58" t="e">
        <f ca="1">'Historical - Raw data'!BB41</f>
        <v>#N/A</v>
      </c>
      <c r="BS46" s="58" t="e">
        <f ca="1">'Historical - Raw data'!BC41</f>
        <v>#N/A</v>
      </c>
      <c r="BT46" s="58" t="e">
        <f ca="1">'Historical - Raw data'!BD41</f>
        <v>#N/A</v>
      </c>
      <c r="BU46" s="58" t="e">
        <f ca="1">'Historical - Raw data'!BE41</f>
        <v>#N/A</v>
      </c>
      <c r="BV46" s="58" t="e">
        <f ca="1">'Historical - Raw data'!BF41</f>
        <v>#N/A</v>
      </c>
      <c r="BW46" s="58" t="e">
        <f ca="1">'Historical - Raw data'!BG41</f>
        <v>#N/A</v>
      </c>
    </row>
    <row r="47" spans="4:78" ht="15" customHeight="1">
      <c r="BK47" s="97" t="e">
        <f>'Historical - Raw data'!AU42</f>
        <v>#N/A</v>
      </c>
      <c r="BL47" s="58" t="e">
        <f ca="1">'Historical - Raw data'!AV42</f>
        <v>#N/A</v>
      </c>
      <c r="BM47" s="58" t="e">
        <f ca="1">'Historical - Raw data'!AW42</f>
        <v>#N/A</v>
      </c>
      <c r="BN47" s="58" t="e">
        <f ca="1">'Historical - Raw data'!AX42</f>
        <v>#N/A</v>
      </c>
      <c r="BO47" s="58" t="e">
        <f ca="1">'Historical - Raw data'!AY42</f>
        <v>#N/A</v>
      </c>
      <c r="BP47" s="58" t="e">
        <f ca="1">'Historical - Raw data'!AZ42</f>
        <v>#N/A</v>
      </c>
      <c r="BQ47" s="58" t="e">
        <f ca="1">'Historical - Raw data'!BA42</f>
        <v>#N/A</v>
      </c>
      <c r="BR47" s="58" t="e">
        <f ca="1">'Historical - Raw data'!BB42</f>
        <v>#N/A</v>
      </c>
      <c r="BS47" s="58" t="e">
        <f ca="1">'Historical - Raw data'!BC42</f>
        <v>#N/A</v>
      </c>
      <c r="BT47" s="58" t="e">
        <f ca="1">'Historical - Raw data'!BD42</f>
        <v>#N/A</v>
      </c>
      <c r="BU47" s="58" t="e">
        <f ca="1">'Historical - Raw data'!BE42</f>
        <v>#N/A</v>
      </c>
      <c r="BV47" s="58" t="e">
        <f ca="1">'Historical - Raw data'!BF42</f>
        <v>#N/A</v>
      </c>
      <c r="BW47" s="58" t="e">
        <f ca="1">'Historical - Raw data'!BG42</f>
        <v>#N/A</v>
      </c>
    </row>
    <row r="48" spans="4:78" ht="15" customHeight="1">
      <c r="BK48" s="97" t="e">
        <f>'Historical - Raw data'!AU43</f>
        <v>#N/A</v>
      </c>
      <c r="BL48" s="58" t="e">
        <f ca="1">'Historical - Raw data'!AV43</f>
        <v>#N/A</v>
      </c>
      <c r="BM48" s="58" t="e">
        <f ca="1">'Historical - Raw data'!AW43</f>
        <v>#N/A</v>
      </c>
      <c r="BN48" s="58" t="e">
        <f ca="1">'Historical - Raw data'!AX43</f>
        <v>#N/A</v>
      </c>
      <c r="BO48" s="58" t="e">
        <f ca="1">'Historical - Raw data'!AY43</f>
        <v>#N/A</v>
      </c>
      <c r="BP48" s="58" t="e">
        <f ca="1">'Historical - Raw data'!AZ43</f>
        <v>#N/A</v>
      </c>
      <c r="BQ48" s="58" t="e">
        <f ca="1">'Historical - Raw data'!BA43</f>
        <v>#N/A</v>
      </c>
      <c r="BR48" s="58" t="e">
        <f ca="1">'Historical - Raw data'!BB43</f>
        <v>#N/A</v>
      </c>
      <c r="BS48" s="58" t="e">
        <f ca="1">'Historical - Raw data'!BC43</f>
        <v>#N/A</v>
      </c>
      <c r="BT48" s="58" t="e">
        <f ca="1">'Historical - Raw data'!BD43</f>
        <v>#N/A</v>
      </c>
      <c r="BU48" s="58" t="e">
        <f ca="1">'Historical - Raw data'!BE43</f>
        <v>#N/A</v>
      </c>
      <c r="BV48" s="58" t="e">
        <f ca="1">'Historical - Raw data'!BF43</f>
        <v>#N/A</v>
      </c>
      <c r="BW48" s="58" t="e">
        <f ca="1">'Historical - Raw data'!BG43</f>
        <v>#N/A</v>
      </c>
    </row>
    <row r="49" spans="63:75" ht="15" customHeight="1">
      <c r="BK49" s="97" t="e">
        <f>'Historical - Raw data'!AU44</f>
        <v>#N/A</v>
      </c>
      <c r="BL49" s="58" t="e">
        <f ca="1">'Historical - Raw data'!AV44</f>
        <v>#N/A</v>
      </c>
      <c r="BM49" s="58" t="e">
        <f ca="1">'Historical - Raw data'!AW44</f>
        <v>#N/A</v>
      </c>
      <c r="BN49" s="58" t="e">
        <f ca="1">'Historical - Raw data'!AX44</f>
        <v>#N/A</v>
      </c>
      <c r="BO49" s="58" t="e">
        <f ca="1">'Historical - Raw data'!AY44</f>
        <v>#N/A</v>
      </c>
      <c r="BP49" s="58" t="e">
        <f ca="1">'Historical - Raw data'!AZ44</f>
        <v>#N/A</v>
      </c>
      <c r="BQ49" s="58" t="e">
        <f ca="1">'Historical - Raw data'!BA44</f>
        <v>#N/A</v>
      </c>
      <c r="BR49" s="58" t="e">
        <f ca="1">'Historical - Raw data'!BB44</f>
        <v>#N/A</v>
      </c>
      <c r="BS49" s="58" t="e">
        <f ca="1">'Historical - Raw data'!BC44</f>
        <v>#N/A</v>
      </c>
      <c r="BT49" s="58" t="e">
        <f ca="1">'Historical - Raw data'!BD44</f>
        <v>#N/A</v>
      </c>
      <c r="BU49" s="58" t="e">
        <f ca="1">'Historical - Raw data'!BE44</f>
        <v>#N/A</v>
      </c>
      <c r="BV49" s="58" t="e">
        <f ca="1">'Historical - Raw data'!BF44</f>
        <v>#N/A</v>
      </c>
      <c r="BW49" s="58" t="e">
        <f ca="1">'Historical - Raw data'!BG44</f>
        <v>#N/A</v>
      </c>
    </row>
    <row r="50" spans="63:75" ht="15" customHeight="1">
      <c r="BK50" s="97" t="e">
        <f>'Historical - Raw data'!AU45</f>
        <v>#N/A</v>
      </c>
      <c r="BL50" s="58" t="e">
        <f ca="1">'Historical - Raw data'!AV45</f>
        <v>#N/A</v>
      </c>
      <c r="BM50" s="58" t="e">
        <f ca="1">'Historical - Raw data'!AW45</f>
        <v>#N/A</v>
      </c>
      <c r="BN50" s="58" t="e">
        <f ca="1">'Historical - Raw data'!AX45</f>
        <v>#N/A</v>
      </c>
      <c r="BO50" s="58" t="e">
        <f ca="1">'Historical - Raw data'!AY45</f>
        <v>#N/A</v>
      </c>
      <c r="BP50" s="58" t="e">
        <f ca="1">'Historical - Raw data'!AZ45</f>
        <v>#N/A</v>
      </c>
      <c r="BQ50" s="58" t="e">
        <f ca="1">'Historical - Raw data'!BA45</f>
        <v>#N/A</v>
      </c>
      <c r="BR50" s="58" t="e">
        <f ca="1">'Historical - Raw data'!BB45</f>
        <v>#N/A</v>
      </c>
      <c r="BS50" s="58" t="e">
        <f ca="1">'Historical - Raw data'!BC45</f>
        <v>#N/A</v>
      </c>
      <c r="BT50" s="58" t="e">
        <f ca="1">'Historical - Raw data'!BD45</f>
        <v>#N/A</v>
      </c>
      <c r="BU50" s="58" t="e">
        <f ca="1">'Historical - Raw data'!BE45</f>
        <v>#N/A</v>
      </c>
      <c r="BV50" s="58" t="e">
        <f ca="1">'Historical - Raw data'!BF45</f>
        <v>#N/A</v>
      </c>
      <c r="BW50" s="58" t="e">
        <f ca="1">'Historical - Raw data'!BG45</f>
        <v>#N/A</v>
      </c>
    </row>
    <row r="51" spans="63:75" ht="15" customHeight="1">
      <c r="BK51" s="97" t="e">
        <f>'Historical - Raw data'!AU46</f>
        <v>#N/A</v>
      </c>
      <c r="BL51" s="58" t="e">
        <f ca="1">'Historical - Raw data'!AV46</f>
        <v>#N/A</v>
      </c>
      <c r="BM51" s="58" t="e">
        <f ca="1">'Historical - Raw data'!AW46</f>
        <v>#N/A</v>
      </c>
      <c r="BN51" s="58" t="e">
        <f ca="1">'Historical - Raw data'!AX46</f>
        <v>#N/A</v>
      </c>
      <c r="BO51" s="58" t="e">
        <f ca="1">'Historical - Raw data'!AY46</f>
        <v>#N/A</v>
      </c>
      <c r="BP51" s="58" t="e">
        <f ca="1">'Historical - Raw data'!AZ46</f>
        <v>#N/A</v>
      </c>
      <c r="BQ51" s="58" t="e">
        <f ca="1">'Historical - Raw data'!BA46</f>
        <v>#N/A</v>
      </c>
      <c r="BR51" s="58" t="e">
        <f ca="1">'Historical - Raw data'!BB46</f>
        <v>#N/A</v>
      </c>
      <c r="BS51" s="58" t="e">
        <f ca="1">'Historical - Raw data'!BC46</f>
        <v>#N/A</v>
      </c>
      <c r="BT51" s="58" t="e">
        <f ca="1">'Historical - Raw data'!BD46</f>
        <v>#N/A</v>
      </c>
      <c r="BU51" s="58" t="e">
        <f ca="1">'Historical - Raw data'!BE46</f>
        <v>#N/A</v>
      </c>
      <c r="BV51" s="58" t="e">
        <f ca="1">'Historical - Raw data'!BF46</f>
        <v>#N/A</v>
      </c>
      <c r="BW51" s="58" t="e">
        <f ca="1">'Historical - Raw data'!BG46</f>
        <v>#N/A</v>
      </c>
    </row>
    <row r="52" spans="63:75" ht="15" customHeight="1">
      <c r="BK52" s="97" t="e">
        <f>'Historical - Raw data'!AU47</f>
        <v>#N/A</v>
      </c>
      <c r="BL52" s="58" t="e">
        <f ca="1">'Historical - Raw data'!AV47</f>
        <v>#N/A</v>
      </c>
      <c r="BM52" s="58" t="e">
        <f ca="1">'Historical - Raw data'!AW47</f>
        <v>#N/A</v>
      </c>
      <c r="BN52" s="58" t="e">
        <f ca="1">'Historical - Raw data'!AX47</f>
        <v>#N/A</v>
      </c>
      <c r="BO52" s="58" t="e">
        <f ca="1">'Historical - Raw data'!AY47</f>
        <v>#N/A</v>
      </c>
      <c r="BP52" s="58" t="e">
        <f ca="1">'Historical - Raw data'!AZ47</f>
        <v>#N/A</v>
      </c>
      <c r="BQ52" s="58" t="e">
        <f ca="1">'Historical - Raw data'!BA47</f>
        <v>#N/A</v>
      </c>
      <c r="BR52" s="58" t="e">
        <f ca="1">'Historical - Raw data'!BB47</f>
        <v>#N/A</v>
      </c>
      <c r="BS52" s="58" t="e">
        <f ca="1">'Historical - Raw data'!BC47</f>
        <v>#N/A</v>
      </c>
      <c r="BT52" s="58" t="e">
        <f ca="1">'Historical - Raw data'!BD47</f>
        <v>#N/A</v>
      </c>
      <c r="BU52" s="58" t="e">
        <f ca="1">'Historical - Raw data'!BE47</f>
        <v>#N/A</v>
      </c>
      <c r="BV52" s="58" t="e">
        <f ca="1">'Historical - Raw data'!BF47</f>
        <v>#N/A</v>
      </c>
      <c r="BW52" s="58" t="e">
        <f ca="1">'Historical - Raw data'!BG47</f>
        <v>#N/A</v>
      </c>
    </row>
    <row r="53" spans="63:75" ht="15" customHeight="1">
      <c r="BK53" s="97" t="e">
        <f>'Historical - Raw data'!AU48</f>
        <v>#N/A</v>
      </c>
      <c r="BL53" s="58" t="e">
        <f ca="1">'Historical - Raw data'!AV48</f>
        <v>#N/A</v>
      </c>
      <c r="BM53" s="58" t="e">
        <f ca="1">'Historical - Raw data'!AW48</f>
        <v>#N/A</v>
      </c>
      <c r="BN53" s="58" t="e">
        <f ca="1">'Historical - Raw data'!AX48</f>
        <v>#N/A</v>
      </c>
      <c r="BO53" s="58" t="e">
        <f ca="1">'Historical - Raw data'!AY48</f>
        <v>#N/A</v>
      </c>
      <c r="BP53" s="58" t="e">
        <f ca="1">'Historical - Raw data'!AZ48</f>
        <v>#N/A</v>
      </c>
      <c r="BQ53" s="58" t="e">
        <f ca="1">'Historical - Raw data'!BA48</f>
        <v>#N/A</v>
      </c>
      <c r="BR53" s="58" t="e">
        <f ca="1">'Historical - Raw data'!BB48</f>
        <v>#N/A</v>
      </c>
      <c r="BS53" s="58" t="e">
        <f ca="1">'Historical - Raw data'!BC48</f>
        <v>#N/A</v>
      </c>
      <c r="BT53" s="58" t="e">
        <f ca="1">'Historical - Raw data'!BD48</f>
        <v>#N/A</v>
      </c>
      <c r="BU53" s="58" t="e">
        <f ca="1">'Historical - Raw data'!BE48</f>
        <v>#N/A</v>
      </c>
      <c r="BV53" s="58" t="e">
        <f ca="1">'Historical - Raw data'!BF48</f>
        <v>#N/A</v>
      </c>
      <c r="BW53" s="58" t="e">
        <f ca="1">'Historical - Raw data'!BG48</f>
        <v>#N/A</v>
      </c>
    </row>
    <row r="54" spans="63:75" ht="15" customHeight="1">
      <c r="BK54" s="97" t="e">
        <f>'Historical - Raw data'!AU49</f>
        <v>#N/A</v>
      </c>
      <c r="BL54" s="58" t="e">
        <f ca="1">'Historical - Raw data'!AV49</f>
        <v>#N/A</v>
      </c>
      <c r="BM54" s="58" t="e">
        <f ca="1">'Historical - Raw data'!AW49</f>
        <v>#N/A</v>
      </c>
      <c r="BN54" s="58" t="e">
        <f ca="1">'Historical - Raw data'!AX49</f>
        <v>#N/A</v>
      </c>
      <c r="BO54" s="58" t="e">
        <f ca="1">'Historical - Raw data'!AY49</f>
        <v>#N/A</v>
      </c>
      <c r="BP54" s="58" t="e">
        <f ca="1">'Historical - Raw data'!AZ49</f>
        <v>#N/A</v>
      </c>
      <c r="BQ54" s="58" t="e">
        <f ca="1">'Historical - Raw data'!BA49</f>
        <v>#N/A</v>
      </c>
      <c r="BR54" s="58" t="e">
        <f ca="1">'Historical - Raw data'!BB49</f>
        <v>#N/A</v>
      </c>
      <c r="BS54" s="58" t="e">
        <f ca="1">'Historical - Raw data'!BC49</f>
        <v>#N/A</v>
      </c>
      <c r="BT54" s="58" t="e">
        <f ca="1">'Historical - Raw data'!BD49</f>
        <v>#N/A</v>
      </c>
      <c r="BU54" s="58" t="e">
        <f ca="1">'Historical - Raw data'!BE49</f>
        <v>#N/A</v>
      </c>
      <c r="BV54" s="58" t="e">
        <f ca="1">'Historical - Raw data'!BF49</f>
        <v>#N/A</v>
      </c>
      <c r="BW54" s="58" t="e">
        <f ca="1">'Historical - Raw data'!BG49</f>
        <v>#N/A</v>
      </c>
    </row>
    <row r="55" spans="63:75" ht="15" customHeight="1">
      <c r="BK55" s="97" t="e">
        <f>'Historical - Raw data'!AU50</f>
        <v>#N/A</v>
      </c>
      <c r="BL55" s="58" t="e">
        <f ca="1">'Historical - Raw data'!AV50</f>
        <v>#N/A</v>
      </c>
      <c r="BM55" s="58" t="e">
        <f ca="1">'Historical - Raw data'!AW50</f>
        <v>#N/A</v>
      </c>
      <c r="BN55" s="58" t="e">
        <f ca="1">'Historical - Raw data'!AX50</f>
        <v>#N/A</v>
      </c>
      <c r="BO55" s="58" t="e">
        <f ca="1">'Historical - Raw data'!AY50</f>
        <v>#N/A</v>
      </c>
      <c r="BP55" s="58" t="e">
        <f ca="1">'Historical - Raw data'!AZ50</f>
        <v>#N/A</v>
      </c>
      <c r="BQ55" s="58" t="e">
        <f ca="1">'Historical - Raw data'!BA50</f>
        <v>#N/A</v>
      </c>
      <c r="BR55" s="58" t="e">
        <f ca="1">'Historical - Raw data'!BB50</f>
        <v>#N/A</v>
      </c>
      <c r="BS55" s="58" t="e">
        <f ca="1">'Historical - Raw data'!BC50</f>
        <v>#N/A</v>
      </c>
      <c r="BT55" s="58" t="e">
        <f ca="1">'Historical - Raw data'!BD50</f>
        <v>#N/A</v>
      </c>
      <c r="BU55" s="58" t="e">
        <f ca="1">'Historical - Raw data'!BE50</f>
        <v>#N/A</v>
      </c>
      <c r="BV55" s="58" t="e">
        <f ca="1">'Historical - Raw data'!BF50</f>
        <v>#N/A</v>
      </c>
      <c r="BW55" s="58" t="e">
        <f ca="1">'Historical - Raw data'!BG50</f>
        <v>#N/A</v>
      </c>
    </row>
    <row r="56" spans="63:75" ht="15" customHeight="1">
      <c r="BK56" s="97" t="e">
        <f>'Historical - Raw data'!AU51</f>
        <v>#N/A</v>
      </c>
      <c r="BL56" s="58" t="e">
        <f ca="1">'Historical - Raw data'!AV51</f>
        <v>#N/A</v>
      </c>
      <c r="BM56" s="58" t="e">
        <f ca="1">'Historical - Raw data'!AW51</f>
        <v>#N/A</v>
      </c>
      <c r="BN56" s="58" t="e">
        <f ca="1">'Historical - Raw data'!AX51</f>
        <v>#N/A</v>
      </c>
      <c r="BO56" s="58" t="e">
        <f ca="1">'Historical - Raw data'!AY51</f>
        <v>#N/A</v>
      </c>
      <c r="BP56" s="58" t="e">
        <f ca="1">'Historical - Raw data'!AZ51</f>
        <v>#N/A</v>
      </c>
      <c r="BQ56" s="58" t="e">
        <f ca="1">'Historical - Raw data'!BA51</f>
        <v>#N/A</v>
      </c>
      <c r="BR56" s="58" t="e">
        <f ca="1">'Historical - Raw data'!BB51</f>
        <v>#N/A</v>
      </c>
      <c r="BS56" s="58" t="e">
        <f ca="1">'Historical - Raw data'!BC51</f>
        <v>#N/A</v>
      </c>
      <c r="BT56" s="58" t="e">
        <f ca="1">'Historical - Raw data'!BD51</f>
        <v>#N/A</v>
      </c>
      <c r="BU56" s="58" t="e">
        <f ca="1">'Historical - Raw data'!BE51</f>
        <v>#N/A</v>
      </c>
      <c r="BV56" s="58" t="e">
        <f ca="1">'Historical - Raw data'!BF51</f>
        <v>#N/A</v>
      </c>
      <c r="BW56" s="58" t="e">
        <f ca="1">'Historical - Raw data'!BG51</f>
        <v>#N/A</v>
      </c>
    </row>
    <row r="57" spans="63:75" ht="15" customHeight="1">
      <c r="BK57" s="97" t="e">
        <f>'Historical - Raw data'!AU52</f>
        <v>#N/A</v>
      </c>
      <c r="BL57" s="58" t="e">
        <f ca="1">'Historical - Raw data'!AV52</f>
        <v>#N/A</v>
      </c>
      <c r="BM57" s="58" t="e">
        <f ca="1">'Historical - Raw data'!AW52</f>
        <v>#N/A</v>
      </c>
      <c r="BN57" s="58" t="e">
        <f ca="1">'Historical - Raw data'!AX52</f>
        <v>#N/A</v>
      </c>
      <c r="BO57" s="58" t="e">
        <f ca="1">'Historical - Raw data'!AY52</f>
        <v>#N/A</v>
      </c>
      <c r="BP57" s="58" t="e">
        <f ca="1">'Historical - Raw data'!AZ52</f>
        <v>#N/A</v>
      </c>
      <c r="BQ57" s="58" t="e">
        <f ca="1">'Historical - Raw data'!BA52</f>
        <v>#N/A</v>
      </c>
      <c r="BR57" s="58" t="e">
        <f ca="1">'Historical - Raw data'!BB52</f>
        <v>#N/A</v>
      </c>
      <c r="BS57" s="58" t="e">
        <f ca="1">'Historical - Raw data'!BC52</f>
        <v>#N/A</v>
      </c>
      <c r="BT57" s="58" t="e">
        <f ca="1">'Historical - Raw data'!BD52</f>
        <v>#N/A</v>
      </c>
      <c r="BU57" s="58" t="e">
        <f ca="1">'Historical - Raw data'!BE52</f>
        <v>#N/A</v>
      </c>
      <c r="BV57" s="58" t="e">
        <f ca="1">'Historical - Raw data'!BF52</f>
        <v>#N/A</v>
      </c>
      <c r="BW57" s="58" t="e">
        <f ca="1">'Historical - Raw data'!BG52</f>
        <v>#N/A</v>
      </c>
    </row>
    <row r="58" spans="63:75" ht="15" customHeight="1">
      <c r="BK58" s="97" t="e">
        <f>'Historical - Raw data'!AU53</f>
        <v>#N/A</v>
      </c>
      <c r="BL58" s="58" t="e">
        <f ca="1">'Historical - Raw data'!AV53</f>
        <v>#N/A</v>
      </c>
      <c r="BM58" s="58" t="e">
        <f ca="1">'Historical - Raw data'!AW53</f>
        <v>#N/A</v>
      </c>
      <c r="BN58" s="58" t="e">
        <f ca="1">'Historical - Raw data'!AX53</f>
        <v>#N/A</v>
      </c>
      <c r="BO58" s="58" t="e">
        <f ca="1">'Historical - Raw data'!AY53</f>
        <v>#N/A</v>
      </c>
      <c r="BP58" s="58" t="e">
        <f ca="1">'Historical - Raw data'!AZ53</f>
        <v>#N/A</v>
      </c>
      <c r="BQ58" s="58" t="e">
        <f ca="1">'Historical - Raw data'!BA53</f>
        <v>#N/A</v>
      </c>
      <c r="BR58" s="58" t="e">
        <f ca="1">'Historical - Raw data'!BB53</f>
        <v>#N/A</v>
      </c>
      <c r="BS58" s="58" t="e">
        <f ca="1">'Historical - Raw data'!BC53</f>
        <v>#N/A</v>
      </c>
      <c r="BT58" s="58" t="e">
        <f ca="1">'Historical - Raw data'!BD53</f>
        <v>#N/A</v>
      </c>
      <c r="BU58" s="58" t="e">
        <f ca="1">'Historical - Raw data'!BE53</f>
        <v>#N/A</v>
      </c>
      <c r="BV58" s="58" t="e">
        <f ca="1">'Historical - Raw data'!BF53</f>
        <v>#N/A</v>
      </c>
      <c r="BW58" s="58" t="e">
        <f ca="1">'Historical - Raw data'!BG53</f>
        <v>#N/A</v>
      </c>
    </row>
    <row r="59" spans="63:75" ht="15" customHeight="1">
      <c r="BK59" s="97" t="e">
        <f>'Historical - Raw data'!AU54</f>
        <v>#N/A</v>
      </c>
      <c r="BL59" s="58" t="e">
        <f ca="1">'Historical - Raw data'!AV54</f>
        <v>#N/A</v>
      </c>
      <c r="BM59" s="58" t="e">
        <f ca="1">'Historical - Raw data'!AW54</f>
        <v>#N/A</v>
      </c>
      <c r="BN59" s="58" t="e">
        <f ca="1">'Historical - Raw data'!AX54</f>
        <v>#N/A</v>
      </c>
      <c r="BO59" s="58" t="e">
        <f ca="1">'Historical - Raw data'!AY54</f>
        <v>#N/A</v>
      </c>
      <c r="BP59" s="58" t="e">
        <f ca="1">'Historical - Raw data'!AZ54</f>
        <v>#N/A</v>
      </c>
      <c r="BQ59" s="58" t="e">
        <f ca="1">'Historical - Raw data'!BA54</f>
        <v>#N/A</v>
      </c>
      <c r="BR59" s="58" t="e">
        <f ca="1">'Historical - Raw data'!BB54</f>
        <v>#N/A</v>
      </c>
      <c r="BS59" s="58" t="e">
        <f ca="1">'Historical - Raw data'!BC54</f>
        <v>#N/A</v>
      </c>
      <c r="BT59" s="58" t="e">
        <f ca="1">'Historical - Raw data'!BD54</f>
        <v>#N/A</v>
      </c>
      <c r="BU59" s="58" t="e">
        <f ca="1">'Historical - Raw data'!BE54</f>
        <v>#N/A</v>
      </c>
      <c r="BV59" s="58" t="e">
        <f ca="1">'Historical - Raw data'!BF54</f>
        <v>#N/A</v>
      </c>
      <c r="BW59" s="58" t="e">
        <f ca="1">'Historical - Raw data'!BG54</f>
        <v>#N/A</v>
      </c>
    </row>
    <row r="60" spans="63:75" ht="15" customHeight="1">
      <c r="BK60" s="97" t="e">
        <f>'Historical - Raw data'!AU55</f>
        <v>#N/A</v>
      </c>
      <c r="BL60" s="58" t="e">
        <f ca="1">'Historical - Raw data'!AV55</f>
        <v>#N/A</v>
      </c>
      <c r="BM60" s="58" t="e">
        <f ca="1">'Historical - Raw data'!AW55</f>
        <v>#N/A</v>
      </c>
      <c r="BN60" s="58" t="e">
        <f ca="1">'Historical - Raw data'!AX55</f>
        <v>#N/A</v>
      </c>
      <c r="BO60" s="58" t="e">
        <f ca="1">'Historical - Raw data'!AY55</f>
        <v>#N/A</v>
      </c>
      <c r="BP60" s="58" t="e">
        <f ca="1">'Historical - Raw data'!AZ55</f>
        <v>#N/A</v>
      </c>
      <c r="BQ60" s="58" t="e">
        <f ca="1">'Historical - Raw data'!BA55</f>
        <v>#N/A</v>
      </c>
      <c r="BR60" s="58" t="e">
        <f ca="1">'Historical - Raw data'!BB55</f>
        <v>#N/A</v>
      </c>
      <c r="BS60" s="58" t="e">
        <f ca="1">'Historical - Raw data'!BC55</f>
        <v>#N/A</v>
      </c>
      <c r="BT60" s="58" t="e">
        <f ca="1">'Historical - Raw data'!BD55</f>
        <v>#N/A</v>
      </c>
      <c r="BU60" s="58" t="e">
        <f ca="1">'Historical - Raw data'!BE55</f>
        <v>#N/A</v>
      </c>
      <c r="BV60" s="58" t="e">
        <f ca="1">'Historical - Raw data'!BF55</f>
        <v>#N/A</v>
      </c>
      <c r="BW60" s="58" t="e">
        <f ca="1">'Historical - Raw data'!BG55</f>
        <v>#N/A</v>
      </c>
    </row>
    <row r="61" spans="63:75" ht="15" customHeight="1">
      <c r="BK61" s="97" t="e">
        <f>'Historical - Raw data'!AU56</f>
        <v>#N/A</v>
      </c>
      <c r="BL61" s="58" t="e">
        <f ca="1">'Historical - Raw data'!AV56</f>
        <v>#N/A</v>
      </c>
      <c r="BM61" s="58" t="e">
        <f ca="1">'Historical - Raw data'!AW56</f>
        <v>#N/A</v>
      </c>
      <c r="BN61" s="58" t="e">
        <f ca="1">'Historical - Raw data'!AX56</f>
        <v>#N/A</v>
      </c>
      <c r="BO61" s="58" t="e">
        <f ca="1">'Historical - Raw data'!AY56</f>
        <v>#N/A</v>
      </c>
      <c r="BP61" s="58" t="e">
        <f ca="1">'Historical - Raw data'!AZ56</f>
        <v>#N/A</v>
      </c>
      <c r="BQ61" s="58" t="e">
        <f ca="1">'Historical - Raw data'!BA56</f>
        <v>#N/A</v>
      </c>
      <c r="BR61" s="58" t="e">
        <f ca="1">'Historical - Raw data'!BB56</f>
        <v>#N/A</v>
      </c>
      <c r="BS61" s="58" t="e">
        <f ca="1">'Historical - Raw data'!BC56</f>
        <v>#N/A</v>
      </c>
      <c r="BT61" s="58" t="e">
        <f ca="1">'Historical - Raw data'!BD56</f>
        <v>#N/A</v>
      </c>
      <c r="BU61" s="58" t="e">
        <f ca="1">'Historical - Raw data'!BE56</f>
        <v>#N/A</v>
      </c>
      <c r="BV61" s="58" t="e">
        <f ca="1">'Historical - Raw data'!BF56</f>
        <v>#N/A</v>
      </c>
      <c r="BW61" s="58" t="e">
        <f ca="1">'Historical - Raw data'!BG56</f>
        <v>#N/A</v>
      </c>
    </row>
    <row r="62" spans="63:75" ht="15" customHeight="1">
      <c r="BK62" s="97" t="e">
        <f>'Historical - Raw data'!AU57</f>
        <v>#N/A</v>
      </c>
      <c r="BL62" s="58" t="e">
        <f ca="1">'Historical - Raw data'!AV57</f>
        <v>#N/A</v>
      </c>
      <c r="BM62" s="58" t="e">
        <f ca="1">'Historical - Raw data'!AW57</f>
        <v>#N/A</v>
      </c>
      <c r="BN62" s="58" t="e">
        <f ca="1">'Historical - Raw data'!AX57</f>
        <v>#N/A</v>
      </c>
      <c r="BO62" s="58" t="e">
        <f ca="1">'Historical - Raw data'!AY57</f>
        <v>#N/A</v>
      </c>
      <c r="BP62" s="58" t="e">
        <f ca="1">'Historical - Raw data'!AZ57</f>
        <v>#N/A</v>
      </c>
      <c r="BQ62" s="58" t="e">
        <f ca="1">'Historical - Raw data'!BA57</f>
        <v>#N/A</v>
      </c>
      <c r="BR62" s="58" t="e">
        <f ca="1">'Historical - Raw data'!BB57</f>
        <v>#N/A</v>
      </c>
      <c r="BS62" s="58" t="e">
        <f ca="1">'Historical - Raw data'!BC57</f>
        <v>#N/A</v>
      </c>
      <c r="BT62" s="58" t="e">
        <f ca="1">'Historical - Raw data'!BD57</f>
        <v>#N/A</v>
      </c>
      <c r="BU62" s="58" t="e">
        <f ca="1">'Historical - Raw data'!BE57</f>
        <v>#N/A</v>
      </c>
      <c r="BV62" s="58" t="e">
        <f ca="1">'Historical - Raw data'!BF57</f>
        <v>#N/A</v>
      </c>
      <c r="BW62" s="58" t="e">
        <f ca="1">'Historical - Raw data'!BG57</f>
        <v>#N/A</v>
      </c>
    </row>
    <row r="63" spans="63:75" ht="15" customHeight="1">
      <c r="BK63" s="97" t="e">
        <f>'Historical - Raw data'!AU58</f>
        <v>#N/A</v>
      </c>
      <c r="BL63" s="58" t="e">
        <f ca="1">'Historical - Raw data'!AV58</f>
        <v>#N/A</v>
      </c>
      <c r="BM63" s="58" t="e">
        <f ca="1">'Historical - Raw data'!AW58</f>
        <v>#N/A</v>
      </c>
      <c r="BN63" s="58" t="e">
        <f ca="1">'Historical - Raw data'!AX58</f>
        <v>#N/A</v>
      </c>
      <c r="BO63" s="58" t="e">
        <f ca="1">'Historical - Raw data'!AY58</f>
        <v>#N/A</v>
      </c>
      <c r="BP63" s="58" t="e">
        <f ca="1">'Historical - Raw data'!AZ58</f>
        <v>#N/A</v>
      </c>
      <c r="BQ63" s="58" t="e">
        <f ca="1">'Historical - Raw data'!BA58</f>
        <v>#N/A</v>
      </c>
      <c r="BR63" s="58" t="e">
        <f ca="1">'Historical - Raw data'!BB58</f>
        <v>#N/A</v>
      </c>
      <c r="BS63" s="58" t="e">
        <f ca="1">'Historical - Raw data'!BC58</f>
        <v>#N/A</v>
      </c>
      <c r="BT63" s="58" t="e">
        <f ca="1">'Historical - Raw data'!BD58</f>
        <v>#N/A</v>
      </c>
      <c r="BU63" s="58" t="e">
        <f ca="1">'Historical - Raw data'!BE58</f>
        <v>#N/A</v>
      </c>
      <c r="BV63" s="58" t="e">
        <f ca="1">'Historical - Raw data'!BF58</f>
        <v>#N/A</v>
      </c>
      <c r="BW63" s="58" t="e">
        <f ca="1">'Historical - Raw data'!BG58</f>
        <v>#N/A</v>
      </c>
    </row>
    <row r="64" spans="63:75" ht="15" customHeight="1">
      <c r="BK64" s="97" t="e">
        <f>'Historical - Raw data'!AU59</f>
        <v>#N/A</v>
      </c>
      <c r="BL64" s="58" t="e">
        <f ca="1">'Historical - Raw data'!AV59</f>
        <v>#N/A</v>
      </c>
      <c r="BM64" s="58" t="e">
        <f ca="1">'Historical - Raw data'!AW59</f>
        <v>#N/A</v>
      </c>
      <c r="BN64" s="58" t="e">
        <f ca="1">'Historical - Raw data'!AX59</f>
        <v>#N/A</v>
      </c>
      <c r="BO64" s="58" t="e">
        <f ca="1">'Historical - Raw data'!AY59</f>
        <v>#N/A</v>
      </c>
      <c r="BP64" s="58" t="e">
        <f ca="1">'Historical - Raw data'!AZ59</f>
        <v>#N/A</v>
      </c>
      <c r="BQ64" s="58" t="e">
        <f ca="1">'Historical - Raw data'!BA59</f>
        <v>#N/A</v>
      </c>
      <c r="BR64" s="58" t="e">
        <f ca="1">'Historical - Raw data'!BB59</f>
        <v>#N/A</v>
      </c>
      <c r="BS64" s="58" t="e">
        <f ca="1">'Historical - Raw data'!BC59</f>
        <v>#N/A</v>
      </c>
      <c r="BT64" s="58" t="e">
        <f ca="1">'Historical - Raw data'!BD59</f>
        <v>#N/A</v>
      </c>
      <c r="BU64" s="58" t="e">
        <f ca="1">'Historical - Raw data'!BE59</f>
        <v>#N/A</v>
      </c>
      <c r="BV64" s="58" t="e">
        <f ca="1">'Historical - Raw data'!BF59</f>
        <v>#N/A</v>
      </c>
      <c r="BW64" s="58" t="e">
        <f ca="1">'Historical - Raw data'!BG59</f>
        <v>#N/A</v>
      </c>
    </row>
    <row r="65" spans="63:75" ht="15" customHeight="1">
      <c r="BK65" s="97" t="e">
        <f>'Historical - Raw data'!AU60</f>
        <v>#N/A</v>
      </c>
      <c r="BL65" s="58" t="e">
        <f ca="1">'Historical - Raw data'!AV60</f>
        <v>#N/A</v>
      </c>
      <c r="BM65" s="58" t="e">
        <f ca="1">'Historical - Raw data'!AW60</f>
        <v>#N/A</v>
      </c>
      <c r="BN65" s="58" t="e">
        <f ca="1">'Historical - Raw data'!AX60</f>
        <v>#N/A</v>
      </c>
      <c r="BO65" s="58" t="e">
        <f ca="1">'Historical - Raw data'!AY60</f>
        <v>#N/A</v>
      </c>
      <c r="BP65" s="58" t="e">
        <f ca="1">'Historical - Raw data'!AZ60</f>
        <v>#N/A</v>
      </c>
      <c r="BQ65" s="58" t="e">
        <f ca="1">'Historical - Raw data'!BA60</f>
        <v>#N/A</v>
      </c>
      <c r="BR65" s="58" t="e">
        <f ca="1">'Historical - Raw data'!BB60</f>
        <v>#N/A</v>
      </c>
      <c r="BS65" s="58" t="e">
        <f ca="1">'Historical - Raw data'!BC60</f>
        <v>#N/A</v>
      </c>
      <c r="BT65" s="58" t="e">
        <f ca="1">'Historical - Raw data'!BD60</f>
        <v>#N/A</v>
      </c>
      <c r="BU65" s="58" t="e">
        <f ca="1">'Historical - Raw data'!BE60</f>
        <v>#N/A</v>
      </c>
      <c r="BV65" s="58" t="e">
        <f ca="1">'Historical - Raw data'!BF60</f>
        <v>#N/A</v>
      </c>
      <c r="BW65" s="58" t="e">
        <f ca="1">'Historical - Raw data'!BG60</f>
        <v>#N/A</v>
      </c>
    </row>
    <row r="66" spans="63:75" ht="15" customHeight="1">
      <c r="BK66" s="97" t="e">
        <f>'Historical - Raw data'!AU61</f>
        <v>#N/A</v>
      </c>
      <c r="BL66" s="58" t="e">
        <f ca="1">'Historical - Raw data'!AV61</f>
        <v>#N/A</v>
      </c>
      <c r="BM66" s="58" t="e">
        <f ca="1">'Historical - Raw data'!AW61</f>
        <v>#N/A</v>
      </c>
      <c r="BN66" s="58" t="e">
        <f ca="1">'Historical - Raw data'!AX61</f>
        <v>#N/A</v>
      </c>
      <c r="BO66" s="58" t="e">
        <f ca="1">'Historical - Raw data'!AY61</f>
        <v>#N/A</v>
      </c>
      <c r="BP66" s="58" t="e">
        <f ca="1">'Historical - Raw data'!AZ61</f>
        <v>#N/A</v>
      </c>
      <c r="BQ66" s="58" t="e">
        <f ca="1">'Historical - Raw data'!BA61</f>
        <v>#N/A</v>
      </c>
      <c r="BR66" s="58" t="e">
        <f ca="1">'Historical - Raw data'!BB61</f>
        <v>#N/A</v>
      </c>
      <c r="BS66" s="58" t="e">
        <f ca="1">'Historical - Raw data'!BC61</f>
        <v>#N/A</v>
      </c>
      <c r="BT66" s="58" t="e">
        <f ca="1">'Historical - Raw data'!BD61</f>
        <v>#N/A</v>
      </c>
      <c r="BU66" s="58" t="e">
        <f ca="1">'Historical - Raw data'!BE61</f>
        <v>#N/A</v>
      </c>
      <c r="BV66" s="58" t="e">
        <f ca="1">'Historical - Raw data'!BF61</f>
        <v>#N/A</v>
      </c>
      <c r="BW66" s="58" t="e">
        <f ca="1">'Historical - Raw data'!BG61</f>
        <v>#N/A</v>
      </c>
    </row>
    <row r="67" spans="63:75" ht="15" customHeight="1">
      <c r="BK67" s="97" t="e">
        <f>'Historical - Raw data'!AU62</f>
        <v>#N/A</v>
      </c>
      <c r="BL67" s="58" t="e">
        <f ca="1">'Historical - Raw data'!AV62</f>
        <v>#N/A</v>
      </c>
      <c r="BM67" s="58" t="e">
        <f ca="1">'Historical - Raw data'!AW62</f>
        <v>#N/A</v>
      </c>
      <c r="BN67" s="58" t="e">
        <f ca="1">'Historical - Raw data'!AX62</f>
        <v>#N/A</v>
      </c>
      <c r="BO67" s="58" t="e">
        <f ca="1">'Historical - Raw data'!AY62</f>
        <v>#N/A</v>
      </c>
      <c r="BP67" s="58" t="e">
        <f ca="1">'Historical - Raw data'!AZ62</f>
        <v>#N/A</v>
      </c>
      <c r="BQ67" s="58" t="e">
        <f ca="1">'Historical - Raw data'!BA62</f>
        <v>#N/A</v>
      </c>
      <c r="BR67" s="58" t="e">
        <f ca="1">'Historical - Raw data'!BB62</f>
        <v>#N/A</v>
      </c>
      <c r="BS67" s="58" t="e">
        <f ca="1">'Historical - Raw data'!BC62</f>
        <v>#N/A</v>
      </c>
      <c r="BT67" s="58" t="e">
        <f ca="1">'Historical - Raw data'!BD62</f>
        <v>#N/A</v>
      </c>
      <c r="BU67" s="58" t="e">
        <f ca="1">'Historical - Raw data'!BE62</f>
        <v>#N/A</v>
      </c>
      <c r="BV67" s="58" t="e">
        <f ca="1">'Historical - Raw data'!BF62</f>
        <v>#N/A</v>
      </c>
      <c r="BW67" s="58" t="e">
        <f ca="1">'Historical - Raw data'!BG62</f>
        <v>#N/A</v>
      </c>
    </row>
    <row r="68" spans="63:75" ht="15" customHeight="1">
      <c r="BK68" s="97" t="e">
        <f>'Historical - Raw data'!AU63</f>
        <v>#N/A</v>
      </c>
      <c r="BL68" s="58" t="e">
        <f ca="1">'Historical - Raw data'!AV63</f>
        <v>#N/A</v>
      </c>
      <c r="BM68" s="58" t="e">
        <f ca="1">'Historical - Raw data'!AW63</f>
        <v>#N/A</v>
      </c>
      <c r="BN68" s="58" t="e">
        <f ca="1">'Historical - Raw data'!AX63</f>
        <v>#N/A</v>
      </c>
      <c r="BO68" s="58" t="e">
        <f ca="1">'Historical - Raw data'!AY63</f>
        <v>#N/A</v>
      </c>
      <c r="BP68" s="58" t="e">
        <f ca="1">'Historical - Raw data'!AZ63</f>
        <v>#N/A</v>
      </c>
      <c r="BQ68" s="58" t="e">
        <f ca="1">'Historical - Raw data'!BA63</f>
        <v>#N/A</v>
      </c>
      <c r="BR68" s="58" t="e">
        <f ca="1">'Historical - Raw data'!BB63</f>
        <v>#N/A</v>
      </c>
      <c r="BS68" s="58" t="e">
        <f ca="1">'Historical - Raw data'!BC63</f>
        <v>#N/A</v>
      </c>
      <c r="BT68" s="58" t="e">
        <f ca="1">'Historical - Raw data'!BD63</f>
        <v>#N/A</v>
      </c>
      <c r="BU68" s="58" t="e">
        <f ca="1">'Historical - Raw data'!BE63</f>
        <v>#N/A</v>
      </c>
      <c r="BV68" s="58" t="e">
        <f ca="1">'Historical - Raw data'!BF63</f>
        <v>#N/A</v>
      </c>
      <c r="BW68" s="58" t="e">
        <f ca="1">'Historical - Raw data'!BG63</f>
        <v>#N/A</v>
      </c>
    </row>
    <row r="69" spans="63:75" ht="15" customHeight="1">
      <c r="BK69" s="97" t="e">
        <f>'Historical - Raw data'!AU64</f>
        <v>#N/A</v>
      </c>
      <c r="BL69" s="58" t="e">
        <f ca="1">'Historical - Raw data'!AV64</f>
        <v>#N/A</v>
      </c>
      <c r="BM69" s="58" t="e">
        <f ca="1">'Historical - Raw data'!AW64</f>
        <v>#N/A</v>
      </c>
      <c r="BN69" s="58" t="e">
        <f ca="1">'Historical - Raw data'!AX64</f>
        <v>#N/A</v>
      </c>
      <c r="BO69" s="58" t="e">
        <f ca="1">'Historical - Raw data'!AY64</f>
        <v>#N/A</v>
      </c>
      <c r="BP69" s="58" t="e">
        <f ca="1">'Historical - Raw data'!AZ64</f>
        <v>#N/A</v>
      </c>
      <c r="BQ69" s="58" t="e">
        <f ca="1">'Historical - Raw data'!BA64</f>
        <v>#N/A</v>
      </c>
      <c r="BR69" s="58" t="e">
        <f ca="1">'Historical - Raw data'!BB64</f>
        <v>#N/A</v>
      </c>
      <c r="BS69" s="58" t="e">
        <f ca="1">'Historical - Raw data'!BC64</f>
        <v>#N/A</v>
      </c>
      <c r="BT69" s="58" t="e">
        <f ca="1">'Historical - Raw data'!BD64</f>
        <v>#N/A</v>
      </c>
      <c r="BU69" s="58" t="e">
        <f ca="1">'Historical - Raw data'!BE64</f>
        <v>#N/A</v>
      </c>
      <c r="BV69" s="58" t="e">
        <f ca="1">'Historical - Raw data'!BF64</f>
        <v>#N/A</v>
      </c>
      <c r="BW69" s="58" t="e">
        <f ca="1">'Historical - Raw data'!BG64</f>
        <v>#N/A</v>
      </c>
    </row>
    <row r="70" spans="63:75" ht="15" customHeight="1">
      <c r="BK70" s="97" t="e">
        <f>'Historical - Raw data'!AU65</f>
        <v>#N/A</v>
      </c>
      <c r="BL70" s="58" t="e">
        <f ca="1">'Historical - Raw data'!AV65</f>
        <v>#N/A</v>
      </c>
      <c r="BM70" s="58" t="e">
        <f ca="1">'Historical - Raw data'!AW65</f>
        <v>#N/A</v>
      </c>
      <c r="BN70" s="58" t="e">
        <f ca="1">'Historical - Raw data'!AX65</f>
        <v>#N/A</v>
      </c>
      <c r="BO70" s="58" t="e">
        <f ca="1">'Historical - Raw data'!AY65</f>
        <v>#N/A</v>
      </c>
      <c r="BP70" s="58" t="e">
        <f ca="1">'Historical - Raw data'!AZ65</f>
        <v>#N/A</v>
      </c>
      <c r="BQ70" s="58" t="e">
        <f ca="1">'Historical - Raw data'!BA65</f>
        <v>#N/A</v>
      </c>
      <c r="BR70" s="58" t="e">
        <f ca="1">'Historical - Raw data'!BB65</f>
        <v>#N/A</v>
      </c>
      <c r="BS70" s="58" t="e">
        <f ca="1">'Historical - Raw data'!BC65</f>
        <v>#N/A</v>
      </c>
      <c r="BT70" s="58" t="e">
        <f ca="1">'Historical - Raw data'!BD65</f>
        <v>#N/A</v>
      </c>
      <c r="BU70" s="58" t="e">
        <f ca="1">'Historical - Raw data'!BE65</f>
        <v>#N/A</v>
      </c>
      <c r="BV70" s="58" t="e">
        <f ca="1">'Historical - Raw data'!BF65</f>
        <v>#N/A</v>
      </c>
      <c r="BW70" s="58" t="e">
        <f ca="1">'Historical - Raw data'!BG65</f>
        <v>#N/A</v>
      </c>
    </row>
    <row r="71" spans="63:75" ht="15" customHeight="1">
      <c r="BK71" s="97" t="e">
        <f>'Historical - Raw data'!AU66</f>
        <v>#N/A</v>
      </c>
      <c r="BL71" s="58" t="e">
        <f ca="1">'Historical - Raw data'!AV66</f>
        <v>#N/A</v>
      </c>
      <c r="BM71" s="58" t="e">
        <f ca="1">'Historical - Raw data'!AW66</f>
        <v>#N/A</v>
      </c>
      <c r="BN71" s="58" t="e">
        <f ca="1">'Historical - Raw data'!AX66</f>
        <v>#N/A</v>
      </c>
      <c r="BO71" s="58" t="e">
        <f ca="1">'Historical - Raw data'!AY66</f>
        <v>#N/A</v>
      </c>
      <c r="BP71" s="58" t="e">
        <f ca="1">'Historical - Raw data'!AZ66</f>
        <v>#N/A</v>
      </c>
      <c r="BQ71" s="58" t="e">
        <f ca="1">'Historical - Raw data'!BA66</f>
        <v>#N/A</v>
      </c>
      <c r="BR71" s="58" t="e">
        <f ca="1">'Historical - Raw data'!BB66</f>
        <v>#N/A</v>
      </c>
      <c r="BS71" s="58" t="e">
        <f ca="1">'Historical - Raw data'!BC66</f>
        <v>#N/A</v>
      </c>
      <c r="BT71" s="58" t="e">
        <f ca="1">'Historical - Raw data'!BD66</f>
        <v>#N/A</v>
      </c>
      <c r="BU71" s="58" t="e">
        <f ca="1">'Historical - Raw data'!BE66</f>
        <v>#N/A</v>
      </c>
      <c r="BV71" s="58" t="e">
        <f ca="1">'Historical - Raw data'!BF66</f>
        <v>#N/A</v>
      </c>
      <c r="BW71" s="58" t="e">
        <f ca="1">'Historical - Raw data'!BG66</f>
        <v>#N/A</v>
      </c>
    </row>
    <row r="72" spans="63:75" ht="15" customHeight="1">
      <c r="BK72" s="97" t="e">
        <f>'Historical - Raw data'!AU67</f>
        <v>#N/A</v>
      </c>
      <c r="BL72" s="58" t="e">
        <f ca="1">'Historical - Raw data'!AV67</f>
        <v>#N/A</v>
      </c>
      <c r="BM72" s="58" t="e">
        <f ca="1">'Historical - Raw data'!AW67</f>
        <v>#N/A</v>
      </c>
      <c r="BN72" s="58" t="e">
        <f ca="1">'Historical - Raw data'!AX67</f>
        <v>#N/A</v>
      </c>
      <c r="BO72" s="58" t="e">
        <f ca="1">'Historical - Raw data'!AY67</f>
        <v>#N/A</v>
      </c>
      <c r="BP72" s="58" t="e">
        <f ca="1">'Historical - Raw data'!AZ67</f>
        <v>#N/A</v>
      </c>
      <c r="BQ72" s="58" t="e">
        <f ca="1">'Historical - Raw data'!BA67</f>
        <v>#N/A</v>
      </c>
      <c r="BR72" s="58" t="e">
        <f ca="1">'Historical - Raw data'!BB67</f>
        <v>#N/A</v>
      </c>
      <c r="BS72" s="58" t="e">
        <f ca="1">'Historical - Raw data'!BC67</f>
        <v>#N/A</v>
      </c>
      <c r="BT72" s="58" t="e">
        <f ca="1">'Historical - Raw data'!BD67</f>
        <v>#N/A</v>
      </c>
      <c r="BU72" s="58" t="e">
        <f ca="1">'Historical - Raw data'!BE67</f>
        <v>#N/A</v>
      </c>
      <c r="BV72" s="58" t="e">
        <f ca="1">'Historical - Raw data'!BF67</f>
        <v>#N/A</v>
      </c>
      <c r="BW72" s="58" t="e">
        <f ca="1">'Historical - Raw data'!BG67</f>
        <v>#N/A</v>
      </c>
    </row>
    <row r="73" spans="63:75" ht="15" customHeight="1">
      <c r="BK73" s="97" t="e">
        <f>'Historical - Raw data'!AU68</f>
        <v>#N/A</v>
      </c>
      <c r="BL73" s="58" t="e">
        <f ca="1">'Historical - Raw data'!AV68</f>
        <v>#N/A</v>
      </c>
      <c r="BM73" s="58" t="e">
        <f ca="1">'Historical - Raw data'!AW68</f>
        <v>#N/A</v>
      </c>
      <c r="BN73" s="58" t="e">
        <f ca="1">'Historical - Raw data'!AX68</f>
        <v>#N/A</v>
      </c>
      <c r="BO73" s="58" t="e">
        <f ca="1">'Historical - Raw data'!AY68</f>
        <v>#N/A</v>
      </c>
      <c r="BP73" s="58" t="e">
        <f ca="1">'Historical - Raw data'!AZ68</f>
        <v>#N/A</v>
      </c>
      <c r="BQ73" s="58" t="e">
        <f ca="1">'Historical - Raw data'!BA68</f>
        <v>#N/A</v>
      </c>
      <c r="BR73" s="58" t="e">
        <f ca="1">'Historical - Raw data'!BB68</f>
        <v>#N/A</v>
      </c>
      <c r="BS73" s="58" t="e">
        <f ca="1">'Historical - Raw data'!BC68</f>
        <v>#N/A</v>
      </c>
      <c r="BT73" s="58" t="e">
        <f ca="1">'Historical - Raw data'!BD68</f>
        <v>#N/A</v>
      </c>
      <c r="BU73" s="58" t="e">
        <f ca="1">'Historical - Raw data'!BE68</f>
        <v>#N/A</v>
      </c>
      <c r="BV73" s="58" t="e">
        <f ca="1">'Historical - Raw data'!BF68</f>
        <v>#N/A</v>
      </c>
      <c r="BW73" s="58" t="e">
        <f ca="1">'Historical - Raw data'!BG68</f>
        <v>#N/A</v>
      </c>
    </row>
    <row r="74" spans="63:75" ht="15" customHeight="1">
      <c r="BK74" s="97" t="e">
        <f>'Historical - Raw data'!AU69</f>
        <v>#N/A</v>
      </c>
      <c r="BL74" s="58" t="e">
        <f ca="1">'Historical - Raw data'!AV69</f>
        <v>#N/A</v>
      </c>
      <c r="BM74" s="58" t="e">
        <f ca="1">'Historical - Raw data'!AW69</f>
        <v>#N/A</v>
      </c>
      <c r="BN74" s="58" t="e">
        <f ca="1">'Historical - Raw data'!AX69</f>
        <v>#N/A</v>
      </c>
      <c r="BO74" s="58" t="e">
        <f ca="1">'Historical - Raw data'!AY69</f>
        <v>#N/A</v>
      </c>
      <c r="BP74" s="58" t="e">
        <f ca="1">'Historical - Raw data'!AZ69</f>
        <v>#N/A</v>
      </c>
      <c r="BQ74" s="58" t="e">
        <f ca="1">'Historical - Raw data'!BA69</f>
        <v>#N/A</v>
      </c>
      <c r="BR74" s="58" t="e">
        <f ca="1">'Historical - Raw data'!BB69</f>
        <v>#N/A</v>
      </c>
      <c r="BS74" s="58" t="e">
        <f ca="1">'Historical - Raw data'!BC69</f>
        <v>#N/A</v>
      </c>
      <c r="BT74" s="58" t="e">
        <f ca="1">'Historical - Raw data'!BD69</f>
        <v>#N/A</v>
      </c>
      <c r="BU74" s="58" t="e">
        <f ca="1">'Historical - Raw data'!BE69</f>
        <v>#N/A</v>
      </c>
      <c r="BV74" s="58" t="e">
        <f ca="1">'Historical - Raw data'!BF69</f>
        <v>#N/A</v>
      </c>
      <c r="BW74" s="58" t="e">
        <f ca="1">'Historical - Raw data'!BG69</f>
        <v>#N/A</v>
      </c>
    </row>
    <row r="75" spans="63:75" ht="15" customHeight="1">
      <c r="BK75" s="97" t="e">
        <f>'Historical - Raw data'!AU70</f>
        <v>#N/A</v>
      </c>
      <c r="BL75" s="58" t="e">
        <f ca="1">'Historical - Raw data'!AV70</f>
        <v>#N/A</v>
      </c>
      <c r="BM75" s="58" t="e">
        <f ca="1">'Historical - Raw data'!AW70</f>
        <v>#N/A</v>
      </c>
      <c r="BN75" s="58" t="e">
        <f ca="1">'Historical - Raw data'!AX70</f>
        <v>#N/A</v>
      </c>
      <c r="BO75" s="58" t="e">
        <f ca="1">'Historical - Raw data'!AY70</f>
        <v>#N/A</v>
      </c>
      <c r="BP75" s="58" t="e">
        <f ca="1">'Historical - Raw data'!AZ70</f>
        <v>#N/A</v>
      </c>
      <c r="BQ75" s="58" t="e">
        <f ca="1">'Historical - Raw data'!BA70</f>
        <v>#N/A</v>
      </c>
      <c r="BR75" s="58" t="e">
        <f ca="1">'Historical - Raw data'!BB70</f>
        <v>#N/A</v>
      </c>
      <c r="BS75" s="58" t="e">
        <f ca="1">'Historical - Raw data'!BC70</f>
        <v>#N/A</v>
      </c>
      <c r="BT75" s="58" t="e">
        <f ca="1">'Historical - Raw data'!BD70</f>
        <v>#N/A</v>
      </c>
      <c r="BU75" s="58" t="e">
        <f ca="1">'Historical - Raw data'!BE70</f>
        <v>#N/A</v>
      </c>
      <c r="BV75" s="58" t="e">
        <f ca="1">'Historical - Raw data'!BF70</f>
        <v>#N/A</v>
      </c>
      <c r="BW75" s="58" t="e">
        <f ca="1">'Historical - Raw data'!BG70</f>
        <v>#N/A</v>
      </c>
    </row>
    <row r="76" spans="63:75" ht="15" customHeight="1">
      <c r="BK76" s="97" t="e">
        <f>'Historical - Raw data'!AU71</f>
        <v>#N/A</v>
      </c>
      <c r="BL76" s="58" t="e">
        <f ca="1">'Historical - Raw data'!AV71</f>
        <v>#N/A</v>
      </c>
      <c r="BM76" s="58" t="e">
        <f ca="1">'Historical - Raw data'!AW71</f>
        <v>#N/A</v>
      </c>
      <c r="BN76" s="58" t="e">
        <f ca="1">'Historical - Raw data'!AX71</f>
        <v>#N/A</v>
      </c>
      <c r="BO76" s="58" t="e">
        <f ca="1">'Historical - Raw data'!AY71</f>
        <v>#N/A</v>
      </c>
      <c r="BP76" s="58" t="e">
        <f ca="1">'Historical - Raw data'!AZ71</f>
        <v>#N/A</v>
      </c>
      <c r="BQ76" s="58" t="e">
        <f ca="1">'Historical - Raw data'!BA71</f>
        <v>#N/A</v>
      </c>
      <c r="BR76" s="58" t="e">
        <f ca="1">'Historical - Raw data'!BB71</f>
        <v>#N/A</v>
      </c>
      <c r="BS76" s="58" t="e">
        <f ca="1">'Historical - Raw data'!BC71</f>
        <v>#N/A</v>
      </c>
      <c r="BT76" s="58" t="e">
        <f ca="1">'Historical - Raw data'!BD71</f>
        <v>#N/A</v>
      </c>
      <c r="BU76" s="58" t="e">
        <f ca="1">'Historical - Raw data'!BE71</f>
        <v>#N/A</v>
      </c>
      <c r="BV76" s="58" t="e">
        <f ca="1">'Historical - Raw data'!BF71</f>
        <v>#N/A</v>
      </c>
      <c r="BW76" s="58" t="e">
        <f ca="1">'Historical - Raw data'!BG71</f>
        <v>#N/A</v>
      </c>
    </row>
    <row r="77" spans="63:75" ht="15" customHeight="1">
      <c r="BK77" s="97" t="e">
        <f>'Historical - Raw data'!AU72</f>
        <v>#N/A</v>
      </c>
      <c r="BL77" s="58" t="e">
        <f ca="1">'Historical - Raw data'!AV72</f>
        <v>#N/A</v>
      </c>
      <c r="BM77" s="58" t="e">
        <f ca="1">'Historical - Raw data'!AW72</f>
        <v>#N/A</v>
      </c>
      <c r="BN77" s="58" t="e">
        <f ca="1">'Historical - Raw data'!AX72</f>
        <v>#N/A</v>
      </c>
      <c r="BO77" s="58" t="e">
        <f ca="1">'Historical - Raw data'!AY72</f>
        <v>#N/A</v>
      </c>
      <c r="BP77" s="58" t="e">
        <f ca="1">'Historical - Raw data'!AZ72</f>
        <v>#N/A</v>
      </c>
      <c r="BQ77" s="58" t="e">
        <f ca="1">'Historical - Raw data'!BA72</f>
        <v>#N/A</v>
      </c>
      <c r="BR77" s="58" t="e">
        <f ca="1">'Historical - Raw data'!BB72</f>
        <v>#N/A</v>
      </c>
      <c r="BS77" s="58" t="e">
        <f ca="1">'Historical - Raw data'!BC72</f>
        <v>#N/A</v>
      </c>
      <c r="BT77" s="58" t="e">
        <f ca="1">'Historical - Raw data'!BD72</f>
        <v>#N/A</v>
      </c>
      <c r="BU77" s="58" t="e">
        <f ca="1">'Historical - Raw data'!BE72</f>
        <v>#N/A</v>
      </c>
      <c r="BV77" s="58" t="e">
        <f ca="1">'Historical - Raw data'!BF72</f>
        <v>#N/A</v>
      </c>
      <c r="BW77" s="58" t="e">
        <f ca="1">'Historical - Raw data'!BG72</f>
        <v>#N/A</v>
      </c>
    </row>
    <row r="78" spans="63:75" ht="15" customHeight="1">
      <c r="BK78" s="97" t="e">
        <f>'Historical - Raw data'!AU73</f>
        <v>#N/A</v>
      </c>
      <c r="BL78" s="58" t="e">
        <f ca="1">'Historical - Raw data'!AV73</f>
        <v>#N/A</v>
      </c>
      <c r="BM78" s="58" t="e">
        <f ca="1">'Historical - Raw data'!AW73</f>
        <v>#N/A</v>
      </c>
      <c r="BN78" s="58" t="e">
        <f ca="1">'Historical - Raw data'!AX73</f>
        <v>#N/A</v>
      </c>
      <c r="BO78" s="58" t="e">
        <f ca="1">'Historical - Raw data'!AY73</f>
        <v>#N/A</v>
      </c>
      <c r="BP78" s="58" t="e">
        <f ca="1">'Historical - Raw data'!AZ73</f>
        <v>#N/A</v>
      </c>
      <c r="BQ78" s="58" t="e">
        <f ca="1">'Historical - Raw data'!BA73</f>
        <v>#N/A</v>
      </c>
      <c r="BR78" s="58" t="e">
        <f ca="1">'Historical - Raw data'!BB73</f>
        <v>#N/A</v>
      </c>
      <c r="BS78" s="58" t="e">
        <f ca="1">'Historical - Raw data'!BC73</f>
        <v>#N/A</v>
      </c>
      <c r="BT78" s="58" t="e">
        <f ca="1">'Historical - Raw data'!BD73</f>
        <v>#N/A</v>
      </c>
      <c r="BU78" s="58" t="e">
        <f ca="1">'Historical - Raw data'!BE73</f>
        <v>#N/A</v>
      </c>
      <c r="BV78" s="58" t="e">
        <f ca="1">'Historical - Raw data'!BF73</f>
        <v>#N/A</v>
      </c>
      <c r="BW78" s="58" t="e">
        <f ca="1">'Historical - Raw data'!BG73</f>
        <v>#N/A</v>
      </c>
    </row>
    <row r="79" spans="63:75" ht="15" customHeight="1">
      <c r="BK79" s="97" t="e">
        <f>'Historical - Raw data'!AU74</f>
        <v>#N/A</v>
      </c>
      <c r="BL79" s="58" t="e">
        <f ca="1">'Historical - Raw data'!AV74</f>
        <v>#N/A</v>
      </c>
      <c r="BM79" s="58" t="e">
        <f ca="1">'Historical - Raw data'!AW74</f>
        <v>#N/A</v>
      </c>
      <c r="BN79" s="58" t="e">
        <f ca="1">'Historical - Raw data'!AX74</f>
        <v>#N/A</v>
      </c>
      <c r="BO79" s="58" t="e">
        <f ca="1">'Historical - Raw data'!AY74</f>
        <v>#N/A</v>
      </c>
      <c r="BP79" s="58" t="e">
        <f ca="1">'Historical - Raw data'!AZ74</f>
        <v>#N/A</v>
      </c>
      <c r="BQ79" s="58" t="e">
        <f ca="1">'Historical - Raw data'!BA74</f>
        <v>#N/A</v>
      </c>
      <c r="BR79" s="58" t="e">
        <f ca="1">'Historical - Raw data'!BB74</f>
        <v>#N/A</v>
      </c>
      <c r="BS79" s="58" t="e">
        <f ca="1">'Historical - Raw data'!BC74</f>
        <v>#N/A</v>
      </c>
      <c r="BT79" s="58" t="e">
        <f ca="1">'Historical - Raw data'!BD74</f>
        <v>#N/A</v>
      </c>
      <c r="BU79" s="58" t="e">
        <f ca="1">'Historical - Raw data'!BE74</f>
        <v>#N/A</v>
      </c>
      <c r="BV79" s="58" t="e">
        <f ca="1">'Historical - Raw data'!BF74</f>
        <v>#N/A</v>
      </c>
      <c r="BW79" s="58" t="e">
        <f ca="1">'Historical - Raw data'!BG74</f>
        <v>#N/A</v>
      </c>
    </row>
    <row r="80" spans="63:75" ht="15" customHeight="1">
      <c r="BK80" s="97" t="e">
        <f>'Historical - Raw data'!AU75</f>
        <v>#N/A</v>
      </c>
      <c r="BL80" s="58" t="e">
        <f ca="1">'Historical - Raw data'!AV75</f>
        <v>#N/A</v>
      </c>
      <c r="BM80" s="58" t="e">
        <f ca="1">'Historical - Raw data'!AW75</f>
        <v>#N/A</v>
      </c>
      <c r="BN80" s="58" t="e">
        <f ca="1">'Historical - Raw data'!AX75</f>
        <v>#N/A</v>
      </c>
      <c r="BO80" s="58" t="e">
        <f ca="1">'Historical - Raw data'!AY75</f>
        <v>#N/A</v>
      </c>
      <c r="BP80" s="58" t="e">
        <f ca="1">'Historical - Raw data'!AZ75</f>
        <v>#N/A</v>
      </c>
      <c r="BQ80" s="58" t="e">
        <f ca="1">'Historical - Raw data'!BA75</f>
        <v>#N/A</v>
      </c>
      <c r="BR80" s="58" t="e">
        <f ca="1">'Historical - Raw data'!BB75</f>
        <v>#N/A</v>
      </c>
      <c r="BS80" s="58" t="e">
        <f ca="1">'Historical - Raw data'!BC75</f>
        <v>#N/A</v>
      </c>
      <c r="BT80" s="58" t="e">
        <f ca="1">'Historical - Raw data'!BD75</f>
        <v>#N/A</v>
      </c>
      <c r="BU80" s="58" t="e">
        <f ca="1">'Historical - Raw data'!BE75</f>
        <v>#N/A</v>
      </c>
      <c r="BV80" s="58" t="e">
        <f ca="1">'Historical - Raw data'!BF75</f>
        <v>#N/A</v>
      </c>
      <c r="BW80" s="58" t="e">
        <f ca="1">'Historical - Raw data'!BG75</f>
        <v>#N/A</v>
      </c>
    </row>
    <row r="81" spans="63:75" ht="15" customHeight="1">
      <c r="BK81" s="97" t="e">
        <f>'Historical - Raw data'!AU76</f>
        <v>#N/A</v>
      </c>
      <c r="BL81" s="58" t="e">
        <f ca="1">'Historical - Raw data'!AV76</f>
        <v>#N/A</v>
      </c>
      <c r="BM81" s="58" t="e">
        <f ca="1">'Historical - Raw data'!AW76</f>
        <v>#N/A</v>
      </c>
      <c r="BN81" s="58" t="e">
        <f ca="1">'Historical - Raw data'!AX76</f>
        <v>#N/A</v>
      </c>
      <c r="BO81" s="58" t="e">
        <f ca="1">'Historical - Raw data'!AY76</f>
        <v>#N/A</v>
      </c>
      <c r="BP81" s="58" t="e">
        <f ca="1">'Historical - Raw data'!AZ76</f>
        <v>#N/A</v>
      </c>
      <c r="BQ81" s="58" t="e">
        <f ca="1">'Historical - Raw data'!BA76</f>
        <v>#N/A</v>
      </c>
      <c r="BR81" s="58" t="e">
        <f ca="1">'Historical - Raw data'!BB76</f>
        <v>#N/A</v>
      </c>
      <c r="BS81" s="58" t="e">
        <f ca="1">'Historical - Raw data'!BC76</f>
        <v>#N/A</v>
      </c>
      <c r="BT81" s="58" t="e">
        <f ca="1">'Historical - Raw data'!BD76</f>
        <v>#N/A</v>
      </c>
      <c r="BU81" s="58" t="e">
        <f ca="1">'Historical - Raw data'!BE76</f>
        <v>#N/A</v>
      </c>
      <c r="BV81" s="58" t="e">
        <f ca="1">'Historical - Raw data'!BF76</f>
        <v>#N/A</v>
      </c>
      <c r="BW81" s="58" t="e">
        <f ca="1">'Historical - Raw data'!BG76</f>
        <v>#N/A</v>
      </c>
    </row>
    <row r="82" spans="63:75" ht="15" customHeight="1">
      <c r="BK82" s="97" t="e">
        <f>'Historical - Raw data'!AU77</f>
        <v>#N/A</v>
      </c>
      <c r="BL82" s="58" t="e">
        <f ca="1">'Historical - Raw data'!AV77</f>
        <v>#N/A</v>
      </c>
      <c r="BM82" s="58" t="e">
        <f ca="1">'Historical - Raw data'!AW77</f>
        <v>#N/A</v>
      </c>
      <c r="BN82" s="58" t="e">
        <f ca="1">'Historical - Raw data'!AX77</f>
        <v>#N/A</v>
      </c>
      <c r="BO82" s="58" t="e">
        <f ca="1">'Historical - Raw data'!AY77</f>
        <v>#N/A</v>
      </c>
      <c r="BP82" s="58" t="e">
        <f ca="1">'Historical - Raw data'!AZ77</f>
        <v>#N/A</v>
      </c>
      <c r="BQ82" s="58" t="e">
        <f ca="1">'Historical - Raw data'!BA77</f>
        <v>#N/A</v>
      </c>
      <c r="BR82" s="58" t="e">
        <f ca="1">'Historical - Raw data'!BB77</f>
        <v>#N/A</v>
      </c>
      <c r="BS82" s="58" t="e">
        <f ca="1">'Historical - Raw data'!BC77</f>
        <v>#N/A</v>
      </c>
      <c r="BT82" s="58" t="e">
        <f ca="1">'Historical - Raw data'!BD77</f>
        <v>#N/A</v>
      </c>
      <c r="BU82" s="58" t="e">
        <f ca="1">'Historical - Raw data'!BE77</f>
        <v>#N/A</v>
      </c>
      <c r="BV82" s="58" t="e">
        <f ca="1">'Historical - Raw data'!BF77</f>
        <v>#N/A</v>
      </c>
      <c r="BW82" s="58" t="e">
        <f ca="1">'Historical - Raw data'!BG77</f>
        <v>#N/A</v>
      </c>
    </row>
    <row r="83" spans="63:75" ht="15" customHeight="1">
      <c r="BK83" s="97" t="e">
        <f>'Historical - Raw data'!AU78</f>
        <v>#N/A</v>
      </c>
      <c r="BL83" s="58" t="e">
        <f ca="1">'Historical - Raw data'!AV78</f>
        <v>#N/A</v>
      </c>
      <c r="BM83" s="58" t="e">
        <f ca="1">'Historical - Raw data'!AW78</f>
        <v>#N/A</v>
      </c>
      <c r="BN83" s="58" t="e">
        <f ca="1">'Historical - Raw data'!AX78</f>
        <v>#N/A</v>
      </c>
      <c r="BO83" s="58" t="e">
        <f ca="1">'Historical - Raw data'!AY78</f>
        <v>#N/A</v>
      </c>
      <c r="BP83" s="58" t="e">
        <f ca="1">'Historical - Raw data'!AZ78</f>
        <v>#N/A</v>
      </c>
      <c r="BQ83" s="58" t="e">
        <f ca="1">'Historical - Raw data'!BA78</f>
        <v>#N/A</v>
      </c>
      <c r="BR83" s="58" t="e">
        <f ca="1">'Historical - Raw data'!BB78</f>
        <v>#N/A</v>
      </c>
      <c r="BS83" s="58" t="e">
        <f ca="1">'Historical - Raw data'!BC78</f>
        <v>#N/A</v>
      </c>
      <c r="BT83" s="58" t="e">
        <f ca="1">'Historical - Raw data'!BD78</f>
        <v>#N/A</v>
      </c>
      <c r="BU83" s="58" t="e">
        <f ca="1">'Historical - Raw data'!BE78</f>
        <v>#N/A</v>
      </c>
      <c r="BV83" s="58" t="e">
        <f ca="1">'Historical - Raw data'!BF78</f>
        <v>#N/A</v>
      </c>
      <c r="BW83" s="58" t="e">
        <f ca="1">'Historical - Raw data'!BG78</f>
        <v>#N/A</v>
      </c>
    </row>
    <row r="84" spans="63:75" ht="15" customHeight="1">
      <c r="BK84" s="97" t="e">
        <f>'Historical - Raw data'!AU79</f>
        <v>#N/A</v>
      </c>
      <c r="BL84" s="58" t="e">
        <f ca="1">'Historical - Raw data'!AV79</f>
        <v>#N/A</v>
      </c>
      <c r="BM84" s="58" t="e">
        <f ca="1">'Historical - Raw data'!AW79</f>
        <v>#N/A</v>
      </c>
      <c r="BN84" s="58" t="e">
        <f ca="1">'Historical - Raw data'!AX79</f>
        <v>#N/A</v>
      </c>
      <c r="BO84" s="58" t="e">
        <f ca="1">'Historical - Raw data'!AY79</f>
        <v>#N/A</v>
      </c>
      <c r="BP84" s="58" t="e">
        <f ca="1">'Historical - Raw data'!AZ79</f>
        <v>#N/A</v>
      </c>
      <c r="BQ84" s="58" t="e">
        <f ca="1">'Historical - Raw data'!BA79</f>
        <v>#N/A</v>
      </c>
      <c r="BR84" s="58" t="e">
        <f ca="1">'Historical - Raw data'!BB79</f>
        <v>#N/A</v>
      </c>
      <c r="BS84" s="58" t="e">
        <f ca="1">'Historical - Raw data'!BC79</f>
        <v>#N/A</v>
      </c>
      <c r="BT84" s="58" t="e">
        <f ca="1">'Historical - Raw data'!BD79</f>
        <v>#N/A</v>
      </c>
      <c r="BU84" s="58" t="e">
        <f ca="1">'Historical - Raw data'!BE79</f>
        <v>#N/A</v>
      </c>
      <c r="BV84" s="58" t="e">
        <f ca="1">'Historical - Raw data'!BF79</f>
        <v>#N/A</v>
      </c>
      <c r="BW84" s="58" t="e">
        <f ca="1">'Historical - Raw data'!BG79</f>
        <v>#N/A</v>
      </c>
    </row>
    <row r="85" spans="63:75" ht="15" customHeight="1">
      <c r="BK85" s="97" t="e">
        <f>'Historical - Raw data'!AU80</f>
        <v>#N/A</v>
      </c>
      <c r="BL85" s="58" t="e">
        <f ca="1">'Historical - Raw data'!AV80</f>
        <v>#N/A</v>
      </c>
      <c r="BM85" s="58" t="e">
        <f ca="1">'Historical - Raw data'!AW80</f>
        <v>#N/A</v>
      </c>
      <c r="BN85" s="58" t="e">
        <f ca="1">'Historical - Raw data'!AX80</f>
        <v>#N/A</v>
      </c>
      <c r="BO85" s="58" t="e">
        <f ca="1">'Historical - Raw data'!AY80</f>
        <v>#N/A</v>
      </c>
      <c r="BP85" s="58" t="e">
        <f ca="1">'Historical - Raw data'!AZ80</f>
        <v>#N/A</v>
      </c>
      <c r="BQ85" s="58" t="e">
        <f ca="1">'Historical - Raw data'!BA80</f>
        <v>#N/A</v>
      </c>
      <c r="BR85" s="58" t="e">
        <f ca="1">'Historical - Raw data'!BB80</f>
        <v>#N/A</v>
      </c>
      <c r="BS85" s="58" t="e">
        <f ca="1">'Historical - Raw data'!BC80</f>
        <v>#N/A</v>
      </c>
      <c r="BT85" s="58" t="e">
        <f ca="1">'Historical - Raw data'!BD80</f>
        <v>#N/A</v>
      </c>
      <c r="BU85" s="58" t="e">
        <f ca="1">'Historical - Raw data'!BE80</f>
        <v>#N/A</v>
      </c>
      <c r="BV85" s="58" t="e">
        <f ca="1">'Historical - Raw data'!BF80</f>
        <v>#N/A</v>
      </c>
      <c r="BW85" s="58" t="e">
        <f ca="1">'Historical - Raw data'!BG80</f>
        <v>#N/A</v>
      </c>
    </row>
    <row r="86" spans="63:75" ht="15" customHeight="1">
      <c r="BK86" s="97" t="e">
        <f>'Historical - Raw data'!AU81</f>
        <v>#N/A</v>
      </c>
      <c r="BL86" s="58" t="e">
        <f ca="1">'Historical - Raw data'!AV81</f>
        <v>#N/A</v>
      </c>
      <c r="BM86" s="58" t="e">
        <f ca="1">'Historical - Raw data'!AW81</f>
        <v>#N/A</v>
      </c>
      <c r="BN86" s="58" t="e">
        <f ca="1">'Historical - Raw data'!AX81</f>
        <v>#N/A</v>
      </c>
      <c r="BO86" s="58" t="e">
        <f ca="1">'Historical - Raw data'!AY81</f>
        <v>#N/A</v>
      </c>
      <c r="BP86" s="58" t="e">
        <f ca="1">'Historical - Raw data'!AZ81</f>
        <v>#N/A</v>
      </c>
      <c r="BQ86" s="58" t="e">
        <f ca="1">'Historical - Raw data'!BA81</f>
        <v>#N/A</v>
      </c>
      <c r="BR86" s="58" t="e">
        <f ca="1">'Historical - Raw data'!BB81</f>
        <v>#N/A</v>
      </c>
      <c r="BS86" s="58" t="e">
        <f ca="1">'Historical - Raw data'!BC81</f>
        <v>#N/A</v>
      </c>
      <c r="BT86" s="58" t="e">
        <f ca="1">'Historical - Raw data'!BD81</f>
        <v>#N/A</v>
      </c>
      <c r="BU86" s="58" t="e">
        <f ca="1">'Historical - Raw data'!BE81</f>
        <v>#N/A</v>
      </c>
      <c r="BV86" s="58" t="e">
        <f ca="1">'Historical - Raw data'!BF81</f>
        <v>#N/A</v>
      </c>
      <c r="BW86" s="58" t="e">
        <f ca="1">'Historical - Raw data'!BG81</f>
        <v>#N/A</v>
      </c>
    </row>
    <row r="87" spans="63:75" ht="15" customHeight="1">
      <c r="BK87" s="97" t="e">
        <f>'Historical - Raw data'!AU82</f>
        <v>#N/A</v>
      </c>
      <c r="BL87" s="58" t="e">
        <f ca="1">'Historical - Raw data'!AV82</f>
        <v>#N/A</v>
      </c>
      <c r="BM87" s="58" t="e">
        <f ca="1">'Historical - Raw data'!AW82</f>
        <v>#N/A</v>
      </c>
      <c r="BN87" s="58" t="e">
        <f ca="1">'Historical - Raw data'!AX82</f>
        <v>#N/A</v>
      </c>
      <c r="BO87" s="58" t="e">
        <f ca="1">'Historical - Raw data'!AY82</f>
        <v>#N/A</v>
      </c>
      <c r="BP87" s="58" t="e">
        <f ca="1">'Historical - Raw data'!AZ82</f>
        <v>#N/A</v>
      </c>
      <c r="BQ87" s="58" t="e">
        <f ca="1">'Historical - Raw data'!BA82</f>
        <v>#N/A</v>
      </c>
      <c r="BR87" s="58" t="e">
        <f ca="1">'Historical - Raw data'!BB82</f>
        <v>#N/A</v>
      </c>
      <c r="BS87" s="58" t="e">
        <f ca="1">'Historical - Raw data'!BC82</f>
        <v>#N/A</v>
      </c>
      <c r="BT87" s="58" t="e">
        <f ca="1">'Historical - Raw data'!BD82</f>
        <v>#N/A</v>
      </c>
      <c r="BU87" s="58" t="e">
        <f ca="1">'Historical - Raw data'!BE82</f>
        <v>#N/A</v>
      </c>
      <c r="BV87" s="58" t="e">
        <f ca="1">'Historical - Raw data'!BF82</f>
        <v>#N/A</v>
      </c>
      <c r="BW87" s="58" t="e">
        <f ca="1">'Historical - Raw data'!BG82</f>
        <v>#N/A</v>
      </c>
    </row>
    <row r="88" spans="63:75" ht="15" customHeight="1">
      <c r="BK88" s="97" t="e">
        <f>'Historical - Raw data'!AU83</f>
        <v>#N/A</v>
      </c>
      <c r="BL88" s="58" t="e">
        <f ca="1">'Historical - Raw data'!AV83</f>
        <v>#N/A</v>
      </c>
      <c r="BM88" s="58" t="e">
        <f ca="1">'Historical - Raw data'!AW83</f>
        <v>#N/A</v>
      </c>
      <c r="BN88" s="58" t="e">
        <f ca="1">'Historical - Raw data'!AX83</f>
        <v>#N/A</v>
      </c>
      <c r="BO88" s="58" t="e">
        <f ca="1">'Historical - Raw data'!AY83</f>
        <v>#N/A</v>
      </c>
      <c r="BP88" s="58" t="e">
        <f ca="1">'Historical - Raw data'!AZ83</f>
        <v>#N/A</v>
      </c>
      <c r="BQ88" s="58" t="e">
        <f ca="1">'Historical - Raw data'!BA83</f>
        <v>#N/A</v>
      </c>
      <c r="BR88" s="58" t="e">
        <f ca="1">'Historical - Raw data'!BB83</f>
        <v>#N/A</v>
      </c>
      <c r="BS88" s="58" t="e">
        <f ca="1">'Historical - Raw data'!BC83</f>
        <v>#N/A</v>
      </c>
      <c r="BT88" s="58" t="e">
        <f ca="1">'Historical - Raw data'!BD83</f>
        <v>#N/A</v>
      </c>
      <c r="BU88" s="58" t="e">
        <f ca="1">'Historical - Raw data'!BE83</f>
        <v>#N/A</v>
      </c>
      <c r="BV88" s="58" t="e">
        <f ca="1">'Historical - Raw data'!BF83</f>
        <v>#N/A</v>
      </c>
      <c r="BW88" s="58" t="e">
        <f ca="1">'Historical - Raw data'!BG83</f>
        <v>#N/A</v>
      </c>
    </row>
    <row r="89" spans="63:75" ht="15" customHeight="1">
      <c r="BK89" s="97" t="e">
        <f>'Historical - Raw data'!AU84</f>
        <v>#N/A</v>
      </c>
      <c r="BL89" s="58" t="e">
        <f ca="1">'Historical - Raw data'!AV84</f>
        <v>#N/A</v>
      </c>
      <c r="BM89" s="58" t="e">
        <f ca="1">'Historical - Raw data'!AW84</f>
        <v>#N/A</v>
      </c>
      <c r="BN89" s="58" t="e">
        <f ca="1">'Historical - Raw data'!AX84</f>
        <v>#N/A</v>
      </c>
      <c r="BO89" s="58" t="e">
        <f ca="1">'Historical - Raw data'!AY84</f>
        <v>#N/A</v>
      </c>
      <c r="BP89" s="58" t="e">
        <f ca="1">'Historical - Raw data'!AZ84</f>
        <v>#N/A</v>
      </c>
      <c r="BQ89" s="58" t="e">
        <f ca="1">'Historical - Raw data'!BA84</f>
        <v>#N/A</v>
      </c>
      <c r="BR89" s="58" t="e">
        <f ca="1">'Historical - Raw data'!BB84</f>
        <v>#N/A</v>
      </c>
      <c r="BS89" s="58" t="e">
        <f ca="1">'Historical - Raw data'!BC84</f>
        <v>#N/A</v>
      </c>
      <c r="BT89" s="58" t="e">
        <f ca="1">'Historical - Raw data'!BD84</f>
        <v>#N/A</v>
      </c>
      <c r="BU89" s="58" t="e">
        <f ca="1">'Historical - Raw data'!BE84</f>
        <v>#N/A</v>
      </c>
      <c r="BV89" s="58" t="e">
        <f ca="1">'Historical - Raw data'!BF84</f>
        <v>#N/A</v>
      </c>
      <c r="BW89" s="58" t="e">
        <f ca="1">'Historical - Raw data'!BG84</f>
        <v>#N/A</v>
      </c>
    </row>
    <row r="90" spans="63:75" ht="15" customHeight="1">
      <c r="BK90" s="97" t="e">
        <f>'Historical - Raw data'!AU85</f>
        <v>#N/A</v>
      </c>
      <c r="BL90" s="58" t="e">
        <f ca="1">'Historical - Raw data'!AV85</f>
        <v>#N/A</v>
      </c>
      <c r="BM90" s="58" t="e">
        <f ca="1">'Historical - Raw data'!AW85</f>
        <v>#N/A</v>
      </c>
      <c r="BN90" s="58" t="e">
        <f ca="1">'Historical - Raw data'!AX85</f>
        <v>#N/A</v>
      </c>
      <c r="BO90" s="58" t="e">
        <f ca="1">'Historical - Raw data'!AY85</f>
        <v>#N/A</v>
      </c>
      <c r="BP90" s="58" t="e">
        <f ca="1">'Historical - Raw data'!AZ85</f>
        <v>#N/A</v>
      </c>
      <c r="BQ90" s="58" t="e">
        <f ca="1">'Historical - Raw data'!BA85</f>
        <v>#N/A</v>
      </c>
      <c r="BR90" s="58" t="e">
        <f ca="1">'Historical - Raw data'!BB85</f>
        <v>#N/A</v>
      </c>
      <c r="BS90" s="58" t="e">
        <f ca="1">'Historical - Raw data'!BC85</f>
        <v>#N/A</v>
      </c>
      <c r="BT90" s="58" t="e">
        <f ca="1">'Historical - Raw data'!BD85</f>
        <v>#N/A</v>
      </c>
      <c r="BU90" s="58" t="e">
        <f ca="1">'Historical - Raw data'!BE85</f>
        <v>#N/A</v>
      </c>
      <c r="BV90" s="58" t="e">
        <f ca="1">'Historical - Raw data'!BF85</f>
        <v>#N/A</v>
      </c>
      <c r="BW90" s="58" t="e">
        <f ca="1">'Historical - Raw data'!BG85</f>
        <v>#N/A</v>
      </c>
    </row>
    <row r="91" spans="63:75" ht="15" customHeight="1">
      <c r="BK91" s="97" t="e">
        <f>'Historical - Raw data'!AU86</f>
        <v>#N/A</v>
      </c>
      <c r="BL91" s="58" t="e">
        <f ca="1">'Historical - Raw data'!AV86</f>
        <v>#N/A</v>
      </c>
      <c r="BM91" s="58" t="e">
        <f ca="1">'Historical - Raw data'!AW86</f>
        <v>#N/A</v>
      </c>
      <c r="BN91" s="58" t="e">
        <f ca="1">'Historical - Raw data'!AX86</f>
        <v>#N/A</v>
      </c>
      <c r="BO91" s="58" t="e">
        <f ca="1">'Historical - Raw data'!AY86</f>
        <v>#N/A</v>
      </c>
      <c r="BP91" s="58" t="e">
        <f ca="1">'Historical - Raw data'!AZ86</f>
        <v>#N/A</v>
      </c>
      <c r="BQ91" s="58" t="e">
        <f ca="1">'Historical - Raw data'!BA86</f>
        <v>#N/A</v>
      </c>
      <c r="BR91" s="58" t="e">
        <f ca="1">'Historical - Raw data'!BB86</f>
        <v>#N/A</v>
      </c>
      <c r="BS91" s="58" t="e">
        <f ca="1">'Historical - Raw data'!BC86</f>
        <v>#N/A</v>
      </c>
      <c r="BT91" s="58" t="e">
        <f ca="1">'Historical - Raw data'!BD86</f>
        <v>#N/A</v>
      </c>
      <c r="BU91" s="58" t="e">
        <f ca="1">'Historical - Raw data'!BE86</f>
        <v>#N/A</v>
      </c>
      <c r="BV91" s="58" t="e">
        <f ca="1">'Historical - Raw data'!BF86</f>
        <v>#N/A</v>
      </c>
      <c r="BW91" s="58" t="e">
        <f ca="1">'Historical - Raw data'!BG86</f>
        <v>#N/A</v>
      </c>
    </row>
    <row r="92" spans="63:75" ht="15" customHeight="1">
      <c r="BK92" s="97" t="e">
        <f>'Historical - Raw data'!AU87</f>
        <v>#N/A</v>
      </c>
      <c r="BL92" s="58" t="e">
        <f ca="1">'Historical - Raw data'!AV87</f>
        <v>#N/A</v>
      </c>
      <c r="BM92" s="58" t="e">
        <f ca="1">'Historical - Raw data'!AW87</f>
        <v>#N/A</v>
      </c>
      <c r="BN92" s="58" t="e">
        <f ca="1">'Historical - Raw data'!AX87</f>
        <v>#N/A</v>
      </c>
      <c r="BO92" s="58" t="e">
        <f ca="1">'Historical - Raw data'!AY87</f>
        <v>#N/A</v>
      </c>
      <c r="BP92" s="58" t="e">
        <f ca="1">'Historical - Raw data'!AZ87</f>
        <v>#N/A</v>
      </c>
      <c r="BQ92" s="58" t="e">
        <f ca="1">'Historical - Raw data'!BA87</f>
        <v>#N/A</v>
      </c>
      <c r="BR92" s="58" t="e">
        <f ca="1">'Historical - Raw data'!BB87</f>
        <v>#N/A</v>
      </c>
      <c r="BS92" s="58" t="e">
        <f ca="1">'Historical - Raw data'!BC87</f>
        <v>#N/A</v>
      </c>
      <c r="BT92" s="58" t="e">
        <f ca="1">'Historical - Raw data'!BD87</f>
        <v>#N/A</v>
      </c>
      <c r="BU92" s="58" t="e">
        <f ca="1">'Historical - Raw data'!BE87</f>
        <v>#N/A</v>
      </c>
      <c r="BV92" s="58" t="e">
        <f ca="1">'Historical - Raw data'!BF87</f>
        <v>#N/A</v>
      </c>
      <c r="BW92" s="58" t="e">
        <f ca="1">'Historical - Raw data'!BG87</f>
        <v>#N/A</v>
      </c>
    </row>
    <row r="93" spans="63:75" ht="15" customHeight="1">
      <c r="BK93" s="97" t="e">
        <f>'Historical - Raw data'!AU88</f>
        <v>#N/A</v>
      </c>
      <c r="BL93" s="58" t="e">
        <f ca="1">'Historical - Raw data'!AV88</f>
        <v>#N/A</v>
      </c>
      <c r="BM93" s="58" t="e">
        <f ca="1">'Historical - Raw data'!AW88</f>
        <v>#N/A</v>
      </c>
      <c r="BN93" s="58" t="e">
        <f ca="1">'Historical - Raw data'!AX88</f>
        <v>#N/A</v>
      </c>
      <c r="BO93" s="58" t="e">
        <f ca="1">'Historical - Raw data'!AY88</f>
        <v>#N/A</v>
      </c>
      <c r="BP93" s="58" t="e">
        <f ca="1">'Historical - Raw data'!AZ88</f>
        <v>#N/A</v>
      </c>
      <c r="BQ93" s="58" t="e">
        <f ca="1">'Historical - Raw data'!BA88</f>
        <v>#N/A</v>
      </c>
      <c r="BR93" s="58" t="e">
        <f ca="1">'Historical - Raw data'!BB88</f>
        <v>#N/A</v>
      </c>
      <c r="BS93" s="58" t="e">
        <f ca="1">'Historical - Raw data'!BC88</f>
        <v>#N/A</v>
      </c>
      <c r="BT93" s="58" t="e">
        <f ca="1">'Historical - Raw data'!BD88</f>
        <v>#N/A</v>
      </c>
      <c r="BU93" s="58" t="e">
        <f ca="1">'Historical - Raw data'!BE88</f>
        <v>#N/A</v>
      </c>
      <c r="BV93" s="58" t="e">
        <f ca="1">'Historical - Raw data'!BF88</f>
        <v>#N/A</v>
      </c>
      <c r="BW93" s="58" t="e">
        <f ca="1">'Historical - Raw data'!BG88</f>
        <v>#N/A</v>
      </c>
    </row>
    <row r="94" spans="63:75" ht="15" customHeight="1">
      <c r="BK94" s="97" t="e">
        <f>'Historical - Raw data'!AU89</f>
        <v>#N/A</v>
      </c>
      <c r="BL94" s="58" t="e">
        <f ca="1">'Historical - Raw data'!AV89</f>
        <v>#N/A</v>
      </c>
      <c r="BM94" s="58" t="e">
        <f ca="1">'Historical - Raw data'!AW89</f>
        <v>#N/A</v>
      </c>
      <c r="BN94" s="58" t="e">
        <f ca="1">'Historical - Raw data'!AX89</f>
        <v>#N/A</v>
      </c>
      <c r="BO94" s="58" t="e">
        <f ca="1">'Historical - Raw data'!AY89</f>
        <v>#N/A</v>
      </c>
      <c r="BP94" s="58" t="e">
        <f ca="1">'Historical - Raw data'!AZ89</f>
        <v>#N/A</v>
      </c>
      <c r="BQ94" s="58" t="e">
        <f ca="1">'Historical - Raw data'!BA89</f>
        <v>#N/A</v>
      </c>
      <c r="BR94" s="58" t="e">
        <f ca="1">'Historical - Raw data'!BB89</f>
        <v>#N/A</v>
      </c>
      <c r="BS94" s="58" t="e">
        <f ca="1">'Historical - Raw data'!BC89</f>
        <v>#N/A</v>
      </c>
      <c r="BT94" s="58" t="e">
        <f ca="1">'Historical - Raw data'!BD89</f>
        <v>#N/A</v>
      </c>
      <c r="BU94" s="58" t="e">
        <f ca="1">'Historical - Raw data'!BE89</f>
        <v>#N/A</v>
      </c>
      <c r="BV94" s="58" t="e">
        <f ca="1">'Historical - Raw data'!BF89</f>
        <v>#N/A</v>
      </c>
      <c r="BW94" s="58" t="e">
        <f ca="1">'Historical - Raw data'!BG89</f>
        <v>#N/A</v>
      </c>
    </row>
    <row r="95" spans="63:75" ht="15" customHeight="1">
      <c r="BK95" s="97" t="e">
        <f>'Historical - Raw data'!AU90</f>
        <v>#N/A</v>
      </c>
      <c r="BL95" s="58" t="e">
        <f ca="1">'Historical - Raw data'!AV90</f>
        <v>#N/A</v>
      </c>
      <c r="BM95" s="58" t="e">
        <f ca="1">'Historical - Raw data'!AW90</f>
        <v>#N/A</v>
      </c>
      <c r="BN95" s="58" t="e">
        <f ca="1">'Historical - Raw data'!AX90</f>
        <v>#N/A</v>
      </c>
      <c r="BO95" s="58" t="e">
        <f ca="1">'Historical - Raw data'!AY90</f>
        <v>#N/A</v>
      </c>
      <c r="BP95" s="58" t="e">
        <f ca="1">'Historical - Raw data'!AZ90</f>
        <v>#N/A</v>
      </c>
      <c r="BQ95" s="58" t="e">
        <f ca="1">'Historical - Raw data'!BA90</f>
        <v>#N/A</v>
      </c>
      <c r="BR95" s="58" t="e">
        <f ca="1">'Historical - Raw data'!BB90</f>
        <v>#N/A</v>
      </c>
      <c r="BS95" s="58" t="e">
        <f ca="1">'Historical - Raw data'!BC90</f>
        <v>#N/A</v>
      </c>
      <c r="BT95" s="58" t="e">
        <f ca="1">'Historical - Raw data'!BD90</f>
        <v>#N/A</v>
      </c>
      <c r="BU95" s="58" t="e">
        <f ca="1">'Historical - Raw data'!BE90</f>
        <v>#N/A</v>
      </c>
      <c r="BV95" s="58" t="e">
        <f ca="1">'Historical - Raw data'!BF90</f>
        <v>#N/A</v>
      </c>
      <c r="BW95" s="58" t="e">
        <f ca="1">'Historical - Raw data'!BG90</f>
        <v>#N/A</v>
      </c>
    </row>
    <row r="96" spans="63:75" ht="15" customHeight="1">
      <c r="BK96" s="97" t="e">
        <f>'Historical - Raw data'!AU91</f>
        <v>#N/A</v>
      </c>
      <c r="BL96" s="58" t="e">
        <f ca="1">'Historical - Raw data'!AV91</f>
        <v>#N/A</v>
      </c>
      <c r="BM96" s="58" t="e">
        <f ca="1">'Historical - Raw data'!AW91</f>
        <v>#N/A</v>
      </c>
      <c r="BN96" s="58" t="e">
        <f ca="1">'Historical - Raw data'!AX91</f>
        <v>#N/A</v>
      </c>
      <c r="BO96" s="58" t="e">
        <f ca="1">'Historical - Raw data'!AY91</f>
        <v>#N/A</v>
      </c>
      <c r="BP96" s="58" t="e">
        <f ca="1">'Historical - Raw data'!AZ91</f>
        <v>#N/A</v>
      </c>
      <c r="BQ96" s="58" t="e">
        <f ca="1">'Historical - Raw data'!BA91</f>
        <v>#N/A</v>
      </c>
      <c r="BR96" s="58" t="e">
        <f ca="1">'Historical - Raw data'!BB91</f>
        <v>#N/A</v>
      </c>
      <c r="BS96" s="58" t="e">
        <f ca="1">'Historical - Raw data'!BC91</f>
        <v>#N/A</v>
      </c>
      <c r="BT96" s="58" t="e">
        <f ca="1">'Historical - Raw data'!BD91</f>
        <v>#N/A</v>
      </c>
      <c r="BU96" s="58" t="e">
        <f ca="1">'Historical - Raw data'!BE91</f>
        <v>#N/A</v>
      </c>
      <c r="BV96" s="58" t="e">
        <f ca="1">'Historical - Raw data'!BF91</f>
        <v>#N/A</v>
      </c>
      <c r="BW96" s="58" t="e">
        <f ca="1">'Historical - Raw data'!BG91</f>
        <v>#N/A</v>
      </c>
    </row>
    <row r="97" spans="63:75" ht="15" customHeight="1">
      <c r="BK97" s="97" t="e">
        <f>'Historical - Raw data'!AU92</f>
        <v>#N/A</v>
      </c>
      <c r="BL97" s="58" t="e">
        <f ca="1">'Historical - Raw data'!AV92</f>
        <v>#N/A</v>
      </c>
      <c r="BM97" s="58" t="e">
        <f ca="1">'Historical - Raw data'!AW92</f>
        <v>#N/A</v>
      </c>
      <c r="BN97" s="58" t="e">
        <f ca="1">'Historical - Raw data'!AX92</f>
        <v>#N/A</v>
      </c>
      <c r="BO97" s="58" t="e">
        <f ca="1">'Historical - Raw data'!AY92</f>
        <v>#N/A</v>
      </c>
      <c r="BP97" s="58" t="e">
        <f ca="1">'Historical - Raw data'!AZ92</f>
        <v>#N/A</v>
      </c>
      <c r="BQ97" s="58" t="e">
        <f ca="1">'Historical - Raw data'!BA92</f>
        <v>#N/A</v>
      </c>
      <c r="BR97" s="58" t="e">
        <f ca="1">'Historical - Raw data'!BB92</f>
        <v>#N/A</v>
      </c>
      <c r="BS97" s="58" t="e">
        <f ca="1">'Historical - Raw data'!BC92</f>
        <v>#N/A</v>
      </c>
      <c r="BT97" s="58" t="e">
        <f ca="1">'Historical - Raw data'!BD92</f>
        <v>#N/A</v>
      </c>
      <c r="BU97" s="58" t="e">
        <f ca="1">'Historical - Raw data'!BE92</f>
        <v>#N/A</v>
      </c>
      <c r="BV97" s="58" t="e">
        <f ca="1">'Historical - Raw data'!BF92</f>
        <v>#N/A</v>
      </c>
      <c r="BW97" s="58" t="e">
        <f ca="1">'Historical - Raw data'!BG92</f>
        <v>#N/A</v>
      </c>
    </row>
    <row r="98" spans="63:75" ht="15" customHeight="1">
      <c r="BK98" s="97" t="e">
        <f>'Historical - Raw data'!AU93</f>
        <v>#N/A</v>
      </c>
      <c r="BL98" s="58" t="e">
        <f ca="1">'Historical - Raw data'!AV93</f>
        <v>#N/A</v>
      </c>
      <c r="BM98" s="58" t="e">
        <f ca="1">'Historical - Raw data'!AW93</f>
        <v>#N/A</v>
      </c>
      <c r="BN98" s="58" t="e">
        <f ca="1">'Historical - Raw data'!AX93</f>
        <v>#N/A</v>
      </c>
      <c r="BO98" s="58" t="e">
        <f ca="1">'Historical - Raw data'!AY93</f>
        <v>#N/A</v>
      </c>
      <c r="BP98" s="58" t="e">
        <f ca="1">'Historical - Raw data'!AZ93</f>
        <v>#N/A</v>
      </c>
      <c r="BQ98" s="58" t="e">
        <f ca="1">'Historical - Raw data'!BA93</f>
        <v>#N/A</v>
      </c>
      <c r="BR98" s="58" t="e">
        <f ca="1">'Historical - Raw data'!BB93</f>
        <v>#N/A</v>
      </c>
      <c r="BS98" s="58" t="e">
        <f ca="1">'Historical - Raw data'!BC93</f>
        <v>#N/A</v>
      </c>
      <c r="BT98" s="58" t="e">
        <f ca="1">'Historical - Raw data'!BD93</f>
        <v>#N/A</v>
      </c>
      <c r="BU98" s="58" t="e">
        <f ca="1">'Historical - Raw data'!BE93</f>
        <v>#N/A</v>
      </c>
      <c r="BV98" s="58" t="e">
        <f ca="1">'Historical - Raw data'!BF93</f>
        <v>#N/A</v>
      </c>
      <c r="BW98" s="58" t="e">
        <f ca="1">'Historical - Raw data'!BG93</f>
        <v>#N/A</v>
      </c>
    </row>
    <row r="99" spans="63:75" ht="15" customHeight="1">
      <c r="BK99" s="97" t="e">
        <f>'Historical - Raw data'!AU94</f>
        <v>#N/A</v>
      </c>
      <c r="BL99" s="58" t="e">
        <f ca="1">'Historical - Raw data'!AV94</f>
        <v>#N/A</v>
      </c>
      <c r="BM99" s="58" t="e">
        <f ca="1">'Historical - Raw data'!AW94</f>
        <v>#N/A</v>
      </c>
      <c r="BN99" s="58" t="e">
        <f ca="1">'Historical - Raw data'!AX94</f>
        <v>#N/A</v>
      </c>
      <c r="BO99" s="58" t="e">
        <f ca="1">'Historical - Raw data'!AY94</f>
        <v>#N/A</v>
      </c>
      <c r="BP99" s="58" t="e">
        <f ca="1">'Historical - Raw data'!AZ94</f>
        <v>#N/A</v>
      </c>
      <c r="BQ99" s="58" t="e">
        <f ca="1">'Historical - Raw data'!BA94</f>
        <v>#N/A</v>
      </c>
      <c r="BR99" s="58" t="e">
        <f ca="1">'Historical - Raw data'!BB94</f>
        <v>#N/A</v>
      </c>
      <c r="BS99" s="58" t="e">
        <f ca="1">'Historical - Raw data'!BC94</f>
        <v>#N/A</v>
      </c>
      <c r="BT99" s="58" t="e">
        <f ca="1">'Historical - Raw data'!BD94</f>
        <v>#N/A</v>
      </c>
      <c r="BU99" s="58" t="e">
        <f ca="1">'Historical - Raw data'!BE94</f>
        <v>#N/A</v>
      </c>
      <c r="BV99" s="58" t="e">
        <f ca="1">'Historical - Raw data'!BF94</f>
        <v>#N/A</v>
      </c>
      <c r="BW99" s="58" t="e">
        <f ca="1">'Historical - Raw data'!BG94</f>
        <v>#N/A</v>
      </c>
    </row>
    <row r="100" spans="63:75" ht="15" customHeight="1">
      <c r="BK100" s="97" t="e">
        <f>'Historical - Raw data'!AU95</f>
        <v>#N/A</v>
      </c>
      <c r="BL100" s="58" t="e">
        <f ca="1">'Historical - Raw data'!AV95</f>
        <v>#N/A</v>
      </c>
      <c r="BM100" s="58" t="e">
        <f ca="1">'Historical - Raw data'!AW95</f>
        <v>#N/A</v>
      </c>
      <c r="BN100" s="58" t="e">
        <f ca="1">'Historical - Raw data'!AX95</f>
        <v>#N/A</v>
      </c>
      <c r="BO100" s="58" t="e">
        <f ca="1">'Historical - Raw data'!AY95</f>
        <v>#N/A</v>
      </c>
      <c r="BP100" s="58" t="e">
        <f ca="1">'Historical - Raw data'!AZ95</f>
        <v>#N/A</v>
      </c>
      <c r="BQ100" s="58" t="e">
        <f ca="1">'Historical - Raw data'!BA95</f>
        <v>#N/A</v>
      </c>
      <c r="BR100" s="58" t="e">
        <f ca="1">'Historical - Raw data'!BB95</f>
        <v>#N/A</v>
      </c>
      <c r="BS100" s="58" t="e">
        <f ca="1">'Historical - Raw data'!BC95</f>
        <v>#N/A</v>
      </c>
      <c r="BT100" s="58" t="e">
        <f ca="1">'Historical - Raw data'!BD95</f>
        <v>#N/A</v>
      </c>
      <c r="BU100" s="58" t="e">
        <f ca="1">'Historical - Raw data'!BE95</f>
        <v>#N/A</v>
      </c>
      <c r="BV100" s="58" t="e">
        <f ca="1">'Historical - Raw data'!BF95</f>
        <v>#N/A</v>
      </c>
      <c r="BW100" s="58" t="e">
        <f ca="1">'Historical - Raw data'!BG95</f>
        <v>#N/A</v>
      </c>
    </row>
    <row r="101" spans="63:75" ht="15" customHeight="1">
      <c r="BK101" s="97" t="e">
        <f>'Historical - Raw data'!AU96</f>
        <v>#N/A</v>
      </c>
      <c r="BL101" s="58" t="e">
        <f ca="1">'Historical - Raw data'!AV96</f>
        <v>#N/A</v>
      </c>
      <c r="BM101" s="58" t="e">
        <f ca="1">'Historical - Raw data'!AW96</f>
        <v>#N/A</v>
      </c>
      <c r="BN101" s="58" t="e">
        <f ca="1">'Historical - Raw data'!AX96</f>
        <v>#N/A</v>
      </c>
      <c r="BO101" s="58" t="e">
        <f ca="1">'Historical - Raw data'!AY96</f>
        <v>#N/A</v>
      </c>
      <c r="BP101" s="58" t="e">
        <f ca="1">'Historical - Raw data'!AZ96</f>
        <v>#N/A</v>
      </c>
      <c r="BQ101" s="58" t="e">
        <f ca="1">'Historical - Raw data'!BA96</f>
        <v>#N/A</v>
      </c>
      <c r="BR101" s="58" t="e">
        <f ca="1">'Historical - Raw data'!BB96</f>
        <v>#N/A</v>
      </c>
      <c r="BS101" s="58" t="e">
        <f ca="1">'Historical - Raw data'!BC96</f>
        <v>#N/A</v>
      </c>
      <c r="BT101" s="58" t="e">
        <f ca="1">'Historical - Raw data'!BD96</f>
        <v>#N/A</v>
      </c>
      <c r="BU101" s="58" t="e">
        <f ca="1">'Historical - Raw data'!BE96</f>
        <v>#N/A</v>
      </c>
      <c r="BV101" s="58" t="e">
        <f ca="1">'Historical - Raw data'!BF96</f>
        <v>#N/A</v>
      </c>
      <c r="BW101" s="58" t="e">
        <f ca="1">'Historical - Raw data'!BG96</f>
        <v>#N/A</v>
      </c>
    </row>
    <row r="102" spans="63:75" ht="15" customHeight="1">
      <c r="BK102" s="97" t="e">
        <f>'Historical - Raw data'!AU97</f>
        <v>#N/A</v>
      </c>
      <c r="BL102" s="58" t="e">
        <f ca="1">'Historical - Raw data'!AV97</f>
        <v>#N/A</v>
      </c>
      <c r="BM102" s="58" t="e">
        <f ca="1">'Historical - Raw data'!AW97</f>
        <v>#N/A</v>
      </c>
      <c r="BN102" s="58" t="e">
        <f ca="1">'Historical - Raw data'!AX97</f>
        <v>#N/A</v>
      </c>
      <c r="BO102" s="58" t="e">
        <f ca="1">'Historical - Raw data'!AY97</f>
        <v>#N/A</v>
      </c>
      <c r="BP102" s="58" t="e">
        <f ca="1">'Historical - Raw data'!AZ97</f>
        <v>#N/A</v>
      </c>
      <c r="BQ102" s="58" t="e">
        <f ca="1">'Historical - Raw data'!BA97</f>
        <v>#N/A</v>
      </c>
      <c r="BR102" s="58" t="e">
        <f ca="1">'Historical - Raw data'!BB97</f>
        <v>#N/A</v>
      </c>
      <c r="BS102" s="58" t="e">
        <f ca="1">'Historical - Raw data'!BC97</f>
        <v>#N/A</v>
      </c>
      <c r="BT102" s="58" t="e">
        <f ca="1">'Historical - Raw data'!BD97</f>
        <v>#N/A</v>
      </c>
      <c r="BU102" s="58" t="e">
        <f ca="1">'Historical - Raw data'!BE97</f>
        <v>#N/A</v>
      </c>
      <c r="BV102" s="58" t="e">
        <f ca="1">'Historical - Raw data'!BF97</f>
        <v>#N/A</v>
      </c>
      <c r="BW102" s="58" t="e">
        <f ca="1">'Historical - Raw data'!BG97</f>
        <v>#N/A</v>
      </c>
    </row>
    <row r="103" spans="63:75" ht="15" customHeight="1">
      <c r="BK103" s="97" t="e">
        <f>'Historical - Raw data'!AU98</f>
        <v>#N/A</v>
      </c>
      <c r="BL103" s="58" t="e">
        <f ca="1">'Historical - Raw data'!AV98</f>
        <v>#N/A</v>
      </c>
      <c r="BM103" s="58" t="e">
        <f ca="1">'Historical - Raw data'!AW98</f>
        <v>#N/A</v>
      </c>
      <c r="BN103" s="58" t="e">
        <f ca="1">'Historical - Raw data'!AX98</f>
        <v>#N/A</v>
      </c>
      <c r="BO103" s="58" t="e">
        <f ca="1">'Historical - Raw data'!AY98</f>
        <v>#N/A</v>
      </c>
      <c r="BP103" s="58" t="e">
        <f ca="1">'Historical - Raw data'!AZ98</f>
        <v>#N/A</v>
      </c>
      <c r="BQ103" s="58" t="e">
        <f ca="1">'Historical - Raw data'!BA98</f>
        <v>#N/A</v>
      </c>
      <c r="BR103" s="58" t="e">
        <f ca="1">'Historical - Raw data'!BB98</f>
        <v>#N/A</v>
      </c>
      <c r="BS103" s="58" t="e">
        <f ca="1">'Historical - Raw data'!BC98</f>
        <v>#N/A</v>
      </c>
      <c r="BT103" s="58" t="e">
        <f ca="1">'Historical - Raw data'!BD98</f>
        <v>#N/A</v>
      </c>
      <c r="BU103" s="58" t="e">
        <f ca="1">'Historical - Raw data'!BE98</f>
        <v>#N/A</v>
      </c>
      <c r="BV103" s="58" t="e">
        <f ca="1">'Historical - Raw data'!BF98</f>
        <v>#N/A</v>
      </c>
      <c r="BW103" s="58" t="e">
        <f ca="1">'Historical - Raw data'!BG98</f>
        <v>#N/A</v>
      </c>
    </row>
    <row r="104" spans="63:75" ht="15" customHeight="1">
      <c r="BK104" s="97" t="e">
        <f>'Historical - Raw data'!AU99</f>
        <v>#N/A</v>
      </c>
      <c r="BL104" s="58" t="e">
        <f ca="1">'Historical - Raw data'!AV99</f>
        <v>#N/A</v>
      </c>
      <c r="BM104" s="58" t="e">
        <f ca="1">'Historical - Raw data'!AW99</f>
        <v>#N/A</v>
      </c>
      <c r="BN104" s="58" t="e">
        <f ca="1">'Historical - Raw data'!AX99</f>
        <v>#N/A</v>
      </c>
      <c r="BO104" s="58" t="e">
        <f ca="1">'Historical - Raw data'!AY99</f>
        <v>#N/A</v>
      </c>
      <c r="BP104" s="58" t="e">
        <f ca="1">'Historical - Raw data'!AZ99</f>
        <v>#N/A</v>
      </c>
      <c r="BQ104" s="58" t="e">
        <f ca="1">'Historical - Raw data'!BA99</f>
        <v>#N/A</v>
      </c>
      <c r="BR104" s="58" t="e">
        <f ca="1">'Historical - Raw data'!BB99</f>
        <v>#N/A</v>
      </c>
      <c r="BS104" s="58" t="e">
        <f ca="1">'Historical - Raw data'!BC99</f>
        <v>#N/A</v>
      </c>
      <c r="BT104" s="58" t="e">
        <f ca="1">'Historical - Raw data'!BD99</f>
        <v>#N/A</v>
      </c>
      <c r="BU104" s="58" t="e">
        <f ca="1">'Historical - Raw data'!BE99</f>
        <v>#N/A</v>
      </c>
      <c r="BV104" s="58" t="e">
        <f ca="1">'Historical - Raw data'!BF99</f>
        <v>#N/A</v>
      </c>
      <c r="BW104" s="58" t="e">
        <f ca="1">'Historical - Raw data'!BG99</f>
        <v>#N/A</v>
      </c>
    </row>
    <row r="105" spans="63:75" ht="15" customHeight="1">
      <c r="BK105" s="97" t="e">
        <f>'Historical - Raw data'!AU100</f>
        <v>#N/A</v>
      </c>
      <c r="BL105" s="58" t="e">
        <f ca="1">'Historical - Raw data'!AV100</f>
        <v>#N/A</v>
      </c>
      <c r="BM105" s="58" t="e">
        <f ca="1">'Historical - Raw data'!AW100</f>
        <v>#N/A</v>
      </c>
      <c r="BN105" s="58" t="e">
        <f ca="1">'Historical - Raw data'!AX100</f>
        <v>#N/A</v>
      </c>
      <c r="BO105" s="58" t="e">
        <f ca="1">'Historical - Raw data'!AY100</f>
        <v>#N/A</v>
      </c>
      <c r="BP105" s="58" t="e">
        <f ca="1">'Historical - Raw data'!AZ100</f>
        <v>#N/A</v>
      </c>
      <c r="BQ105" s="58" t="e">
        <f ca="1">'Historical - Raw data'!BA100</f>
        <v>#N/A</v>
      </c>
      <c r="BR105" s="58" t="e">
        <f ca="1">'Historical - Raw data'!BB100</f>
        <v>#N/A</v>
      </c>
      <c r="BS105" s="58" t="e">
        <f ca="1">'Historical - Raw data'!BC100</f>
        <v>#N/A</v>
      </c>
      <c r="BT105" s="58" t="e">
        <f ca="1">'Historical - Raw data'!BD100</f>
        <v>#N/A</v>
      </c>
      <c r="BU105" s="58" t="e">
        <f ca="1">'Historical - Raw data'!BE100</f>
        <v>#N/A</v>
      </c>
      <c r="BV105" s="58" t="e">
        <f ca="1">'Historical - Raw data'!BF100</f>
        <v>#N/A</v>
      </c>
      <c r="BW105" s="58" t="e">
        <f ca="1">'Historical - Raw data'!BG100</f>
        <v>#N/A</v>
      </c>
    </row>
    <row r="106" spans="63:75" ht="15" customHeight="1">
      <c r="BK106" s="97" t="e">
        <f>'Historical - Raw data'!AU101</f>
        <v>#N/A</v>
      </c>
      <c r="BL106" s="58" t="e">
        <f ca="1">'Historical - Raw data'!AV101</f>
        <v>#N/A</v>
      </c>
      <c r="BM106" s="58" t="e">
        <f ca="1">'Historical - Raw data'!AW101</f>
        <v>#N/A</v>
      </c>
      <c r="BN106" s="58" t="e">
        <f ca="1">'Historical - Raw data'!AX101</f>
        <v>#N/A</v>
      </c>
      <c r="BO106" s="58" t="e">
        <f ca="1">'Historical - Raw data'!AY101</f>
        <v>#N/A</v>
      </c>
      <c r="BP106" s="58" t="e">
        <f ca="1">'Historical - Raw data'!AZ101</f>
        <v>#N/A</v>
      </c>
      <c r="BQ106" s="58" t="e">
        <f ca="1">'Historical - Raw data'!BA101</f>
        <v>#N/A</v>
      </c>
      <c r="BR106" s="58" t="e">
        <f ca="1">'Historical - Raw data'!BB101</f>
        <v>#N/A</v>
      </c>
      <c r="BS106" s="58" t="e">
        <f ca="1">'Historical - Raw data'!BC101</f>
        <v>#N/A</v>
      </c>
      <c r="BT106" s="58" t="e">
        <f ca="1">'Historical - Raw data'!BD101</f>
        <v>#N/A</v>
      </c>
      <c r="BU106" s="58" t="e">
        <f ca="1">'Historical - Raw data'!BE101</f>
        <v>#N/A</v>
      </c>
      <c r="BV106" s="58" t="e">
        <f ca="1">'Historical - Raw data'!BF101</f>
        <v>#N/A</v>
      </c>
      <c r="BW106" s="58" t="e">
        <f ca="1">'Historical - Raw data'!BG101</f>
        <v>#N/A</v>
      </c>
    </row>
    <row r="107" spans="63:75" ht="15" customHeight="1">
      <c r="BK107" s="97" t="e">
        <f>'Historical - Raw data'!AU102</f>
        <v>#N/A</v>
      </c>
      <c r="BL107" s="58" t="e">
        <f ca="1">'Historical - Raw data'!AV102</f>
        <v>#N/A</v>
      </c>
      <c r="BM107" s="58" t="e">
        <f ca="1">'Historical - Raw data'!AW102</f>
        <v>#N/A</v>
      </c>
      <c r="BN107" s="58" t="e">
        <f ca="1">'Historical - Raw data'!AX102</f>
        <v>#N/A</v>
      </c>
      <c r="BO107" s="58" t="e">
        <f ca="1">'Historical - Raw data'!AY102</f>
        <v>#N/A</v>
      </c>
      <c r="BP107" s="58" t="e">
        <f ca="1">'Historical - Raw data'!AZ102</f>
        <v>#N/A</v>
      </c>
      <c r="BQ107" s="58" t="e">
        <f ca="1">'Historical - Raw data'!BA102</f>
        <v>#N/A</v>
      </c>
      <c r="BR107" s="58" t="e">
        <f ca="1">'Historical - Raw data'!BB102</f>
        <v>#N/A</v>
      </c>
      <c r="BS107" s="58" t="e">
        <f ca="1">'Historical - Raw data'!BC102</f>
        <v>#N/A</v>
      </c>
      <c r="BT107" s="58" t="e">
        <f ca="1">'Historical - Raw data'!BD102</f>
        <v>#N/A</v>
      </c>
      <c r="BU107" s="58" t="e">
        <f ca="1">'Historical - Raw data'!BE102</f>
        <v>#N/A</v>
      </c>
      <c r="BV107" s="58" t="e">
        <f ca="1">'Historical - Raw data'!BF102</f>
        <v>#N/A</v>
      </c>
      <c r="BW107" s="58" t="e">
        <f ca="1">'Historical - Raw data'!BG102</f>
        <v>#N/A</v>
      </c>
    </row>
    <row r="108" spans="63:75" ht="15" customHeight="1">
      <c r="BK108" s="97" t="e">
        <f>'Historical - Raw data'!AU103</f>
        <v>#N/A</v>
      </c>
      <c r="BL108" s="58" t="e">
        <f ca="1">'Historical - Raw data'!AV103</f>
        <v>#N/A</v>
      </c>
      <c r="BM108" s="58" t="e">
        <f ca="1">'Historical - Raw data'!AW103</f>
        <v>#N/A</v>
      </c>
      <c r="BN108" s="58" t="e">
        <f ca="1">'Historical - Raw data'!AX103</f>
        <v>#N/A</v>
      </c>
      <c r="BO108" s="58" t="e">
        <f ca="1">'Historical - Raw data'!AY103</f>
        <v>#N/A</v>
      </c>
      <c r="BP108" s="58" t="e">
        <f ca="1">'Historical - Raw data'!AZ103</f>
        <v>#N/A</v>
      </c>
      <c r="BQ108" s="58" t="e">
        <f ca="1">'Historical - Raw data'!BA103</f>
        <v>#N/A</v>
      </c>
      <c r="BR108" s="58" t="e">
        <f ca="1">'Historical - Raw data'!BB103</f>
        <v>#N/A</v>
      </c>
      <c r="BS108" s="58" t="e">
        <f ca="1">'Historical - Raw data'!BC103</f>
        <v>#N/A</v>
      </c>
      <c r="BT108" s="58" t="e">
        <f ca="1">'Historical - Raw data'!BD103</f>
        <v>#N/A</v>
      </c>
      <c r="BU108" s="58" t="e">
        <f ca="1">'Historical - Raw data'!BE103</f>
        <v>#N/A</v>
      </c>
      <c r="BV108" s="58" t="e">
        <f ca="1">'Historical - Raw data'!BF103</f>
        <v>#N/A</v>
      </c>
      <c r="BW108" s="58" t="e">
        <f ca="1">'Historical - Raw data'!BG103</f>
        <v>#N/A</v>
      </c>
    </row>
    <row r="109" spans="63:75" ht="15" customHeight="1">
      <c r="BK109" s="97" t="e">
        <f>'Historical - Raw data'!AU104</f>
        <v>#N/A</v>
      </c>
      <c r="BL109" s="58" t="e">
        <f ca="1">'Historical - Raw data'!AV104</f>
        <v>#N/A</v>
      </c>
      <c r="BM109" s="58" t="e">
        <f ca="1">'Historical - Raw data'!AW104</f>
        <v>#N/A</v>
      </c>
      <c r="BN109" s="58" t="e">
        <f ca="1">'Historical - Raw data'!AX104</f>
        <v>#N/A</v>
      </c>
      <c r="BO109" s="58" t="e">
        <f ca="1">'Historical - Raw data'!AY104</f>
        <v>#N/A</v>
      </c>
      <c r="BP109" s="58" t="e">
        <f ca="1">'Historical - Raw data'!AZ104</f>
        <v>#N/A</v>
      </c>
      <c r="BQ109" s="58" t="e">
        <f ca="1">'Historical - Raw data'!BA104</f>
        <v>#N/A</v>
      </c>
      <c r="BR109" s="58" t="e">
        <f ca="1">'Historical - Raw data'!BB104</f>
        <v>#N/A</v>
      </c>
      <c r="BS109" s="58" t="e">
        <f ca="1">'Historical - Raw data'!BC104</f>
        <v>#N/A</v>
      </c>
      <c r="BT109" s="58" t="e">
        <f ca="1">'Historical - Raw data'!BD104</f>
        <v>#N/A</v>
      </c>
      <c r="BU109" s="58" t="e">
        <f ca="1">'Historical - Raw data'!BE104</f>
        <v>#N/A</v>
      </c>
      <c r="BV109" s="58" t="e">
        <f ca="1">'Historical - Raw data'!BF104</f>
        <v>#N/A</v>
      </c>
      <c r="BW109" s="58" t="e">
        <f ca="1">'Historical - Raw data'!BG104</f>
        <v>#N/A</v>
      </c>
    </row>
    <row r="110" spans="63:75" ht="15" customHeight="1">
      <c r="BK110" s="97" t="e">
        <f>'Historical - Raw data'!AU105</f>
        <v>#N/A</v>
      </c>
      <c r="BL110" s="58" t="e">
        <f ca="1">'Historical - Raw data'!AV105</f>
        <v>#N/A</v>
      </c>
      <c r="BM110" s="58" t="e">
        <f ca="1">'Historical - Raw data'!AW105</f>
        <v>#N/A</v>
      </c>
      <c r="BN110" s="58" t="e">
        <f ca="1">'Historical - Raw data'!AX105</f>
        <v>#N/A</v>
      </c>
      <c r="BO110" s="58" t="e">
        <f ca="1">'Historical - Raw data'!AY105</f>
        <v>#N/A</v>
      </c>
      <c r="BP110" s="58" t="e">
        <f ca="1">'Historical - Raw data'!AZ105</f>
        <v>#N/A</v>
      </c>
      <c r="BQ110" s="58" t="e">
        <f ca="1">'Historical - Raw data'!BA105</f>
        <v>#N/A</v>
      </c>
      <c r="BR110" s="58" t="e">
        <f ca="1">'Historical - Raw data'!BB105</f>
        <v>#N/A</v>
      </c>
      <c r="BS110" s="58" t="e">
        <f ca="1">'Historical - Raw data'!BC105</f>
        <v>#N/A</v>
      </c>
      <c r="BT110" s="58" t="e">
        <f ca="1">'Historical - Raw data'!BD105</f>
        <v>#N/A</v>
      </c>
      <c r="BU110" s="58" t="e">
        <f ca="1">'Historical - Raw data'!BE105</f>
        <v>#N/A</v>
      </c>
      <c r="BV110" s="58" t="e">
        <f ca="1">'Historical - Raw data'!BF105</f>
        <v>#N/A</v>
      </c>
      <c r="BW110" s="58" t="e">
        <f ca="1">'Historical - Raw data'!BG105</f>
        <v>#N/A</v>
      </c>
    </row>
    <row r="111" spans="63:75" ht="15" customHeight="1">
      <c r="BK111" s="97" t="e">
        <f>'Historical - Raw data'!AU106</f>
        <v>#N/A</v>
      </c>
      <c r="BL111" s="58" t="e">
        <f ca="1">'Historical - Raw data'!AV106</f>
        <v>#N/A</v>
      </c>
      <c r="BM111" s="58" t="e">
        <f ca="1">'Historical - Raw data'!AW106</f>
        <v>#N/A</v>
      </c>
      <c r="BN111" s="58" t="e">
        <f ca="1">'Historical - Raw data'!AX106</f>
        <v>#N/A</v>
      </c>
      <c r="BO111" s="58" t="e">
        <f ca="1">'Historical - Raw data'!AY106</f>
        <v>#N/A</v>
      </c>
      <c r="BP111" s="58" t="e">
        <f ca="1">'Historical - Raw data'!AZ106</f>
        <v>#N/A</v>
      </c>
      <c r="BQ111" s="58" t="e">
        <f ca="1">'Historical - Raw data'!BA106</f>
        <v>#N/A</v>
      </c>
      <c r="BR111" s="58" t="e">
        <f ca="1">'Historical - Raw data'!BB106</f>
        <v>#N/A</v>
      </c>
      <c r="BS111" s="58" t="e">
        <f ca="1">'Historical - Raw data'!BC106</f>
        <v>#N/A</v>
      </c>
      <c r="BT111" s="58" t="e">
        <f ca="1">'Historical - Raw data'!BD106</f>
        <v>#N/A</v>
      </c>
      <c r="BU111" s="58" t="e">
        <f ca="1">'Historical - Raw data'!BE106</f>
        <v>#N/A</v>
      </c>
      <c r="BV111" s="58" t="e">
        <f ca="1">'Historical - Raw data'!BF106</f>
        <v>#N/A</v>
      </c>
      <c r="BW111" s="58" t="e">
        <f ca="1">'Historical - Raw data'!BG106</f>
        <v>#N/A</v>
      </c>
    </row>
    <row r="112" spans="63:75" ht="15" customHeight="1">
      <c r="BK112" s="97" t="e">
        <f>'Historical - Raw data'!AU107</f>
        <v>#N/A</v>
      </c>
      <c r="BL112" s="58" t="e">
        <f ca="1">'Historical - Raw data'!AV107</f>
        <v>#N/A</v>
      </c>
      <c r="BM112" s="58" t="e">
        <f ca="1">'Historical - Raw data'!AW107</f>
        <v>#N/A</v>
      </c>
      <c r="BN112" s="58" t="e">
        <f ca="1">'Historical - Raw data'!AX107</f>
        <v>#N/A</v>
      </c>
      <c r="BO112" s="58" t="e">
        <f ca="1">'Historical - Raw data'!AY107</f>
        <v>#N/A</v>
      </c>
      <c r="BP112" s="58" t="e">
        <f ca="1">'Historical - Raw data'!AZ107</f>
        <v>#N/A</v>
      </c>
      <c r="BQ112" s="58" t="e">
        <f ca="1">'Historical - Raw data'!BA107</f>
        <v>#N/A</v>
      </c>
      <c r="BR112" s="58" t="e">
        <f ca="1">'Historical - Raw data'!BB107</f>
        <v>#N/A</v>
      </c>
      <c r="BS112" s="58" t="e">
        <f ca="1">'Historical - Raw data'!BC107</f>
        <v>#N/A</v>
      </c>
      <c r="BT112" s="58" t="e">
        <f ca="1">'Historical - Raw data'!BD107</f>
        <v>#N/A</v>
      </c>
      <c r="BU112" s="58" t="e">
        <f ca="1">'Historical - Raw data'!BE107</f>
        <v>#N/A</v>
      </c>
      <c r="BV112" s="58" t="e">
        <f ca="1">'Historical - Raw data'!BF107</f>
        <v>#N/A</v>
      </c>
      <c r="BW112" s="58" t="e">
        <f ca="1">'Historical - Raw data'!BG107</f>
        <v>#N/A</v>
      </c>
    </row>
    <row r="113" spans="63:75" ht="15" customHeight="1">
      <c r="BK113" s="97" t="e">
        <f>'Historical - Raw data'!AU108</f>
        <v>#N/A</v>
      </c>
      <c r="BL113" s="58" t="e">
        <f ca="1">'Historical - Raw data'!AV108</f>
        <v>#N/A</v>
      </c>
      <c r="BM113" s="58" t="e">
        <f ca="1">'Historical - Raw data'!AW108</f>
        <v>#N/A</v>
      </c>
      <c r="BN113" s="58" t="e">
        <f ca="1">'Historical - Raw data'!AX108</f>
        <v>#N/A</v>
      </c>
      <c r="BO113" s="58" t="e">
        <f ca="1">'Historical - Raw data'!AY108</f>
        <v>#N/A</v>
      </c>
      <c r="BP113" s="58" t="e">
        <f ca="1">'Historical - Raw data'!AZ108</f>
        <v>#N/A</v>
      </c>
      <c r="BQ113" s="58" t="e">
        <f ca="1">'Historical - Raw data'!BA108</f>
        <v>#N/A</v>
      </c>
      <c r="BR113" s="58" t="e">
        <f ca="1">'Historical - Raw data'!BB108</f>
        <v>#N/A</v>
      </c>
      <c r="BS113" s="58" t="e">
        <f ca="1">'Historical - Raw data'!BC108</f>
        <v>#N/A</v>
      </c>
      <c r="BT113" s="58" t="e">
        <f ca="1">'Historical - Raw data'!BD108</f>
        <v>#N/A</v>
      </c>
      <c r="BU113" s="58" t="e">
        <f ca="1">'Historical - Raw data'!BE108</f>
        <v>#N/A</v>
      </c>
      <c r="BV113" s="58" t="e">
        <f ca="1">'Historical - Raw data'!BF108</f>
        <v>#N/A</v>
      </c>
      <c r="BW113" s="58" t="e">
        <f ca="1">'Historical - Raw data'!BG108</f>
        <v>#N/A</v>
      </c>
    </row>
    <row r="114" spans="63:75" ht="15" customHeight="1">
      <c r="BK114" s="97" t="e">
        <f>'Historical - Raw data'!AU109</f>
        <v>#N/A</v>
      </c>
      <c r="BL114" s="58" t="e">
        <f ca="1">'Historical - Raw data'!AV109</f>
        <v>#N/A</v>
      </c>
      <c r="BM114" s="58" t="e">
        <f ca="1">'Historical - Raw data'!AW109</f>
        <v>#N/A</v>
      </c>
      <c r="BN114" s="58" t="e">
        <f ca="1">'Historical - Raw data'!AX109</f>
        <v>#N/A</v>
      </c>
      <c r="BO114" s="58" t="e">
        <f ca="1">'Historical - Raw data'!AY109</f>
        <v>#N/A</v>
      </c>
      <c r="BP114" s="58" t="e">
        <f ca="1">'Historical - Raw data'!AZ109</f>
        <v>#N/A</v>
      </c>
      <c r="BQ114" s="58" t="e">
        <f ca="1">'Historical - Raw data'!BA109</f>
        <v>#N/A</v>
      </c>
      <c r="BR114" s="58" t="e">
        <f ca="1">'Historical - Raw data'!BB109</f>
        <v>#N/A</v>
      </c>
      <c r="BS114" s="58" t="e">
        <f ca="1">'Historical - Raw data'!BC109</f>
        <v>#N/A</v>
      </c>
      <c r="BT114" s="58" t="e">
        <f ca="1">'Historical - Raw data'!BD109</f>
        <v>#N/A</v>
      </c>
      <c r="BU114" s="58" t="e">
        <f ca="1">'Historical - Raw data'!BE109</f>
        <v>#N/A</v>
      </c>
      <c r="BV114" s="58" t="e">
        <f ca="1">'Historical - Raw data'!BF109</f>
        <v>#N/A</v>
      </c>
      <c r="BW114" s="58" t="e">
        <f ca="1">'Historical - Raw data'!BG109</f>
        <v>#N/A</v>
      </c>
    </row>
    <row r="115" spans="63:75" ht="15" customHeight="1">
      <c r="BK115" s="97" t="e">
        <f>'Historical - Raw data'!AU110</f>
        <v>#N/A</v>
      </c>
      <c r="BL115" s="58" t="e">
        <f ca="1">'Historical - Raw data'!AV110</f>
        <v>#N/A</v>
      </c>
      <c r="BM115" s="58" t="e">
        <f ca="1">'Historical - Raw data'!AW110</f>
        <v>#N/A</v>
      </c>
      <c r="BN115" s="58" t="e">
        <f ca="1">'Historical - Raw data'!AX110</f>
        <v>#N/A</v>
      </c>
      <c r="BO115" s="58" t="e">
        <f ca="1">'Historical - Raw data'!AY110</f>
        <v>#N/A</v>
      </c>
      <c r="BP115" s="58" t="e">
        <f ca="1">'Historical - Raw data'!AZ110</f>
        <v>#N/A</v>
      </c>
      <c r="BQ115" s="58" t="e">
        <f ca="1">'Historical - Raw data'!BA110</f>
        <v>#N/A</v>
      </c>
      <c r="BR115" s="58" t="e">
        <f ca="1">'Historical - Raw data'!BB110</f>
        <v>#N/A</v>
      </c>
      <c r="BS115" s="58" t="e">
        <f ca="1">'Historical - Raw data'!BC110</f>
        <v>#N/A</v>
      </c>
      <c r="BT115" s="58" t="e">
        <f ca="1">'Historical - Raw data'!BD110</f>
        <v>#N/A</v>
      </c>
      <c r="BU115" s="58" t="e">
        <f ca="1">'Historical - Raw data'!BE110</f>
        <v>#N/A</v>
      </c>
      <c r="BV115" s="58" t="e">
        <f ca="1">'Historical - Raw data'!BF110</f>
        <v>#N/A</v>
      </c>
      <c r="BW115" s="58" t="e">
        <f ca="1">'Historical - Raw data'!BG110</f>
        <v>#N/A</v>
      </c>
    </row>
    <row r="116" spans="63:75" ht="15" customHeight="1">
      <c r="BK116" s="97" t="e">
        <f>'Historical - Raw data'!AU111</f>
        <v>#N/A</v>
      </c>
      <c r="BL116" s="58" t="e">
        <f ca="1">'Historical - Raw data'!AV111</f>
        <v>#N/A</v>
      </c>
      <c r="BM116" s="58" t="e">
        <f ca="1">'Historical - Raw data'!AW111</f>
        <v>#N/A</v>
      </c>
      <c r="BN116" s="58" t="e">
        <f ca="1">'Historical - Raw data'!AX111</f>
        <v>#N/A</v>
      </c>
      <c r="BO116" s="58" t="e">
        <f ca="1">'Historical - Raw data'!AY111</f>
        <v>#N/A</v>
      </c>
      <c r="BP116" s="58" t="e">
        <f ca="1">'Historical - Raw data'!AZ111</f>
        <v>#N/A</v>
      </c>
      <c r="BQ116" s="58" t="e">
        <f ca="1">'Historical - Raw data'!BA111</f>
        <v>#N/A</v>
      </c>
      <c r="BR116" s="58" t="e">
        <f ca="1">'Historical - Raw data'!BB111</f>
        <v>#N/A</v>
      </c>
      <c r="BS116" s="58" t="e">
        <f ca="1">'Historical - Raw data'!BC111</f>
        <v>#N/A</v>
      </c>
      <c r="BT116" s="58" t="e">
        <f ca="1">'Historical - Raw data'!BD111</f>
        <v>#N/A</v>
      </c>
      <c r="BU116" s="58" t="e">
        <f ca="1">'Historical - Raw data'!BE111</f>
        <v>#N/A</v>
      </c>
      <c r="BV116" s="58" t="e">
        <f ca="1">'Historical - Raw data'!BF111</f>
        <v>#N/A</v>
      </c>
      <c r="BW116" s="58" t="e">
        <f ca="1">'Historical - Raw data'!BG111</f>
        <v>#N/A</v>
      </c>
    </row>
    <row r="117" spans="63:75" ht="15" customHeight="1">
      <c r="BK117" s="97" t="e">
        <f>'Historical - Raw data'!AU112</f>
        <v>#N/A</v>
      </c>
      <c r="BL117" s="58" t="e">
        <f ca="1">'Historical - Raw data'!AV112</f>
        <v>#N/A</v>
      </c>
      <c r="BM117" s="58" t="e">
        <f ca="1">'Historical - Raw data'!AW112</f>
        <v>#N/A</v>
      </c>
      <c r="BN117" s="58" t="e">
        <f ca="1">'Historical - Raw data'!AX112</f>
        <v>#N/A</v>
      </c>
      <c r="BO117" s="58" t="e">
        <f ca="1">'Historical - Raw data'!AY112</f>
        <v>#N/A</v>
      </c>
      <c r="BP117" s="58" t="e">
        <f ca="1">'Historical - Raw data'!AZ112</f>
        <v>#N/A</v>
      </c>
      <c r="BQ117" s="58" t="e">
        <f ca="1">'Historical - Raw data'!BA112</f>
        <v>#N/A</v>
      </c>
      <c r="BR117" s="58" t="e">
        <f ca="1">'Historical - Raw data'!BB112</f>
        <v>#N/A</v>
      </c>
      <c r="BS117" s="58" t="e">
        <f ca="1">'Historical - Raw data'!BC112</f>
        <v>#N/A</v>
      </c>
      <c r="BT117" s="58" t="e">
        <f ca="1">'Historical - Raw data'!BD112</f>
        <v>#N/A</v>
      </c>
      <c r="BU117" s="58" t="e">
        <f ca="1">'Historical - Raw data'!BE112</f>
        <v>#N/A</v>
      </c>
      <c r="BV117" s="58" t="e">
        <f ca="1">'Historical - Raw data'!BF112</f>
        <v>#N/A</v>
      </c>
      <c r="BW117" s="58" t="e">
        <f ca="1">'Historical - Raw data'!BG112</f>
        <v>#N/A</v>
      </c>
    </row>
    <row r="118" spans="63:75" ht="15" customHeight="1">
      <c r="BK118" s="97" t="e">
        <f>'Historical - Raw data'!AU113</f>
        <v>#N/A</v>
      </c>
      <c r="BL118" s="58" t="e">
        <f ca="1">'Historical - Raw data'!AV113</f>
        <v>#N/A</v>
      </c>
      <c r="BM118" s="58" t="e">
        <f ca="1">'Historical - Raw data'!AW113</f>
        <v>#N/A</v>
      </c>
      <c r="BN118" s="58" t="e">
        <f ca="1">'Historical - Raw data'!AX113</f>
        <v>#N/A</v>
      </c>
      <c r="BO118" s="58" t="e">
        <f ca="1">'Historical - Raw data'!AY113</f>
        <v>#N/A</v>
      </c>
      <c r="BP118" s="58" t="e">
        <f ca="1">'Historical - Raw data'!AZ113</f>
        <v>#N/A</v>
      </c>
      <c r="BQ118" s="58" t="e">
        <f ca="1">'Historical - Raw data'!BA113</f>
        <v>#N/A</v>
      </c>
      <c r="BR118" s="58" t="e">
        <f ca="1">'Historical - Raw data'!BB113</f>
        <v>#N/A</v>
      </c>
      <c r="BS118" s="58" t="e">
        <f ca="1">'Historical - Raw data'!BC113</f>
        <v>#N/A</v>
      </c>
      <c r="BT118" s="58" t="e">
        <f ca="1">'Historical - Raw data'!BD113</f>
        <v>#N/A</v>
      </c>
      <c r="BU118" s="58" t="e">
        <f ca="1">'Historical - Raw data'!BE113</f>
        <v>#N/A</v>
      </c>
      <c r="BV118" s="58" t="e">
        <f ca="1">'Historical - Raw data'!BF113</f>
        <v>#N/A</v>
      </c>
      <c r="BW118" s="58" t="e">
        <f ca="1">'Historical - Raw data'!BG113</f>
        <v>#N/A</v>
      </c>
    </row>
    <row r="119" spans="63:75" ht="15" customHeight="1">
      <c r="BK119" s="97" t="e">
        <f>'Historical - Raw data'!AU114</f>
        <v>#N/A</v>
      </c>
      <c r="BL119" s="58" t="e">
        <f ca="1">'Historical - Raw data'!AV114</f>
        <v>#N/A</v>
      </c>
      <c r="BM119" s="58" t="e">
        <f ca="1">'Historical - Raw data'!AW114</f>
        <v>#N/A</v>
      </c>
      <c r="BN119" s="58" t="e">
        <f ca="1">'Historical - Raw data'!AX114</f>
        <v>#N/A</v>
      </c>
      <c r="BO119" s="58" t="e">
        <f ca="1">'Historical - Raw data'!AY114</f>
        <v>#N/A</v>
      </c>
      <c r="BP119" s="58" t="e">
        <f ca="1">'Historical - Raw data'!AZ114</f>
        <v>#N/A</v>
      </c>
      <c r="BQ119" s="58" t="e">
        <f ca="1">'Historical - Raw data'!BA114</f>
        <v>#N/A</v>
      </c>
      <c r="BR119" s="58" t="e">
        <f ca="1">'Historical - Raw data'!BB114</f>
        <v>#N/A</v>
      </c>
      <c r="BS119" s="58" t="e">
        <f ca="1">'Historical - Raw data'!BC114</f>
        <v>#N/A</v>
      </c>
      <c r="BT119" s="58" t="e">
        <f ca="1">'Historical - Raw data'!BD114</f>
        <v>#N/A</v>
      </c>
      <c r="BU119" s="58" t="e">
        <f ca="1">'Historical - Raw data'!BE114</f>
        <v>#N/A</v>
      </c>
      <c r="BV119" s="58" t="e">
        <f ca="1">'Historical - Raw data'!BF114</f>
        <v>#N/A</v>
      </c>
      <c r="BW119" s="58" t="e">
        <f ca="1">'Historical - Raw data'!BG114</f>
        <v>#N/A</v>
      </c>
    </row>
    <row r="120" spans="63:75" ht="15" customHeight="1">
      <c r="BK120" s="97" t="e">
        <f>'Historical - Raw data'!AU115</f>
        <v>#N/A</v>
      </c>
      <c r="BL120" s="58" t="e">
        <f ca="1">'Historical - Raw data'!AV115</f>
        <v>#N/A</v>
      </c>
      <c r="BM120" s="58" t="e">
        <f ca="1">'Historical - Raw data'!AW115</f>
        <v>#N/A</v>
      </c>
      <c r="BN120" s="58" t="e">
        <f ca="1">'Historical - Raw data'!AX115</f>
        <v>#N/A</v>
      </c>
      <c r="BO120" s="58" t="e">
        <f ca="1">'Historical - Raw data'!AY115</f>
        <v>#N/A</v>
      </c>
      <c r="BP120" s="58" t="e">
        <f ca="1">'Historical - Raw data'!AZ115</f>
        <v>#N/A</v>
      </c>
      <c r="BQ120" s="58" t="e">
        <f ca="1">'Historical - Raw data'!BA115</f>
        <v>#N/A</v>
      </c>
      <c r="BR120" s="58" t="e">
        <f ca="1">'Historical - Raw data'!BB115</f>
        <v>#N/A</v>
      </c>
      <c r="BS120" s="58" t="e">
        <f ca="1">'Historical - Raw data'!BC115</f>
        <v>#N/A</v>
      </c>
      <c r="BT120" s="58" t="e">
        <f ca="1">'Historical - Raw data'!BD115</f>
        <v>#N/A</v>
      </c>
      <c r="BU120" s="58" t="e">
        <f ca="1">'Historical - Raw data'!BE115</f>
        <v>#N/A</v>
      </c>
      <c r="BV120" s="58" t="e">
        <f ca="1">'Historical - Raw data'!BF115</f>
        <v>#N/A</v>
      </c>
      <c r="BW120" s="58" t="e">
        <f ca="1">'Historical - Raw data'!BG115</f>
        <v>#N/A</v>
      </c>
    </row>
    <row r="121" spans="63:75" ht="15" customHeight="1">
      <c r="BK121" s="97" t="e">
        <f>'Historical - Raw data'!AU116</f>
        <v>#N/A</v>
      </c>
      <c r="BL121" s="58" t="e">
        <f ca="1">'Historical - Raw data'!AV116</f>
        <v>#N/A</v>
      </c>
      <c r="BM121" s="58" t="e">
        <f ca="1">'Historical - Raw data'!AW116</f>
        <v>#N/A</v>
      </c>
      <c r="BN121" s="58" t="e">
        <f ca="1">'Historical - Raw data'!AX116</f>
        <v>#N/A</v>
      </c>
      <c r="BO121" s="58" t="e">
        <f ca="1">'Historical - Raw data'!AY116</f>
        <v>#N/A</v>
      </c>
      <c r="BP121" s="58" t="e">
        <f ca="1">'Historical - Raw data'!AZ116</f>
        <v>#N/A</v>
      </c>
      <c r="BQ121" s="58" t="e">
        <f ca="1">'Historical - Raw data'!BA116</f>
        <v>#N/A</v>
      </c>
      <c r="BR121" s="58" t="e">
        <f ca="1">'Historical - Raw data'!BB116</f>
        <v>#N/A</v>
      </c>
      <c r="BS121" s="58" t="e">
        <f ca="1">'Historical - Raw data'!BC116</f>
        <v>#N/A</v>
      </c>
      <c r="BT121" s="58" t="e">
        <f ca="1">'Historical - Raw data'!BD116</f>
        <v>#N/A</v>
      </c>
      <c r="BU121" s="58" t="e">
        <f ca="1">'Historical - Raw data'!BE116</f>
        <v>#N/A</v>
      </c>
      <c r="BV121" s="58" t="e">
        <f ca="1">'Historical - Raw data'!BF116</f>
        <v>#N/A</v>
      </c>
      <c r="BW121" s="58" t="e">
        <f ca="1">'Historical - Raw data'!BG116</f>
        <v>#N/A</v>
      </c>
    </row>
    <row r="122" spans="63:75" ht="15" customHeight="1">
      <c r="BK122" s="97" t="e">
        <f>'Historical - Raw data'!AU117</f>
        <v>#N/A</v>
      </c>
      <c r="BL122" s="58" t="e">
        <f ca="1">'Historical - Raw data'!AV117</f>
        <v>#N/A</v>
      </c>
      <c r="BM122" s="58" t="e">
        <f ca="1">'Historical - Raw data'!AW117</f>
        <v>#N/A</v>
      </c>
      <c r="BN122" s="58" t="e">
        <f ca="1">'Historical - Raw data'!AX117</f>
        <v>#N/A</v>
      </c>
      <c r="BO122" s="58" t="e">
        <f ca="1">'Historical - Raw data'!AY117</f>
        <v>#N/A</v>
      </c>
      <c r="BP122" s="58" t="e">
        <f ca="1">'Historical - Raw data'!AZ117</f>
        <v>#N/A</v>
      </c>
      <c r="BQ122" s="58" t="e">
        <f ca="1">'Historical - Raw data'!BA117</f>
        <v>#N/A</v>
      </c>
      <c r="BR122" s="58" t="e">
        <f ca="1">'Historical - Raw data'!BB117</f>
        <v>#N/A</v>
      </c>
      <c r="BS122" s="58" t="e">
        <f ca="1">'Historical - Raw data'!BC117</f>
        <v>#N/A</v>
      </c>
      <c r="BT122" s="58" t="e">
        <f ca="1">'Historical - Raw data'!BD117</f>
        <v>#N/A</v>
      </c>
      <c r="BU122" s="58" t="e">
        <f ca="1">'Historical - Raw data'!BE117</f>
        <v>#N/A</v>
      </c>
      <c r="BV122" s="58" t="e">
        <f ca="1">'Historical - Raw data'!BF117</f>
        <v>#N/A</v>
      </c>
      <c r="BW122" s="58" t="e">
        <f ca="1">'Historical - Raw data'!BG117</f>
        <v>#N/A</v>
      </c>
    </row>
    <row r="123" spans="63:75" ht="15" customHeight="1">
      <c r="BK123" s="97" t="e">
        <f>'Historical - Raw data'!AU118</f>
        <v>#N/A</v>
      </c>
      <c r="BL123" s="58" t="e">
        <f ca="1">'Historical - Raw data'!AV118</f>
        <v>#N/A</v>
      </c>
      <c r="BM123" s="58" t="e">
        <f ca="1">'Historical - Raw data'!AW118</f>
        <v>#N/A</v>
      </c>
      <c r="BN123" s="58" t="e">
        <f ca="1">'Historical - Raw data'!AX118</f>
        <v>#N/A</v>
      </c>
      <c r="BO123" s="58" t="e">
        <f ca="1">'Historical - Raw data'!AY118</f>
        <v>#N/A</v>
      </c>
      <c r="BP123" s="58" t="e">
        <f ca="1">'Historical - Raw data'!AZ118</f>
        <v>#N/A</v>
      </c>
      <c r="BQ123" s="58" t="e">
        <f ca="1">'Historical - Raw data'!BA118</f>
        <v>#N/A</v>
      </c>
      <c r="BR123" s="58" t="e">
        <f ca="1">'Historical - Raw data'!BB118</f>
        <v>#N/A</v>
      </c>
      <c r="BS123" s="58" t="e">
        <f ca="1">'Historical - Raw data'!BC118</f>
        <v>#N/A</v>
      </c>
      <c r="BT123" s="58" t="e">
        <f ca="1">'Historical - Raw data'!BD118</f>
        <v>#N/A</v>
      </c>
      <c r="BU123" s="58" t="e">
        <f ca="1">'Historical - Raw data'!BE118</f>
        <v>#N/A</v>
      </c>
      <c r="BV123" s="58" t="e">
        <f ca="1">'Historical - Raw data'!BF118</f>
        <v>#N/A</v>
      </c>
      <c r="BW123" s="58" t="e">
        <f ca="1">'Historical - Raw data'!BG118</f>
        <v>#N/A</v>
      </c>
    </row>
    <row r="124" spans="63:75" ht="15" customHeight="1">
      <c r="BK124" s="97" t="e">
        <f>'Historical - Raw data'!AU119</f>
        <v>#N/A</v>
      </c>
      <c r="BL124" s="58" t="e">
        <f ca="1">'Historical - Raw data'!AV119</f>
        <v>#N/A</v>
      </c>
      <c r="BM124" s="58" t="e">
        <f ca="1">'Historical - Raw data'!AW119</f>
        <v>#N/A</v>
      </c>
      <c r="BN124" s="58" t="e">
        <f ca="1">'Historical - Raw data'!AX119</f>
        <v>#N/A</v>
      </c>
      <c r="BO124" s="58" t="e">
        <f ca="1">'Historical - Raw data'!AY119</f>
        <v>#N/A</v>
      </c>
      <c r="BP124" s="58" t="e">
        <f ca="1">'Historical - Raw data'!AZ119</f>
        <v>#N/A</v>
      </c>
      <c r="BQ124" s="58" t="e">
        <f ca="1">'Historical - Raw data'!BA119</f>
        <v>#N/A</v>
      </c>
      <c r="BR124" s="58" t="e">
        <f ca="1">'Historical - Raw data'!BB119</f>
        <v>#N/A</v>
      </c>
      <c r="BS124" s="58" t="e">
        <f ca="1">'Historical - Raw data'!BC119</f>
        <v>#N/A</v>
      </c>
      <c r="BT124" s="58" t="e">
        <f ca="1">'Historical - Raw data'!BD119</f>
        <v>#N/A</v>
      </c>
      <c r="BU124" s="58" t="e">
        <f ca="1">'Historical - Raw data'!BE119</f>
        <v>#N/A</v>
      </c>
      <c r="BV124" s="58" t="e">
        <f ca="1">'Historical - Raw data'!BF119</f>
        <v>#N/A</v>
      </c>
      <c r="BW124" s="58" t="e">
        <f ca="1">'Historical - Raw data'!BG119</f>
        <v>#N/A</v>
      </c>
    </row>
    <row r="125" spans="63:75" ht="15" customHeight="1">
      <c r="BK125" s="97" t="e">
        <f>'Historical - Raw data'!AU120</f>
        <v>#N/A</v>
      </c>
      <c r="BL125" s="58" t="e">
        <f ca="1">'Historical - Raw data'!AV120</f>
        <v>#N/A</v>
      </c>
      <c r="BM125" s="58" t="e">
        <f ca="1">'Historical - Raw data'!AW120</f>
        <v>#N/A</v>
      </c>
      <c r="BN125" s="58" t="e">
        <f ca="1">'Historical - Raw data'!AX120</f>
        <v>#N/A</v>
      </c>
      <c r="BO125" s="58" t="e">
        <f ca="1">'Historical - Raw data'!AY120</f>
        <v>#N/A</v>
      </c>
      <c r="BP125" s="58" t="e">
        <f ca="1">'Historical - Raw data'!AZ120</f>
        <v>#N/A</v>
      </c>
      <c r="BQ125" s="58" t="e">
        <f ca="1">'Historical - Raw data'!BA120</f>
        <v>#N/A</v>
      </c>
      <c r="BR125" s="58" t="e">
        <f ca="1">'Historical - Raw data'!BB120</f>
        <v>#N/A</v>
      </c>
      <c r="BS125" s="58" t="e">
        <f ca="1">'Historical - Raw data'!BC120</f>
        <v>#N/A</v>
      </c>
      <c r="BT125" s="58" t="e">
        <f ca="1">'Historical - Raw data'!BD120</f>
        <v>#N/A</v>
      </c>
      <c r="BU125" s="58" t="e">
        <f ca="1">'Historical - Raw data'!BE120</f>
        <v>#N/A</v>
      </c>
      <c r="BV125" s="58" t="e">
        <f ca="1">'Historical - Raw data'!BF120</f>
        <v>#N/A</v>
      </c>
      <c r="BW125" s="58" t="e">
        <f ca="1">'Historical - Raw data'!BG120</f>
        <v>#N/A</v>
      </c>
    </row>
    <row r="126" spans="63:75" ht="15" customHeight="1">
      <c r="BK126" s="97" t="e">
        <f>'Historical - Raw data'!AU121</f>
        <v>#N/A</v>
      </c>
      <c r="BL126" s="58" t="e">
        <f ca="1">'Historical - Raw data'!AV121</f>
        <v>#N/A</v>
      </c>
      <c r="BM126" s="58" t="e">
        <f ca="1">'Historical - Raw data'!AW121</f>
        <v>#N/A</v>
      </c>
      <c r="BN126" s="58" t="e">
        <f ca="1">'Historical - Raw data'!AX121</f>
        <v>#N/A</v>
      </c>
      <c r="BO126" s="58" t="e">
        <f ca="1">'Historical - Raw data'!AY121</f>
        <v>#N/A</v>
      </c>
      <c r="BP126" s="58" t="e">
        <f ca="1">'Historical - Raw data'!AZ121</f>
        <v>#N/A</v>
      </c>
      <c r="BQ126" s="58" t="e">
        <f ca="1">'Historical - Raw data'!BA121</f>
        <v>#N/A</v>
      </c>
      <c r="BR126" s="58" t="e">
        <f ca="1">'Historical - Raw data'!BB121</f>
        <v>#N/A</v>
      </c>
      <c r="BS126" s="58" t="e">
        <f ca="1">'Historical - Raw data'!BC121</f>
        <v>#N/A</v>
      </c>
      <c r="BT126" s="58" t="e">
        <f ca="1">'Historical - Raw data'!BD121</f>
        <v>#N/A</v>
      </c>
      <c r="BU126" s="58" t="e">
        <f ca="1">'Historical - Raw data'!BE121</f>
        <v>#N/A</v>
      </c>
      <c r="BV126" s="58" t="e">
        <f ca="1">'Historical - Raw data'!BF121</f>
        <v>#N/A</v>
      </c>
      <c r="BW126" s="58" t="e">
        <f ca="1">'Historical - Raw data'!BG121</f>
        <v>#N/A</v>
      </c>
    </row>
    <row r="127" spans="63:75" ht="15" customHeight="1">
      <c r="BK127" s="97" t="e">
        <f>'Historical - Raw data'!AU122</f>
        <v>#N/A</v>
      </c>
      <c r="BL127" s="58" t="e">
        <f ca="1">'Historical - Raw data'!AV122</f>
        <v>#N/A</v>
      </c>
      <c r="BM127" s="58" t="e">
        <f ca="1">'Historical - Raw data'!AW122</f>
        <v>#N/A</v>
      </c>
      <c r="BN127" s="58" t="e">
        <f ca="1">'Historical - Raw data'!AX122</f>
        <v>#N/A</v>
      </c>
      <c r="BO127" s="58" t="e">
        <f ca="1">'Historical - Raw data'!AY122</f>
        <v>#N/A</v>
      </c>
      <c r="BP127" s="58" t="e">
        <f ca="1">'Historical - Raw data'!AZ122</f>
        <v>#N/A</v>
      </c>
      <c r="BQ127" s="58" t="e">
        <f ca="1">'Historical - Raw data'!BA122</f>
        <v>#N/A</v>
      </c>
      <c r="BR127" s="58" t="e">
        <f ca="1">'Historical - Raw data'!BB122</f>
        <v>#N/A</v>
      </c>
      <c r="BS127" s="58" t="e">
        <f ca="1">'Historical - Raw data'!BC122</f>
        <v>#N/A</v>
      </c>
      <c r="BT127" s="58" t="e">
        <f ca="1">'Historical - Raw data'!BD122</f>
        <v>#N/A</v>
      </c>
      <c r="BU127" s="58" t="e">
        <f ca="1">'Historical - Raw data'!BE122</f>
        <v>#N/A</v>
      </c>
      <c r="BV127" s="58" t="e">
        <f ca="1">'Historical - Raw data'!BF122</f>
        <v>#N/A</v>
      </c>
      <c r="BW127" s="58" t="e">
        <f ca="1">'Historical - Raw data'!BG122</f>
        <v>#N/A</v>
      </c>
    </row>
    <row r="128" spans="63:75" ht="15" customHeight="1">
      <c r="BK128" s="97" t="e">
        <f>'Historical - Raw data'!AU123</f>
        <v>#N/A</v>
      </c>
      <c r="BL128" s="58" t="e">
        <f ca="1">'Historical - Raw data'!AV123</f>
        <v>#N/A</v>
      </c>
      <c r="BM128" s="58" t="e">
        <f ca="1">'Historical - Raw data'!AW123</f>
        <v>#N/A</v>
      </c>
      <c r="BN128" s="58" t="e">
        <f ca="1">'Historical - Raw data'!AX123</f>
        <v>#N/A</v>
      </c>
      <c r="BO128" s="58" t="e">
        <f ca="1">'Historical - Raw data'!AY123</f>
        <v>#N/A</v>
      </c>
      <c r="BP128" s="58" t="e">
        <f ca="1">'Historical - Raw data'!AZ123</f>
        <v>#N/A</v>
      </c>
      <c r="BQ128" s="58" t="e">
        <f ca="1">'Historical - Raw data'!BA123</f>
        <v>#N/A</v>
      </c>
      <c r="BR128" s="58" t="e">
        <f ca="1">'Historical - Raw data'!BB123</f>
        <v>#N/A</v>
      </c>
      <c r="BS128" s="58" t="e">
        <f ca="1">'Historical - Raw data'!BC123</f>
        <v>#N/A</v>
      </c>
      <c r="BT128" s="58" t="e">
        <f ca="1">'Historical - Raw data'!BD123</f>
        <v>#N/A</v>
      </c>
      <c r="BU128" s="58" t="e">
        <f ca="1">'Historical - Raw data'!BE123</f>
        <v>#N/A</v>
      </c>
      <c r="BV128" s="58" t="e">
        <f ca="1">'Historical - Raw data'!BF123</f>
        <v>#N/A</v>
      </c>
      <c r="BW128" s="58" t="e">
        <f ca="1">'Historical - Raw data'!BG123</f>
        <v>#N/A</v>
      </c>
    </row>
    <row r="129" spans="63:75" ht="15" customHeight="1">
      <c r="BK129" s="97" t="e">
        <f>'Historical - Raw data'!AU124</f>
        <v>#N/A</v>
      </c>
      <c r="BL129" s="58" t="e">
        <f ca="1">'Historical - Raw data'!AV124</f>
        <v>#N/A</v>
      </c>
      <c r="BM129" s="58" t="e">
        <f ca="1">'Historical - Raw data'!AW124</f>
        <v>#N/A</v>
      </c>
      <c r="BN129" s="58" t="e">
        <f ca="1">'Historical - Raw data'!AX124</f>
        <v>#N/A</v>
      </c>
      <c r="BO129" s="58" t="e">
        <f ca="1">'Historical - Raw data'!AY124</f>
        <v>#N/A</v>
      </c>
      <c r="BP129" s="58" t="e">
        <f ca="1">'Historical - Raw data'!AZ124</f>
        <v>#N/A</v>
      </c>
      <c r="BQ129" s="58" t="e">
        <f ca="1">'Historical - Raw data'!BA124</f>
        <v>#N/A</v>
      </c>
      <c r="BR129" s="58" t="e">
        <f ca="1">'Historical - Raw data'!BB124</f>
        <v>#N/A</v>
      </c>
      <c r="BS129" s="58" t="e">
        <f ca="1">'Historical - Raw data'!BC124</f>
        <v>#N/A</v>
      </c>
      <c r="BT129" s="58" t="e">
        <f ca="1">'Historical - Raw data'!BD124</f>
        <v>#N/A</v>
      </c>
      <c r="BU129" s="58" t="e">
        <f ca="1">'Historical - Raw data'!BE124</f>
        <v>#N/A</v>
      </c>
      <c r="BV129" s="58" t="e">
        <f ca="1">'Historical - Raw data'!BF124</f>
        <v>#N/A</v>
      </c>
      <c r="BW129" s="58" t="e">
        <f ca="1">'Historical - Raw data'!BG124</f>
        <v>#N/A</v>
      </c>
    </row>
    <row r="130" spans="63:75" ht="15" customHeight="1">
      <c r="BK130" s="97" t="e">
        <f>'Historical - Raw data'!AU125</f>
        <v>#N/A</v>
      </c>
      <c r="BL130" s="58" t="e">
        <f ca="1">'Historical - Raw data'!AV125</f>
        <v>#N/A</v>
      </c>
      <c r="BM130" s="58" t="e">
        <f ca="1">'Historical - Raw data'!AW125</f>
        <v>#N/A</v>
      </c>
      <c r="BN130" s="58" t="e">
        <f ca="1">'Historical - Raw data'!AX125</f>
        <v>#N/A</v>
      </c>
      <c r="BO130" s="58" t="e">
        <f ca="1">'Historical - Raw data'!AY125</f>
        <v>#N/A</v>
      </c>
      <c r="BP130" s="58" t="e">
        <f ca="1">'Historical - Raw data'!AZ125</f>
        <v>#N/A</v>
      </c>
      <c r="BQ130" s="58" t="e">
        <f ca="1">'Historical - Raw data'!BA125</f>
        <v>#N/A</v>
      </c>
      <c r="BR130" s="58" t="e">
        <f ca="1">'Historical - Raw data'!BB125</f>
        <v>#N/A</v>
      </c>
      <c r="BS130" s="58" t="e">
        <f ca="1">'Historical - Raw data'!BC125</f>
        <v>#N/A</v>
      </c>
      <c r="BT130" s="58" t="e">
        <f ca="1">'Historical - Raw data'!BD125</f>
        <v>#N/A</v>
      </c>
      <c r="BU130" s="58" t="e">
        <f ca="1">'Historical - Raw data'!BE125</f>
        <v>#N/A</v>
      </c>
      <c r="BV130" s="58" t="e">
        <f ca="1">'Historical - Raw data'!BF125</f>
        <v>#N/A</v>
      </c>
      <c r="BW130" s="58" t="e">
        <f ca="1">'Historical - Raw data'!BG125</f>
        <v>#N/A</v>
      </c>
    </row>
    <row r="131" spans="63:75" ht="15" customHeight="1">
      <c r="BK131" s="97" t="e">
        <f>'Historical - Raw data'!AU126</f>
        <v>#N/A</v>
      </c>
      <c r="BL131" s="58" t="e">
        <f ca="1">'Historical - Raw data'!AV126</f>
        <v>#N/A</v>
      </c>
      <c r="BM131" s="58" t="e">
        <f ca="1">'Historical - Raw data'!AW126</f>
        <v>#N/A</v>
      </c>
      <c r="BN131" s="58" t="e">
        <f ca="1">'Historical - Raw data'!AX126</f>
        <v>#N/A</v>
      </c>
      <c r="BO131" s="58" t="e">
        <f ca="1">'Historical - Raw data'!AY126</f>
        <v>#N/A</v>
      </c>
      <c r="BP131" s="58" t="e">
        <f ca="1">'Historical - Raw data'!AZ126</f>
        <v>#N/A</v>
      </c>
      <c r="BQ131" s="58" t="e">
        <f ca="1">'Historical - Raw data'!BA126</f>
        <v>#N/A</v>
      </c>
      <c r="BR131" s="58" t="e">
        <f ca="1">'Historical - Raw data'!BB126</f>
        <v>#N/A</v>
      </c>
      <c r="BS131" s="58" t="e">
        <f ca="1">'Historical - Raw data'!BC126</f>
        <v>#N/A</v>
      </c>
      <c r="BT131" s="58" t="e">
        <f ca="1">'Historical - Raw data'!BD126</f>
        <v>#N/A</v>
      </c>
      <c r="BU131" s="58" t="e">
        <f ca="1">'Historical - Raw data'!BE126</f>
        <v>#N/A</v>
      </c>
      <c r="BV131" s="58" t="e">
        <f ca="1">'Historical - Raw data'!BF126</f>
        <v>#N/A</v>
      </c>
      <c r="BW131" s="58" t="e">
        <f ca="1">'Historical - Raw data'!BG126</f>
        <v>#N/A</v>
      </c>
    </row>
    <row r="132" spans="63:75" ht="15" customHeight="1">
      <c r="BK132" s="97" t="e">
        <f>'Historical - Raw data'!AU127</f>
        <v>#N/A</v>
      </c>
      <c r="BL132" s="58" t="e">
        <f ca="1">'Historical - Raw data'!AV127</f>
        <v>#N/A</v>
      </c>
      <c r="BM132" s="58" t="e">
        <f ca="1">'Historical - Raw data'!AW127</f>
        <v>#N/A</v>
      </c>
      <c r="BN132" s="58" t="e">
        <f ca="1">'Historical - Raw data'!AX127</f>
        <v>#N/A</v>
      </c>
      <c r="BO132" s="58" t="e">
        <f ca="1">'Historical - Raw data'!AY127</f>
        <v>#N/A</v>
      </c>
      <c r="BP132" s="58" t="e">
        <f ca="1">'Historical - Raw data'!AZ127</f>
        <v>#N/A</v>
      </c>
      <c r="BQ132" s="58" t="e">
        <f ca="1">'Historical - Raw data'!BA127</f>
        <v>#N/A</v>
      </c>
      <c r="BR132" s="58" t="e">
        <f ca="1">'Historical - Raw data'!BB127</f>
        <v>#N/A</v>
      </c>
      <c r="BS132" s="58" t="e">
        <f ca="1">'Historical - Raw data'!BC127</f>
        <v>#N/A</v>
      </c>
      <c r="BT132" s="58" t="e">
        <f ca="1">'Historical - Raw data'!BD127</f>
        <v>#N/A</v>
      </c>
      <c r="BU132" s="58" t="e">
        <f ca="1">'Historical - Raw data'!BE127</f>
        <v>#N/A</v>
      </c>
      <c r="BV132" s="58" t="e">
        <f ca="1">'Historical - Raw data'!BF127</f>
        <v>#N/A</v>
      </c>
      <c r="BW132" s="58" t="e">
        <f ca="1">'Historical - Raw data'!BG127</f>
        <v>#N/A</v>
      </c>
    </row>
    <row r="133" spans="63:75" ht="15" customHeight="1">
      <c r="BK133" s="97" t="e">
        <f>'Historical - Raw data'!AU128</f>
        <v>#N/A</v>
      </c>
      <c r="BL133" s="58" t="e">
        <f ca="1">'Historical - Raw data'!AV128</f>
        <v>#N/A</v>
      </c>
      <c r="BM133" s="58" t="e">
        <f ca="1">'Historical - Raw data'!AW128</f>
        <v>#N/A</v>
      </c>
      <c r="BN133" s="58" t="e">
        <f ca="1">'Historical - Raw data'!AX128</f>
        <v>#N/A</v>
      </c>
      <c r="BO133" s="58" t="e">
        <f ca="1">'Historical - Raw data'!AY128</f>
        <v>#N/A</v>
      </c>
      <c r="BP133" s="58" t="e">
        <f ca="1">'Historical - Raw data'!AZ128</f>
        <v>#N/A</v>
      </c>
      <c r="BQ133" s="58" t="e">
        <f ca="1">'Historical - Raw data'!BA128</f>
        <v>#N/A</v>
      </c>
      <c r="BR133" s="58" t="e">
        <f ca="1">'Historical - Raw data'!BB128</f>
        <v>#N/A</v>
      </c>
      <c r="BS133" s="58" t="e">
        <f ca="1">'Historical - Raw data'!BC128</f>
        <v>#N/A</v>
      </c>
      <c r="BT133" s="58" t="e">
        <f ca="1">'Historical - Raw data'!BD128</f>
        <v>#N/A</v>
      </c>
      <c r="BU133" s="58" t="e">
        <f ca="1">'Historical - Raw data'!BE128</f>
        <v>#N/A</v>
      </c>
      <c r="BV133" s="58" t="e">
        <f ca="1">'Historical - Raw data'!BF128</f>
        <v>#N/A</v>
      </c>
      <c r="BW133" s="58" t="e">
        <f ca="1">'Historical - Raw data'!BG128</f>
        <v>#N/A</v>
      </c>
    </row>
    <row r="134" spans="63:75" ht="15" customHeight="1">
      <c r="BK134" s="97" t="e">
        <f>'Historical - Raw data'!AU129</f>
        <v>#N/A</v>
      </c>
      <c r="BL134" s="58" t="e">
        <f ca="1">'Historical - Raw data'!AV129</f>
        <v>#N/A</v>
      </c>
      <c r="BM134" s="58" t="e">
        <f ca="1">'Historical - Raw data'!AW129</f>
        <v>#N/A</v>
      </c>
      <c r="BN134" s="58" t="e">
        <f ca="1">'Historical - Raw data'!AX129</f>
        <v>#N/A</v>
      </c>
      <c r="BO134" s="58" t="e">
        <f ca="1">'Historical - Raw data'!AY129</f>
        <v>#N/A</v>
      </c>
      <c r="BP134" s="58" t="e">
        <f ca="1">'Historical - Raw data'!AZ129</f>
        <v>#N/A</v>
      </c>
      <c r="BQ134" s="58" t="e">
        <f ca="1">'Historical - Raw data'!BA129</f>
        <v>#N/A</v>
      </c>
      <c r="BR134" s="58" t="e">
        <f ca="1">'Historical - Raw data'!BB129</f>
        <v>#N/A</v>
      </c>
      <c r="BS134" s="58" t="e">
        <f ca="1">'Historical - Raw data'!BC129</f>
        <v>#N/A</v>
      </c>
      <c r="BT134" s="58" t="e">
        <f ca="1">'Historical - Raw data'!BD129</f>
        <v>#N/A</v>
      </c>
      <c r="BU134" s="58" t="e">
        <f ca="1">'Historical - Raw data'!BE129</f>
        <v>#N/A</v>
      </c>
      <c r="BV134" s="58" t="e">
        <f ca="1">'Historical - Raw data'!BF129</f>
        <v>#N/A</v>
      </c>
      <c r="BW134" s="58" t="e">
        <f ca="1">'Historical - Raw data'!BG129</f>
        <v>#N/A</v>
      </c>
    </row>
    <row r="135" spans="63:75" ht="15" customHeight="1">
      <c r="BK135" s="97" t="e">
        <f>'Historical - Raw data'!AU130</f>
        <v>#N/A</v>
      </c>
      <c r="BL135" s="58" t="e">
        <f ca="1">'Historical - Raw data'!AV130</f>
        <v>#N/A</v>
      </c>
      <c r="BM135" s="58" t="e">
        <f ca="1">'Historical - Raw data'!AW130</f>
        <v>#N/A</v>
      </c>
      <c r="BN135" s="58" t="e">
        <f ca="1">'Historical - Raw data'!AX130</f>
        <v>#N/A</v>
      </c>
      <c r="BO135" s="58" t="e">
        <f ca="1">'Historical - Raw data'!AY130</f>
        <v>#N/A</v>
      </c>
      <c r="BP135" s="58" t="e">
        <f ca="1">'Historical - Raw data'!AZ130</f>
        <v>#N/A</v>
      </c>
      <c r="BQ135" s="58" t="e">
        <f ca="1">'Historical - Raw data'!BA130</f>
        <v>#N/A</v>
      </c>
      <c r="BR135" s="58" t="e">
        <f ca="1">'Historical - Raw data'!BB130</f>
        <v>#N/A</v>
      </c>
      <c r="BS135" s="58" t="e">
        <f ca="1">'Historical - Raw data'!BC130</f>
        <v>#N/A</v>
      </c>
      <c r="BT135" s="58" t="e">
        <f ca="1">'Historical - Raw data'!BD130</f>
        <v>#N/A</v>
      </c>
      <c r="BU135" s="58" t="e">
        <f ca="1">'Historical - Raw data'!BE130</f>
        <v>#N/A</v>
      </c>
      <c r="BV135" s="58" t="e">
        <f ca="1">'Historical - Raw data'!BF130</f>
        <v>#N/A</v>
      </c>
      <c r="BW135" s="58" t="e">
        <f ca="1">'Historical - Raw data'!BG130</f>
        <v>#N/A</v>
      </c>
    </row>
    <row r="136" spans="63:75" ht="15" customHeight="1">
      <c r="BK136" s="97" t="e">
        <f>'Historical - Raw data'!AU131</f>
        <v>#N/A</v>
      </c>
      <c r="BL136" s="58" t="e">
        <f ca="1">'Historical - Raw data'!AV131</f>
        <v>#N/A</v>
      </c>
      <c r="BM136" s="58" t="e">
        <f ca="1">'Historical - Raw data'!AW131</f>
        <v>#N/A</v>
      </c>
      <c r="BN136" s="58" t="e">
        <f ca="1">'Historical - Raw data'!AX131</f>
        <v>#N/A</v>
      </c>
      <c r="BO136" s="58" t="e">
        <f ca="1">'Historical - Raw data'!AY131</f>
        <v>#N/A</v>
      </c>
      <c r="BP136" s="58" t="e">
        <f ca="1">'Historical - Raw data'!AZ131</f>
        <v>#N/A</v>
      </c>
      <c r="BQ136" s="58" t="e">
        <f ca="1">'Historical - Raw data'!BA131</f>
        <v>#N/A</v>
      </c>
      <c r="BR136" s="58" t="e">
        <f ca="1">'Historical - Raw data'!BB131</f>
        <v>#N/A</v>
      </c>
      <c r="BS136" s="58" t="e">
        <f ca="1">'Historical - Raw data'!BC131</f>
        <v>#N/A</v>
      </c>
      <c r="BT136" s="58" t="e">
        <f ca="1">'Historical - Raw data'!BD131</f>
        <v>#N/A</v>
      </c>
      <c r="BU136" s="58" t="e">
        <f ca="1">'Historical - Raw data'!BE131</f>
        <v>#N/A</v>
      </c>
      <c r="BV136" s="58" t="e">
        <f ca="1">'Historical - Raw data'!BF131</f>
        <v>#N/A</v>
      </c>
      <c r="BW136" s="58" t="e">
        <f ca="1">'Historical - Raw data'!BG131</f>
        <v>#N/A</v>
      </c>
    </row>
    <row r="137" spans="63:75" ht="15" customHeight="1">
      <c r="BK137" s="97" t="e">
        <f>'Historical - Raw data'!AU132</f>
        <v>#N/A</v>
      </c>
      <c r="BL137" s="58" t="e">
        <f ca="1">'Historical - Raw data'!AV132</f>
        <v>#N/A</v>
      </c>
      <c r="BM137" s="58" t="e">
        <f ca="1">'Historical - Raw data'!AW132</f>
        <v>#N/A</v>
      </c>
      <c r="BN137" s="58" t="e">
        <f ca="1">'Historical - Raw data'!AX132</f>
        <v>#N/A</v>
      </c>
      <c r="BO137" s="58" t="e">
        <f ca="1">'Historical - Raw data'!AY132</f>
        <v>#N/A</v>
      </c>
      <c r="BP137" s="58" t="e">
        <f ca="1">'Historical - Raw data'!AZ132</f>
        <v>#N/A</v>
      </c>
      <c r="BQ137" s="58" t="e">
        <f ca="1">'Historical - Raw data'!BA132</f>
        <v>#N/A</v>
      </c>
      <c r="BR137" s="58" t="e">
        <f ca="1">'Historical - Raw data'!BB132</f>
        <v>#N/A</v>
      </c>
      <c r="BS137" s="58" t="e">
        <f ca="1">'Historical - Raw data'!BC132</f>
        <v>#N/A</v>
      </c>
      <c r="BT137" s="58" t="e">
        <f ca="1">'Historical - Raw data'!BD132</f>
        <v>#N/A</v>
      </c>
      <c r="BU137" s="58" t="e">
        <f ca="1">'Historical - Raw data'!BE132</f>
        <v>#N/A</v>
      </c>
      <c r="BV137" s="58" t="e">
        <f ca="1">'Historical - Raw data'!BF132</f>
        <v>#N/A</v>
      </c>
      <c r="BW137" s="58" t="e">
        <f ca="1">'Historical - Raw data'!BG132</f>
        <v>#N/A</v>
      </c>
    </row>
    <row r="138" spans="63:75" ht="15" customHeight="1">
      <c r="BK138" s="97" t="e">
        <f>'Historical - Raw data'!AU133</f>
        <v>#N/A</v>
      </c>
      <c r="BL138" s="58" t="e">
        <f ca="1">'Historical - Raw data'!AV133</f>
        <v>#N/A</v>
      </c>
      <c r="BM138" s="58" t="e">
        <f ca="1">'Historical - Raw data'!AW133</f>
        <v>#N/A</v>
      </c>
      <c r="BN138" s="58" t="e">
        <f ca="1">'Historical - Raw data'!AX133</f>
        <v>#N/A</v>
      </c>
      <c r="BO138" s="58" t="e">
        <f ca="1">'Historical - Raw data'!AY133</f>
        <v>#N/A</v>
      </c>
      <c r="BP138" s="58" t="e">
        <f ca="1">'Historical - Raw data'!AZ133</f>
        <v>#N/A</v>
      </c>
      <c r="BQ138" s="58" t="e">
        <f ca="1">'Historical - Raw data'!BA133</f>
        <v>#N/A</v>
      </c>
      <c r="BR138" s="58" t="e">
        <f ca="1">'Historical - Raw data'!BB133</f>
        <v>#N/A</v>
      </c>
      <c r="BS138" s="58" t="e">
        <f ca="1">'Historical - Raw data'!BC133</f>
        <v>#N/A</v>
      </c>
      <c r="BT138" s="58" t="e">
        <f ca="1">'Historical - Raw data'!BD133</f>
        <v>#N/A</v>
      </c>
      <c r="BU138" s="58" t="e">
        <f ca="1">'Historical - Raw data'!BE133</f>
        <v>#N/A</v>
      </c>
      <c r="BV138" s="58" t="e">
        <f ca="1">'Historical - Raw data'!BF133</f>
        <v>#N/A</v>
      </c>
      <c r="BW138" s="58" t="e">
        <f ca="1">'Historical - Raw data'!BG133</f>
        <v>#N/A</v>
      </c>
    </row>
    <row r="139" spans="63:75" ht="15" customHeight="1">
      <c r="BK139" s="97" t="e">
        <f>'Historical - Raw data'!AU134</f>
        <v>#N/A</v>
      </c>
      <c r="BL139" s="58" t="e">
        <f ca="1">'Historical - Raw data'!AV134</f>
        <v>#N/A</v>
      </c>
      <c r="BM139" s="58" t="e">
        <f ca="1">'Historical - Raw data'!AW134</f>
        <v>#N/A</v>
      </c>
      <c r="BN139" s="58" t="e">
        <f ca="1">'Historical - Raw data'!AX134</f>
        <v>#N/A</v>
      </c>
      <c r="BO139" s="58" t="e">
        <f ca="1">'Historical - Raw data'!AY134</f>
        <v>#N/A</v>
      </c>
      <c r="BP139" s="58" t="e">
        <f ca="1">'Historical - Raw data'!AZ134</f>
        <v>#N/A</v>
      </c>
      <c r="BQ139" s="58" t="e">
        <f ca="1">'Historical - Raw data'!BA134</f>
        <v>#N/A</v>
      </c>
      <c r="BR139" s="58" t="e">
        <f ca="1">'Historical - Raw data'!BB134</f>
        <v>#N/A</v>
      </c>
      <c r="BS139" s="58" t="e">
        <f ca="1">'Historical - Raw data'!BC134</f>
        <v>#N/A</v>
      </c>
      <c r="BT139" s="58" t="e">
        <f ca="1">'Historical - Raw data'!BD134</f>
        <v>#N/A</v>
      </c>
      <c r="BU139" s="58" t="e">
        <f ca="1">'Historical - Raw data'!BE134</f>
        <v>#N/A</v>
      </c>
      <c r="BV139" s="58" t="e">
        <f ca="1">'Historical - Raw data'!BF134</f>
        <v>#N/A</v>
      </c>
      <c r="BW139" s="58" t="e">
        <f ca="1">'Historical - Raw data'!BG134</f>
        <v>#N/A</v>
      </c>
    </row>
    <row r="140" spans="63:75" ht="15" customHeight="1">
      <c r="BK140" s="97" t="e">
        <f>'Historical - Raw data'!AU135</f>
        <v>#N/A</v>
      </c>
      <c r="BL140" s="58" t="e">
        <f ca="1">'Historical - Raw data'!AV135</f>
        <v>#N/A</v>
      </c>
      <c r="BM140" s="58" t="e">
        <f ca="1">'Historical - Raw data'!AW135</f>
        <v>#N/A</v>
      </c>
      <c r="BN140" s="58" t="e">
        <f ca="1">'Historical - Raw data'!AX135</f>
        <v>#N/A</v>
      </c>
      <c r="BO140" s="58" t="e">
        <f ca="1">'Historical - Raw data'!AY135</f>
        <v>#N/A</v>
      </c>
      <c r="BP140" s="58" t="e">
        <f ca="1">'Historical - Raw data'!AZ135</f>
        <v>#N/A</v>
      </c>
      <c r="BQ140" s="58" t="e">
        <f ca="1">'Historical - Raw data'!BA135</f>
        <v>#N/A</v>
      </c>
      <c r="BR140" s="58" t="e">
        <f ca="1">'Historical - Raw data'!BB135</f>
        <v>#N/A</v>
      </c>
      <c r="BS140" s="58" t="e">
        <f ca="1">'Historical - Raw data'!BC135</f>
        <v>#N/A</v>
      </c>
      <c r="BT140" s="58" t="e">
        <f ca="1">'Historical - Raw data'!BD135</f>
        <v>#N/A</v>
      </c>
      <c r="BU140" s="58" t="e">
        <f ca="1">'Historical - Raw data'!BE135</f>
        <v>#N/A</v>
      </c>
      <c r="BV140" s="58" t="e">
        <f ca="1">'Historical - Raw data'!BF135</f>
        <v>#N/A</v>
      </c>
      <c r="BW140" s="58" t="e">
        <f ca="1">'Historical - Raw data'!BG135</f>
        <v>#N/A</v>
      </c>
    </row>
    <row r="141" spans="63:75" ht="15" customHeight="1">
      <c r="BK141" s="97" t="e">
        <f>'Historical - Raw data'!AU136</f>
        <v>#N/A</v>
      </c>
      <c r="BL141" s="58" t="e">
        <f ca="1">'Historical - Raw data'!AV136</f>
        <v>#N/A</v>
      </c>
      <c r="BM141" s="58" t="e">
        <f ca="1">'Historical - Raw data'!AW136</f>
        <v>#N/A</v>
      </c>
      <c r="BN141" s="58" t="e">
        <f ca="1">'Historical - Raw data'!AX136</f>
        <v>#N/A</v>
      </c>
      <c r="BO141" s="58" t="e">
        <f ca="1">'Historical - Raw data'!AY136</f>
        <v>#N/A</v>
      </c>
      <c r="BP141" s="58" t="e">
        <f ca="1">'Historical - Raw data'!AZ136</f>
        <v>#N/A</v>
      </c>
      <c r="BQ141" s="58" t="e">
        <f ca="1">'Historical - Raw data'!BA136</f>
        <v>#N/A</v>
      </c>
      <c r="BR141" s="58" t="e">
        <f ca="1">'Historical - Raw data'!BB136</f>
        <v>#N/A</v>
      </c>
      <c r="BS141" s="58" t="e">
        <f ca="1">'Historical - Raw data'!BC136</f>
        <v>#N/A</v>
      </c>
      <c r="BT141" s="58" t="e">
        <f ca="1">'Historical - Raw data'!BD136</f>
        <v>#N/A</v>
      </c>
      <c r="BU141" s="58" t="e">
        <f ca="1">'Historical - Raw data'!BE136</f>
        <v>#N/A</v>
      </c>
      <c r="BV141" s="58" t="e">
        <f ca="1">'Historical - Raw data'!BF136</f>
        <v>#N/A</v>
      </c>
      <c r="BW141" s="58" t="e">
        <f ca="1">'Historical - Raw data'!BG136</f>
        <v>#N/A</v>
      </c>
    </row>
    <row r="142" spans="63:75" ht="15" customHeight="1">
      <c r="BK142" s="97" t="e">
        <f>'Historical - Raw data'!AU137</f>
        <v>#N/A</v>
      </c>
      <c r="BL142" s="58" t="e">
        <f ca="1">'Historical - Raw data'!AV137</f>
        <v>#N/A</v>
      </c>
      <c r="BM142" s="58" t="e">
        <f ca="1">'Historical - Raw data'!AW137</f>
        <v>#N/A</v>
      </c>
      <c r="BN142" s="58" t="e">
        <f ca="1">'Historical - Raw data'!AX137</f>
        <v>#N/A</v>
      </c>
      <c r="BO142" s="58" t="e">
        <f ca="1">'Historical - Raw data'!AY137</f>
        <v>#N/A</v>
      </c>
      <c r="BP142" s="58" t="e">
        <f ca="1">'Historical - Raw data'!AZ137</f>
        <v>#N/A</v>
      </c>
      <c r="BQ142" s="58" t="e">
        <f ca="1">'Historical - Raw data'!BA137</f>
        <v>#N/A</v>
      </c>
      <c r="BR142" s="58" t="e">
        <f ca="1">'Historical - Raw data'!BB137</f>
        <v>#N/A</v>
      </c>
      <c r="BS142" s="58" t="e">
        <f ca="1">'Historical - Raw data'!BC137</f>
        <v>#N/A</v>
      </c>
      <c r="BT142" s="58" t="e">
        <f ca="1">'Historical - Raw data'!BD137</f>
        <v>#N/A</v>
      </c>
      <c r="BU142" s="58" t="e">
        <f ca="1">'Historical - Raw data'!BE137</f>
        <v>#N/A</v>
      </c>
      <c r="BV142" s="58" t="e">
        <f ca="1">'Historical - Raw data'!BF137</f>
        <v>#N/A</v>
      </c>
      <c r="BW142" s="58" t="e">
        <f ca="1">'Historical - Raw data'!BG137</f>
        <v>#N/A</v>
      </c>
    </row>
    <row r="143" spans="63:75" ht="15" customHeight="1">
      <c r="BK143" s="97" t="e">
        <f>'Historical - Raw data'!AU138</f>
        <v>#N/A</v>
      </c>
      <c r="BL143" s="58" t="e">
        <f ca="1">'Historical - Raw data'!AV138</f>
        <v>#N/A</v>
      </c>
      <c r="BM143" s="58" t="e">
        <f ca="1">'Historical - Raw data'!AW138</f>
        <v>#N/A</v>
      </c>
      <c r="BN143" s="58" t="e">
        <f ca="1">'Historical - Raw data'!AX138</f>
        <v>#N/A</v>
      </c>
      <c r="BO143" s="58" t="e">
        <f ca="1">'Historical - Raw data'!AY138</f>
        <v>#N/A</v>
      </c>
      <c r="BP143" s="58" t="e">
        <f ca="1">'Historical - Raw data'!AZ138</f>
        <v>#N/A</v>
      </c>
      <c r="BQ143" s="58" t="e">
        <f ca="1">'Historical - Raw data'!BA138</f>
        <v>#N/A</v>
      </c>
      <c r="BR143" s="58" t="e">
        <f ca="1">'Historical - Raw data'!BB138</f>
        <v>#N/A</v>
      </c>
      <c r="BS143" s="58" t="e">
        <f ca="1">'Historical - Raw data'!BC138</f>
        <v>#N/A</v>
      </c>
      <c r="BT143" s="58" t="e">
        <f ca="1">'Historical - Raw data'!BD138</f>
        <v>#N/A</v>
      </c>
      <c r="BU143" s="58" t="e">
        <f ca="1">'Historical - Raw data'!BE138</f>
        <v>#N/A</v>
      </c>
      <c r="BV143" s="58" t="e">
        <f ca="1">'Historical - Raw data'!BF138</f>
        <v>#N/A</v>
      </c>
      <c r="BW143" s="58" t="e">
        <f ca="1">'Historical - Raw data'!BG138</f>
        <v>#N/A</v>
      </c>
    </row>
    <row r="144" spans="63:75" ht="15" customHeight="1">
      <c r="BK144" s="97" t="e">
        <f>'Historical - Raw data'!AU139</f>
        <v>#N/A</v>
      </c>
      <c r="BL144" s="58" t="e">
        <f ca="1">'Historical - Raw data'!AV139</f>
        <v>#N/A</v>
      </c>
      <c r="BM144" s="58" t="e">
        <f ca="1">'Historical - Raw data'!AW139</f>
        <v>#N/A</v>
      </c>
      <c r="BN144" s="58" t="e">
        <f ca="1">'Historical - Raw data'!AX139</f>
        <v>#N/A</v>
      </c>
      <c r="BO144" s="58" t="e">
        <f ca="1">'Historical - Raw data'!AY139</f>
        <v>#N/A</v>
      </c>
      <c r="BP144" s="58" t="e">
        <f ca="1">'Historical - Raw data'!AZ139</f>
        <v>#N/A</v>
      </c>
      <c r="BQ144" s="58" t="e">
        <f ca="1">'Historical - Raw data'!BA139</f>
        <v>#N/A</v>
      </c>
      <c r="BR144" s="58" t="e">
        <f ca="1">'Historical - Raw data'!BB139</f>
        <v>#N/A</v>
      </c>
      <c r="BS144" s="58" t="e">
        <f ca="1">'Historical - Raw data'!BC139</f>
        <v>#N/A</v>
      </c>
      <c r="BT144" s="58" t="e">
        <f ca="1">'Historical - Raw data'!BD139</f>
        <v>#N/A</v>
      </c>
      <c r="BU144" s="58" t="e">
        <f ca="1">'Historical - Raw data'!BE139</f>
        <v>#N/A</v>
      </c>
      <c r="BV144" s="58" t="e">
        <f ca="1">'Historical - Raw data'!BF139</f>
        <v>#N/A</v>
      </c>
      <c r="BW144" s="58" t="e">
        <f ca="1">'Historical - Raw data'!BG139</f>
        <v>#N/A</v>
      </c>
    </row>
    <row r="145" spans="63:75" ht="15" customHeight="1">
      <c r="BK145" s="97" t="e">
        <f>'Historical - Raw data'!AU140</f>
        <v>#N/A</v>
      </c>
      <c r="BL145" s="58" t="e">
        <f ca="1">'Historical - Raw data'!AV140</f>
        <v>#N/A</v>
      </c>
      <c r="BM145" s="58" t="e">
        <f ca="1">'Historical - Raw data'!AW140</f>
        <v>#N/A</v>
      </c>
      <c r="BN145" s="58" t="e">
        <f ca="1">'Historical - Raw data'!AX140</f>
        <v>#N/A</v>
      </c>
      <c r="BO145" s="58" t="e">
        <f ca="1">'Historical - Raw data'!AY140</f>
        <v>#N/A</v>
      </c>
      <c r="BP145" s="58" t="e">
        <f ca="1">'Historical - Raw data'!AZ140</f>
        <v>#N/A</v>
      </c>
      <c r="BQ145" s="58" t="e">
        <f ca="1">'Historical - Raw data'!BA140</f>
        <v>#N/A</v>
      </c>
      <c r="BR145" s="58" t="e">
        <f ca="1">'Historical - Raw data'!BB140</f>
        <v>#N/A</v>
      </c>
      <c r="BS145" s="58" t="e">
        <f ca="1">'Historical - Raw data'!BC140</f>
        <v>#N/A</v>
      </c>
      <c r="BT145" s="58" t="e">
        <f ca="1">'Historical - Raw data'!BD140</f>
        <v>#N/A</v>
      </c>
      <c r="BU145" s="58" t="e">
        <f ca="1">'Historical - Raw data'!BE140</f>
        <v>#N/A</v>
      </c>
      <c r="BV145" s="58" t="e">
        <f ca="1">'Historical - Raw data'!BF140</f>
        <v>#N/A</v>
      </c>
      <c r="BW145" s="58" t="e">
        <f ca="1">'Historical - Raw data'!BG140</f>
        <v>#N/A</v>
      </c>
    </row>
    <row r="146" spans="63:75" ht="15" customHeight="1">
      <c r="BK146" s="97" t="e">
        <f>'Historical - Raw data'!AU141</f>
        <v>#N/A</v>
      </c>
      <c r="BL146" s="58" t="e">
        <f ca="1">'Historical - Raw data'!AV141</f>
        <v>#N/A</v>
      </c>
      <c r="BM146" s="58" t="e">
        <f ca="1">'Historical - Raw data'!AW141</f>
        <v>#N/A</v>
      </c>
      <c r="BN146" s="58" t="e">
        <f ca="1">'Historical - Raw data'!AX141</f>
        <v>#N/A</v>
      </c>
      <c r="BO146" s="58" t="e">
        <f ca="1">'Historical - Raw data'!AY141</f>
        <v>#N/A</v>
      </c>
      <c r="BP146" s="58" t="e">
        <f ca="1">'Historical - Raw data'!AZ141</f>
        <v>#N/A</v>
      </c>
      <c r="BQ146" s="58" t="e">
        <f ca="1">'Historical - Raw data'!BA141</f>
        <v>#N/A</v>
      </c>
      <c r="BR146" s="58" t="e">
        <f ca="1">'Historical - Raw data'!BB141</f>
        <v>#N/A</v>
      </c>
      <c r="BS146" s="58" t="e">
        <f ca="1">'Historical - Raw data'!BC141</f>
        <v>#N/A</v>
      </c>
      <c r="BT146" s="58" t="e">
        <f ca="1">'Historical - Raw data'!BD141</f>
        <v>#N/A</v>
      </c>
      <c r="BU146" s="58" t="e">
        <f ca="1">'Historical - Raw data'!BE141</f>
        <v>#N/A</v>
      </c>
      <c r="BV146" s="58" t="e">
        <f ca="1">'Historical - Raw data'!BF141</f>
        <v>#N/A</v>
      </c>
      <c r="BW146" s="58" t="e">
        <f ca="1">'Historical - Raw data'!BG141</f>
        <v>#N/A</v>
      </c>
    </row>
    <row r="147" spans="63:75" ht="15" customHeight="1">
      <c r="BK147" s="97" t="e">
        <f>'Historical - Raw data'!AU142</f>
        <v>#N/A</v>
      </c>
      <c r="BL147" s="58" t="e">
        <f ca="1">'Historical - Raw data'!AV142</f>
        <v>#N/A</v>
      </c>
      <c r="BM147" s="58" t="e">
        <f ca="1">'Historical - Raw data'!AW142</f>
        <v>#N/A</v>
      </c>
      <c r="BN147" s="58" t="e">
        <f ca="1">'Historical - Raw data'!AX142</f>
        <v>#N/A</v>
      </c>
      <c r="BO147" s="58" t="e">
        <f ca="1">'Historical - Raw data'!AY142</f>
        <v>#N/A</v>
      </c>
      <c r="BP147" s="58" t="e">
        <f ca="1">'Historical - Raw data'!AZ142</f>
        <v>#N/A</v>
      </c>
      <c r="BQ147" s="58" t="e">
        <f ca="1">'Historical - Raw data'!BA142</f>
        <v>#N/A</v>
      </c>
      <c r="BR147" s="58" t="e">
        <f ca="1">'Historical - Raw data'!BB142</f>
        <v>#N/A</v>
      </c>
      <c r="BS147" s="58" t="e">
        <f ca="1">'Historical - Raw data'!BC142</f>
        <v>#N/A</v>
      </c>
      <c r="BT147" s="58" t="e">
        <f ca="1">'Historical - Raw data'!BD142</f>
        <v>#N/A</v>
      </c>
      <c r="BU147" s="58" t="e">
        <f ca="1">'Historical - Raw data'!BE142</f>
        <v>#N/A</v>
      </c>
      <c r="BV147" s="58" t="e">
        <f ca="1">'Historical - Raw data'!BF142</f>
        <v>#N/A</v>
      </c>
      <c r="BW147" s="58" t="e">
        <f ca="1">'Historical - Raw data'!BG142</f>
        <v>#N/A</v>
      </c>
    </row>
    <row r="148" spans="63:75" ht="15" customHeight="1">
      <c r="BK148" s="97" t="e">
        <f>'Historical - Raw data'!AU143</f>
        <v>#N/A</v>
      </c>
      <c r="BL148" s="58" t="e">
        <f ca="1">'Historical - Raw data'!AV143</f>
        <v>#N/A</v>
      </c>
      <c r="BM148" s="58" t="e">
        <f ca="1">'Historical - Raw data'!AW143</f>
        <v>#N/A</v>
      </c>
      <c r="BN148" s="58" t="e">
        <f ca="1">'Historical - Raw data'!AX143</f>
        <v>#N/A</v>
      </c>
      <c r="BO148" s="58" t="e">
        <f ca="1">'Historical - Raw data'!AY143</f>
        <v>#N/A</v>
      </c>
      <c r="BP148" s="58" t="e">
        <f ca="1">'Historical - Raw data'!AZ143</f>
        <v>#N/A</v>
      </c>
      <c r="BQ148" s="58" t="e">
        <f ca="1">'Historical - Raw data'!BA143</f>
        <v>#N/A</v>
      </c>
      <c r="BR148" s="58" t="e">
        <f ca="1">'Historical - Raw data'!BB143</f>
        <v>#N/A</v>
      </c>
      <c r="BS148" s="58" t="e">
        <f ca="1">'Historical - Raw data'!BC143</f>
        <v>#N/A</v>
      </c>
      <c r="BT148" s="58" t="e">
        <f ca="1">'Historical - Raw data'!BD143</f>
        <v>#N/A</v>
      </c>
      <c r="BU148" s="58" t="e">
        <f ca="1">'Historical - Raw data'!BE143</f>
        <v>#N/A</v>
      </c>
      <c r="BV148" s="58" t="e">
        <f ca="1">'Historical - Raw data'!BF143</f>
        <v>#N/A</v>
      </c>
      <c r="BW148" s="58" t="e">
        <f ca="1">'Historical - Raw data'!BG143</f>
        <v>#N/A</v>
      </c>
    </row>
    <row r="149" spans="63:75" ht="15" customHeight="1">
      <c r="BK149" s="97" t="e">
        <f>'Historical - Raw data'!AU144</f>
        <v>#N/A</v>
      </c>
      <c r="BL149" s="58" t="e">
        <f ca="1">'Historical - Raw data'!AV144</f>
        <v>#N/A</v>
      </c>
      <c r="BM149" s="58" t="e">
        <f ca="1">'Historical - Raw data'!AW144</f>
        <v>#N/A</v>
      </c>
      <c r="BN149" s="58" t="e">
        <f ca="1">'Historical - Raw data'!AX144</f>
        <v>#N/A</v>
      </c>
      <c r="BO149" s="58" t="e">
        <f ca="1">'Historical - Raw data'!AY144</f>
        <v>#N/A</v>
      </c>
      <c r="BP149" s="58" t="e">
        <f ca="1">'Historical - Raw data'!AZ144</f>
        <v>#N/A</v>
      </c>
      <c r="BQ149" s="58" t="e">
        <f ca="1">'Historical - Raw data'!BA144</f>
        <v>#N/A</v>
      </c>
      <c r="BR149" s="58" t="e">
        <f ca="1">'Historical - Raw data'!BB144</f>
        <v>#N/A</v>
      </c>
      <c r="BS149" s="58" t="e">
        <f ca="1">'Historical - Raw data'!BC144</f>
        <v>#N/A</v>
      </c>
      <c r="BT149" s="58" t="e">
        <f ca="1">'Historical - Raw data'!BD144</f>
        <v>#N/A</v>
      </c>
      <c r="BU149" s="58" t="e">
        <f ca="1">'Historical - Raw data'!BE144</f>
        <v>#N/A</v>
      </c>
      <c r="BV149" s="58" t="e">
        <f ca="1">'Historical - Raw data'!BF144</f>
        <v>#N/A</v>
      </c>
      <c r="BW149" s="58" t="e">
        <f ca="1">'Historical - Raw data'!BG144</f>
        <v>#N/A</v>
      </c>
    </row>
    <row r="150" spans="63:75" ht="15" customHeight="1">
      <c r="BK150" s="97" t="e">
        <f>'Historical - Raw data'!AU145</f>
        <v>#N/A</v>
      </c>
      <c r="BL150" s="58" t="e">
        <f ca="1">'Historical - Raw data'!AV145</f>
        <v>#N/A</v>
      </c>
      <c r="BM150" s="58" t="e">
        <f ca="1">'Historical - Raw data'!AW145</f>
        <v>#N/A</v>
      </c>
      <c r="BN150" s="58" t="e">
        <f ca="1">'Historical - Raw data'!AX145</f>
        <v>#N/A</v>
      </c>
      <c r="BO150" s="58" t="e">
        <f ca="1">'Historical - Raw data'!AY145</f>
        <v>#N/A</v>
      </c>
      <c r="BP150" s="58" t="e">
        <f ca="1">'Historical - Raw data'!AZ145</f>
        <v>#N/A</v>
      </c>
      <c r="BQ150" s="58" t="e">
        <f ca="1">'Historical - Raw data'!BA145</f>
        <v>#N/A</v>
      </c>
      <c r="BR150" s="58" t="e">
        <f ca="1">'Historical - Raw data'!BB145</f>
        <v>#N/A</v>
      </c>
      <c r="BS150" s="58" t="e">
        <f ca="1">'Historical - Raw data'!BC145</f>
        <v>#N/A</v>
      </c>
      <c r="BT150" s="58" t="e">
        <f ca="1">'Historical - Raw data'!BD145</f>
        <v>#N/A</v>
      </c>
      <c r="BU150" s="58" t="e">
        <f ca="1">'Historical - Raw data'!BE145</f>
        <v>#N/A</v>
      </c>
      <c r="BV150" s="58" t="e">
        <f ca="1">'Historical - Raw data'!BF145</f>
        <v>#N/A</v>
      </c>
      <c r="BW150" s="58" t="e">
        <f ca="1">'Historical - Raw data'!BG145</f>
        <v>#N/A</v>
      </c>
    </row>
    <row r="151" spans="63:75" ht="15" customHeight="1">
      <c r="BK151" s="97" t="e">
        <f>'Historical - Raw data'!AU146</f>
        <v>#N/A</v>
      </c>
      <c r="BL151" s="58" t="e">
        <f ca="1">'Historical - Raw data'!AV146</f>
        <v>#N/A</v>
      </c>
      <c r="BM151" s="58" t="e">
        <f ca="1">'Historical - Raw data'!AW146</f>
        <v>#N/A</v>
      </c>
      <c r="BN151" s="58" t="e">
        <f ca="1">'Historical - Raw data'!AX146</f>
        <v>#N/A</v>
      </c>
      <c r="BO151" s="58" t="e">
        <f ca="1">'Historical - Raw data'!AY146</f>
        <v>#N/A</v>
      </c>
      <c r="BP151" s="58" t="e">
        <f ca="1">'Historical - Raw data'!AZ146</f>
        <v>#N/A</v>
      </c>
      <c r="BQ151" s="58" t="e">
        <f ca="1">'Historical - Raw data'!BA146</f>
        <v>#N/A</v>
      </c>
      <c r="BR151" s="58" t="e">
        <f ca="1">'Historical - Raw data'!BB146</f>
        <v>#N/A</v>
      </c>
      <c r="BS151" s="58" t="e">
        <f ca="1">'Historical - Raw data'!BC146</f>
        <v>#N/A</v>
      </c>
      <c r="BT151" s="58" t="e">
        <f ca="1">'Historical - Raw data'!BD146</f>
        <v>#N/A</v>
      </c>
      <c r="BU151" s="58" t="e">
        <f ca="1">'Historical - Raw data'!BE146</f>
        <v>#N/A</v>
      </c>
      <c r="BV151" s="58" t="e">
        <f ca="1">'Historical - Raw data'!BF146</f>
        <v>#N/A</v>
      </c>
      <c r="BW151" s="58" t="e">
        <f ca="1">'Historical - Raw data'!BG146</f>
        <v>#N/A</v>
      </c>
    </row>
    <row r="152" spans="63:75" ht="15" customHeight="1">
      <c r="BK152" s="97" t="e">
        <f>'Historical - Raw data'!AU147</f>
        <v>#N/A</v>
      </c>
      <c r="BL152" s="58" t="e">
        <f ca="1">'Historical - Raw data'!AV147</f>
        <v>#N/A</v>
      </c>
      <c r="BM152" s="58" t="e">
        <f ca="1">'Historical - Raw data'!AW147</f>
        <v>#N/A</v>
      </c>
      <c r="BN152" s="58" t="e">
        <f ca="1">'Historical - Raw data'!AX147</f>
        <v>#N/A</v>
      </c>
      <c r="BO152" s="58" t="e">
        <f ca="1">'Historical - Raw data'!AY147</f>
        <v>#N/A</v>
      </c>
      <c r="BP152" s="58" t="e">
        <f ca="1">'Historical - Raw data'!AZ147</f>
        <v>#N/A</v>
      </c>
      <c r="BQ152" s="58" t="e">
        <f ca="1">'Historical - Raw data'!BA147</f>
        <v>#N/A</v>
      </c>
      <c r="BR152" s="58" t="e">
        <f ca="1">'Historical - Raw data'!BB147</f>
        <v>#N/A</v>
      </c>
      <c r="BS152" s="58" t="e">
        <f ca="1">'Historical - Raw data'!BC147</f>
        <v>#N/A</v>
      </c>
      <c r="BT152" s="58" t="e">
        <f ca="1">'Historical - Raw data'!BD147</f>
        <v>#N/A</v>
      </c>
      <c r="BU152" s="58" t="e">
        <f ca="1">'Historical - Raw data'!BE147</f>
        <v>#N/A</v>
      </c>
      <c r="BV152" s="58" t="e">
        <f ca="1">'Historical - Raw data'!BF147</f>
        <v>#N/A</v>
      </c>
      <c r="BW152" s="58" t="e">
        <f ca="1">'Historical - Raw data'!BG147</f>
        <v>#N/A</v>
      </c>
    </row>
    <row r="153" spans="63:75" ht="15" customHeight="1">
      <c r="BK153" s="97" t="e">
        <f>'Historical - Raw data'!AU148</f>
        <v>#N/A</v>
      </c>
      <c r="BL153" s="58" t="e">
        <f ca="1">'Historical - Raw data'!AV148</f>
        <v>#N/A</v>
      </c>
      <c r="BM153" s="58" t="e">
        <f ca="1">'Historical - Raw data'!AW148</f>
        <v>#N/A</v>
      </c>
      <c r="BN153" s="58" t="e">
        <f ca="1">'Historical - Raw data'!AX148</f>
        <v>#N/A</v>
      </c>
      <c r="BO153" s="58" t="e">
        <f ca="1">'Historical - Raw data'!AY148</f>
        <v>#N/A</v>
      </c>
      <c r="BP153" s="58" t="e">
        <f ca="1">'Historical - Raw data'!AZ148</f>
        <v>#N/A</v>
      </c>
      <c r="BQ153" s="58" t="e">
        <f ca="1">'Historical - Raw data'!BA148</f>
        <v>#N/A</v>
      </c>
      <c r="BR153" s="58" t="e">
        <f ca="1">'Historical - Raw data'!BB148</f>
        <v>#N/A</v>
      </c>
      <c r="BS153" s="58" t="e">
        <f ca="1">'Historical - Raw data'!BC148</f>
        <v>#N/A</v>
      </c>
      <c r="BT153" s="58" t="e">
        <f ca="1">'Historical - Raw data'!BD148</f>
        <v>#N/A</v>
      </c>
      <c r="BU153" s="58" t="e">
        <f ca="1">'Historical - Raw data'!BE148</f>
        <v>#N/A</v>
      </c>
      <c r="BV153" s="58" t="e">
        <f ca="1">'Historical - Raw data'!BF148</f>
        <v>#N/A</v>
      </c>
      <c r="BW153" s="58" t="e">
        <f ca="1">'Historical - Raw data'!BG148</f>
        <v>#N/A</v>
      </c>
    </row>
    <row r="154" spans="63:75" ht="15" customHeight="1">
      <c r="BK154" s="97" t="e">
        <f>'Historical - Raw data'!AU149</f>
        <v>#N/A</v>
      </c>
      <c r="BL154" s="58" t="e">
        <f ca="1">'Historical - Raw data'!AV149</f>
        <v>#N/A</v>
      </c>
      <c r="BM154" s="58" t="e">
        <f ca="1">'Historical - Raw data'!AW149</f>
        <v>#N/A</v>
      </c>
      <c r="BN154" s="58" t="e">
        <f ca="1">'Historical - Raw data'!AX149</f>
        <v>#N/A</v>
      </c>
      <c r="BO154" s="58" t="e">
        <f ca="1">'Historical - Raw data'!AY149</f>
        <v>#N/A</v>
      </c>
      <c r="BP154" s="58" t="e">
        <f ca="1">'Historical - Raw data'!AZ149</f>
        <v>#N/A</v>
      </c>
      <c r="BQ154" s="58" t="e">
        <f ca="1">'Historical - Raw data'!BA149</f>
        <v>#N/A</v>
      </c>
      <c r="BR154" s="58" t="e">
        <f ca="1">'Historical - Raw data'!BB149</f>
        <v>#N/A</v>
      </c>
      <c r="BS154" s="58" t="e">
        <f ca="1">'Historical - Raw data'!BC149</f>
        <v>#N/A</v>
      </c>
      <c r="BT154" s="58" t="e">
        <f ca="1">'Historical - Raw data'!BD149</f>
        <v>#N/A</v>
      </c>
      <c r="BU154" s="58" t="e">
        <f ca="1">'Historical - Raw data'!BE149</f>
        <v>#N/A</v>
      </c>
      <c r="BV154" s="58" t="e">
        <f ca="1">'Historical - Raw data'!BF149</f>
        <v>#N/A</v>
      </c>
      <c r="BW154" s="58" t="e">
        <f ca="1">'Historical - Raw data'!BG149</f>
        <v>#N/A</v>
      </c>
    </row>
    <row r="155" spans="63:75" ht="15" customHeight="1">
      <c r="BK155" s="97" t="e">
        <f>'Historical - Raw data'!AU150</f>
        <v>#N/A</v>
      </c>
      <c r="BL155" s="58" t="e">
        <f ca="1">'Historical - Raw data'!AV150</f>
        <v>#N/A</v>
      </c>
      <c r="BM155" s="58" t="e">
        <f ca="1">'Historical - Raw data'!AW150</f>
        <v>#N/A</v>
      </c>
      <c r="BN155" s="58" t="e">
        <f ca="1">'Historical - Raw data'!AX150</f>
        <v>#N/A</v>
      </c>
      <c r="BO155" s="58" t="e">
        <f ca="1">'Historical - Raw data'!AY150</f>
        <v>#N/A</v>
      </c>
      <c r="BP155" s="58" t="e">
        <f ca="1">'Historical - Raw data'!AZ150</f>
        <v>#N/A</v>
      </c>
      <c r="BQ155" s="58" t="e">
        <f ca="1">'Historical - Raw data'!BA150</f>
        <v>#N/A</v>
      </c>
      <c r="BR155" s="58" t="e">
        <f ca="1">'Historical - Raw data'!BB150</f>
        <v>#N/A</v>
      </c>
      <c r="BS155" s="58" t="e">
        <f ca="1">'Historical - Raw data'!BC150</f>
        <v>#N/A</v>
      </c>
      <c r="BT155" s="58" t="e">
        <f ca="1">'Historical - Raw data'!BD150</f>
        <v>#N/A</v>
      </c>
      <c r="BU155" s="58" t="e">
        <f ca="1">'Historical - Raw data'!BE150</f>
        <v>#N/A</v>
      </c>
      <c r="BV155" s="58" t="e">
        <f ca="1">'Historical - Raw data'!BF150</f>
        <v>#N/A</v>
      </c>
      <c r="BW155" s="58" t="e">
        <f ca="1">'Historical - Raw data'!BG150</f>
        <v>#N/A</v>
      </c>
    </row>
    <row r="156" spans="63:75" ht="15" customHeight="1">
      <c r="BK156" s="97" t="e">
        <f>'Historical - Raw data'!AU151</f>
        <v>#N/A</v>
      </c>
      <c r="BL156" s="58" t="e">
        <f ca="1">'Historical - Raw data'!AV151</f>
        <v>#N/A</v>
      </c>
      <c r="BM156" s="58" t="e">
        <f ca="1">'Historical - Raw data'!AW151</f>
        <v>#N/A</v>
      </c>
      <c r="BN156" s="58" t="e">
        <f ca="1">'Historical - Raw data'!AX151</f>
        <v>#N/A</v>
      </c>
      <c r="BO156" s="58" t="e">
        <f ca="1">'Historical - Raw data'!AY151</f>
        <v>#N/A</v>
      </c>
      <c r="BP156" s="58" t="e">
        <f ca="1">'Historical - Raw data'!AZ151</f>
        <v>#N/A</v>
      </c>
      <c r="BQ156" s="58" t="e">
        <f ca="1">'Historical - Raw data'!BA151</f>
        <v>#N/A</v>
      </c>
      <c r="BR156" s="58" t="e">
        <f ca="1">'Historical - Raw data'!BB151</f>
        <v>#N/A</v>
      </c>
      <c r="BS156" s="58" t="e">
        <f ca="1">'Historical - Raw data'!BC151</f>
        <v>#N/A</v>
      </c>
      <c r="BT156" s="58" t="e">
        <f ca="1">'Historical - Raw data'!BD151</f>
        <v>#N/A</v>
      </c>
      <c r="BU156" s="58" t="e">
        <f ca="1">'Historical - Raw data'!BE151</f>
        <v>#N/A</v>
      </c>
      <c r="BV156" s="58" t="e">
        <f ca="1">'Historical - Raw data'!BF151</f>
        <v>#N/A</v>
      </c>
      <c r="BW156" s="58" t="e">
        <f ca="1">'Historical - Raw data'!BG151</f>
        <v>#N/A</v>
      </c>
    </row>
    <row r="157" spans="63:75" ht="15" customHeight="1">
      <c r="BK157" s="97" t="e">
        <f>'Historical - Raw data'!AU152</f>
        <v>#N/A</v>
      </c>
      <c r="BL157" s="58" t="e">
        <f ca="1">'Historical - Raw data'!AV152</f>
        <v>#N/A</v>
      </c>
      <c r="BM157" s="58" t="e">
        <f ca="1">'Historical - Raw data'!AW152</f>
        <v>#N/A</v>
      </c>
      <c r="BN157" s="58" t="e">
        <f ca="1">'Historical - Raw data'!AX152</f>
        <v>#N/A</v>
      </c>
      <c r="BO157" s="58" t="e">
        <f ca="1">'Historical - Raw data'!AY152</f>
        <v>#N/A</v>
      </c>
      <c r="BP157" s="58" t="e">
        <f ca="1">'Historical - Raw data'!AZ152</f>
        <v>#N/A</v>
      </c>
      <c r="BQ157" s="58" t="e">
        <f ca="1">'Historical - Raw data'!BA152</f>
        <v>#N/A</v>
      </c>
      <c r="BR157" s="58" t="e">
        <f ca="1">'Historical - Raw data'!BB152</f>
        <v>#N/A</v>
      </c>
      <c r="BS157" s="58" t="e">
        <f ca="1">'Historical - Raw data'!BC152</f>
        <v>#N/A</v>
      </c>
      <c r="BT157" s="58" t="e">
        <f ca="1">'Historical - Raw data'!BD152</f>
        <v>#N/A</v>
      </c>
      <c r="BU157" s="58" t="e">
        <f ca="1">'Historical - Raw data'!BE152</f>
        <v>#N/A</v>
      </c>
      <c r="BV157" s="58" t="e">
        <f ca="1">'Historical - Raw data'!BF152</f>
        <v>#N/A</v>
      </c>
      <c r="BW157" s="58" t="e">
        <f ca="1">'Historical - Raw data'!BG152</f>
        <v>#N/A</v>
      </c>
    </row>
    <row r="158" spans="63:75" ht="15" customHeight="1">
      <c r="BK158" s="97" t="e">
        <f>'Historical - Raw data'!AU153</f>
        <v>#N/A</v>
      </c>
      <c r="BL158" s="58" t="e">
        <f ca="1">'Historical - Raw data'!AV153</f>
        <v>#N/A</v>
      </c>
      <c r="BM158" s="58" t="e">
        <f ca="1">'Historical - Raw data'!AW153</f>
        <v>#N/A</v>
      </c>
      <c r="BN158" s="58" t="e">
        <f ca="1">'Historical - Raw data'!AX153</f>
        <v>#N/A</v>
      </c>
      <c r="BO158" s="58" t="e">
        <f ca="1">'Historical - Raw data'!AY153</f>
        <v>#N/A</v>
      </c>
      <c r="BP158" s="58" t="e">
        <f ca="1">'Historical - Raw data'!AZ153</f>
        <v>#N/A</v>
      </c>
      <c r="BQ158" s="58" t="e">
        <f ca="1">'Historical - Raw data'!BA153</f>
        <v>#N/A</v>
      </c>
      <c r="BR158" s="58" t="e">
        <f ca="1">'Historical - Raw data'!BB153</f>
        <v>#N/A</v>
      </c>
      <c r="BS158" s="58" t="e">
        <f ca="1">'Historical - Raw data'!BC153</f>
        <v>#N/A</v>
      </c>
      <c r="BT158" s="58" t="e">
        <f ca="1">'Historical - Raw data'!BD153</f>
        <v>#N/A</v>
      </c>
      <c r="BU158" s="58" t="e">
        <f ca="1">'Historical - Raw data'!BE153</f>
        <v>#N/A</v>
      </c>
      <c r="BV158" s="58" t="e">
        <f ca="1">'Historical - Raw data'!BF153</f>
        <v>#N/A</v>
      </c>
      <c r="BW158" s="58" t="e">
        <f ca="1">'Historical - Raw data'!BG153</f>
        <v>#N/A</v>
      </c>
    </row>
    <row r="159" spans="63:75" ht="15" customHeight="1">
      <c r="BK159" s="97" t="e">
        <f>'Historical - Raw data'!AU154</f>
        <v>#N/A</v>
      </c>
      <c r="BL159" s="58" t="e">
        <f ca="1">'Historical - Raw data'!AV154</f>
        <v>#N/A</v>
      </c>
      <c r="BM159" s="58" t="e">
        <f ca="1">'Historical - Raw data'!AW154</f>
        <v>#N/A</v>
      </c>
      <c r="BN159" s="58" t="e">
        <f ca="1">'Historical - Raw data'!AX154</f>
        <v>#N/A</v>
      </c>
      <c r="BO159" s="58" t="e">
        <f ca="1">'Historical - Raw data'!AY154</f>
        <v>#N/A</v>
      </c>
      <c r="BP159" s="58" t="e">
        <f ca="1">'Historical - Raw data'!AZ154</f>
        <v>#N/A</v>
      </c>
      <c r="BQ159" s="58" t="e">
        <f ca="1">'Historical - Raw data'!BA154</f>
        <v>#N/A</v>
      </c>
      <c r="BR159" s="58" t="e">
        <f ca="1">'Historical - Raw data'!BB154</f>
        <v>#N/A</v>
      </c>
      <c r="BS159" s="58" t="e">
        <f ca="1">'Historical - Raw data'!BC154</f>
        <v>#N/A</v>
      </c>
      <c r="BT159" s="58" t="e">
        <f ca="1">'Historical - Raw data'!BD154</f>
        <v>#N/A</v>
      </c>
      <c r="BU159" s="58" t="e">
        <f ca="1">'Historical - Raw data'!BE154</f>
        <v>#N/A</v>
      </c>
      <c r="BV159" s="58" t="e">
        <f ca="1">'Historical - Raw data'!BF154</f>
        <v>#N/A</v>
      </c>
      <c r="BW159" s="58" t="e">
        <f ca="1">'Historical - Raw data'!BG154</f>
        <v>#N/A</v>
      </c>
    </row>
    <row r="160" spans="63:75" ht="15" customHeight="1">
      <c r="BK160" s="97" t="e">
        <f>'Historical - Raw data'!AU155</f>
        <v>#N/A</v>
      </c>
      <c r="BL160" s="58" t="e">
        <f ca="1">'Historical - Raw data'!AV155</f>
        <v>#N/A</v>
      </c>
      <c r="BM160" s="58" t="e">
        <f ca="1">'Historical - Raw data'!AW155</f>
        <v>#N/A</v>
      </c>
      <c r="BN160" s="58" t="e">
        <f ca="1">'Historical - Raw data'!AX155</f>
        <v>#N/A</v>
      </c>
      <c r="BO160" s="58" t="e">
        <f ca="1">'Historical - Raw data'!AY155</f>
        <v>#N/A</v>
      </c>
      <c r="BP160" s="58" t="e">
        <f ca="1">'Historical - Raw data'!AZ155</f>
        <v>#N/A</v>
      </c>
      <c r="BQ160" s="58" t="e">
        <f ca="1">'Historical - Raw data'!BA155</f>
        <v>#N/A</v>
      </c>
      <c r="BR160" s="58" t="e">
        <f ca="1">'Historical - Raw data'!BB155</f>
        <v>#N/A</v>
      </c>
      <c r="BS160" s="58" t="e">
        <f ca="1">'Historical - Raw data'!BC155</f>
        <v>#N/A</v>
      </c>
      <c r="BT160" s="58" t="e">
        <f ca="1">'Historical - Raw data'!BD155</f>
        <v>#N/A</v>
      </c>
      <c r="BU160" s="58" t="e">
        <f ca="1">'Historical - Raw data'!BE155</f>
        <v>#N/A</v>
      </c>
      <c r="BV160" s="58" t="e">
        <f ca="1">'Historical - Raw data'!BF155</f>
        <v>#N/A</v>
      </c>
      <c r="BW160" s="58" t="e">
        <f ca="1">'Historical - Raw data'!BG155</f>
        <v>#N/A</v>
      </c>
    </row>
    <row r="161" spans="63:75" ht="15" customHeight="1">
      <c r="BK161" s="97" t="e">
        <f>'Historical - Raw data'!AU156</f>
        <v>#N/A</v>
      </c>
      <c r="BL161" s="58" t="e">
        <f ca="1">'Historical - Raw data'!AV156</f>
        <v>#N/A</v>
      </c>
      <c r="BM161" s="58" t="e">
        <f ca="1">'Historical - Raw data'!AW156</f>
        <v>#N/A</v>
      </c>
      <c r="BN161" s="58" t="e">
        <f ca="1">'Historical - Raw data'!AX156</f>
        <v>#N/A</v>
      </c>
      <c r="BO161" s="58" t="e">
        <f ca="1">'Historical - Raw data'!AY156</f>
        <v>#N/A</v>
      </c>
      <c r="BP161" s="58" t="e">
        <f ca="1">'Historical - Raw data'!AZ156</f>
        <v>#N/A</v>
      </c>
      <c r="BQ161" s="58" t="e">
        <f ca="1">'Historical - Raw data'!BA156</f>
        <v>#N/A</v>
      </c>
      <c r="BR161" s="58" t="e">
        <f ca="1">'Historical - Raw data'!BB156</f>
        <v>#N/A</v>
      </c>
      <c r="BS161" s="58" t="e">
        <f ca="1">'Historical - Raw data'!BC156</f>
        <v>#N/A</v>
      </c>
      <c r="BT161" s="58" t="e">
        <f ca="1">'Historical - Raw data'!BD156</f>
        <v>#N/A</v>
      </c>
      <c r="BU161" s="58" t="e">
        <f ca="1">'Historical - Raw data'!BE156</f>
        <v>#N/A</v>
      </c>
      <c r="BV161" s="58" t="e">
        <f ca="1">'Historical - Raw data'!BF156</f>
        <v>#N/A</v>
      </c>
      <c r="BW161" s="58" t="e">
        <f ca="1">'Historical - Raw data'!BG156</f>
        <v>#N/A</v>
      </c>
    </row>
    <row r="162" spans="63:75" ht="15" customHeight="1">
      <c r="BK162" s="97" t="e">
        <f>'Historical - Raw data'!AU157</f>
        <v>#N/A</v>
      </c>
      <c r="BL162" s="58" t="e">
        <f ca="1">'Historical - Raw data'!AV157</f>
        <v>#N/A</v>
      </c>
      <c r="BM162" s="58" t="e">
        <f ca="1">'Historical - Raw data'!AW157</f>
        <v>#N/A</v>
      </c>
      <c r="BN162" s="58" t="e">
        <f ca="1">'Historical - Raw data'!AX157</f>
        <v>#N/A</v>
      </c>
      <c r="BO162" s="58" t="e">
        <f ca="1">'Historical - Raw data'!AY157</f>
        <v>#N/A</v>
      </c>
      <c r="BP162" s="58" t="e">
        <f ca="1">'Historical - Raw data'!AZ157</f>
        <v>#N/A</v>
      </c>
      <c r="BQ162" s="58" t="e">
        <f ca="1">'Historical - Raw data'!BA157</f>
        <v>#N/A</v>
      </c>
      <c r="BR162" s="58" t="e">
        <f ca="1">'Historical - Raw data'!BB157</f>
        <v>#N/A</v>
      </c>
      <c r="BS162" s="58" t="e">
        <f ca="1">'Historical - Raw data'!BC157</f>
        <v>#N/A</v>
      </c>
      <c r="BT162" s="58" t="e">
        <f ca="1">'Historical - Raw data'!BD157</f>
        <v>#N/A</v>
      </c>
      <c r="BU162" s="58" t="e">
        <f ca="1">'Historical - Raw data'!BE157</f>
        <v>#N/A</v>
      </c>
      <c r="BV162" s="58" t="e">
        <f ca="1">'Historical - Raw data'!BF157</f>
        <v>#N/A</v>
      </c>
      <c r="BW162" s="58" t="e">
        <f ca="1">'Historical - Raw data'!BG157</f>
        <v>#N/A</v>
      </c>
    </row>
    <row r="163" spans="63:75" ht="15" customHeight="1">
      <c r="BK163" s="97" t="e">
        <f>'Historical - Raw data'!AU158</f>
        <v>#N/A</v>
      </c>
      <c r="BL163" s="58" t="e">
        <f ca="1">'Historical - Raw data'!AV158</f>
        <v>#N/A</v>
      </c>
      <c r="BM163" s="58" t="e">
        <f ca="1">'Historical - Raw data'!AW158</f>
        <v>#N/A</v>
      </c>
      <c r="BN163" s="58" t="e">
        <f ca="1">'Historical - Raw data'!AX158</f>
        <v>#N/A</v>
      </c>
      <c r="BO163" s="58" t="e">
        <f ca="1">'Historical - Raw data'!AY158</f>
        <v>#N/A</v>
      </c>
      <c r="BP163" s="58" t="e">
        <f ca="1">'Historical - Raw data'!AZ158</f>
        <v>#N/A</v>
      </c>
      <c r="BQ163" s="58" t="e">
        <f ca="1">'Historical - Raw data'!BA158</f>
        <v>#N/A</v>
      </c>
      <c r="BR163" s="58" t="e">
        <f ca="1">'Historical - Raw data'!BB158</f>
        <v>#N/A</v>
      </c>
      <c r="BS163" s="58" t="e">
        <f ca="1">'Historical - Raw data'!BC158</f>
        <v>#N/A</v>
      </c>
      <c r="BT163" s="58" t="e">
        <f ca="1">'Historical - Raw data'!BD158</f>
        <v>#N/A</v>
      </c>
      <c r="BU163" s="58" t="e">
        <f ca="1">'Historical - Raw data'!BE158</f>
        <v>#N/A</v>
      </c>
      <c r="BV163" s="58" t="e">
        <f ca="1">'Historical - Raw data'!BF158</f>
        <v>#N/A</v>
      </c>
      <c r="BW163" s="58" t="e">
        <f ca="1">'Historical - Raw data'!BG158</f>
        <v>#N/A</v>
      </c>
    </row>
    <row r="164" spans="63:75" ht="15" customHeight="1">
      <c r="BK164" s="97" t="e">
        <f>'Historical - Raw data'!AU159</f>
        <v>#N/A</v>
      </c>
      <c r="BL164" s="58" t="e">
        <f ca="1">'Historical - Raw data'!AV159</f>
        <v>#N/A</v>
      </c>
      <c r="BM164" s="58" t="e">
        <f ca="1">'Historical - Raw data'!AW159</f>
        <v>#N/A</v>
      </c>
      <c r="BN164" s="58" t="e">
        <f ca="1">'Historical - Raw data'!AX159</f>
        <v>#N/A</v>
      </c>
      <c r="BO164" s="58" t="e">
        <f ca="1">'Historical - Raw data'!AY159</f>
        <v>#N/A</v>
      </c>
      <c r="BP164" s="58" t="e">
        <f ca="1">'Historical - Raw data'!AZ159</f>
        <v>#N/A</v>
      </c>
      <c r="BQ164" s="58" t="e">
        <f ca="1">'Historical - Raw data'!BA159</f>
        <v>#N/A</v>
      </c>
      <c r="BR164" s="58" t="e">
        <f ca="1">'Historical - Raw data'!BB159</f>
        <v>#N/A</v>
      </c>
      <c r="BS164" s="58" t="e">
        <f ca="1">'Historical - Raw data'!BC159</f>
        <v>#N/A</v>
      </c>
      <c r="BT164" s="58" t="e">
        <f ca="1">'Historical - Raw data'!BD159</f>
        <v>#N/A</v>
      </c>
      <c r="BU164" s="58" t="e">
        <f ca="1">'Historical - Raw data'!BE159</f>
        <v>#N/A</v>
      </c>
      <c r="BV164" s="58" t="e">
        <f ca="1">'Historical - Raw data'!BF159</f>
        <v>#N/A</v>
      </c>
      <c r="BW164" s="58" t="e">
        <f ca="1">'Historical - Raw data'!BG159</f>
        <v>#N/A</v>
      </c>
    </row>
    <row r="165" spans="63:75" ht="15" customHeight="1">
      <c r="BK165" s="97" t="e">
        <f>'Historical - Raw data'!AU160</f>
        <v>#N/A</v>
      </c>
      <c r="BL165" s="58" t="e">
        <f ca="1">'Historical - Raw data'!AV160</f>
        <v>#N/A</v>
      </c>
      <c r="BM165" s="58" t="e">
        <f ca="1">'Historical - Raw data'!AW160</f>
        <v>#N/A</v>
      </c>
      <c r="BN165" s="58" t="e">
        <f ca="1">'Historical - Raw data'!AX160</f>
        <v>#N/A</v>
      </c>
      <c r="BO165" s="58" t="e">
        <f ca="1">'Historical - Raw data'!AY160</f>
        <v>#N/A</v>
      </c>
      <c r="BP165" s="58" t="e">
        <f ca="1">'Historical - Raw data'!AZ160</f>
        <v>#N/A</v>
      </c>
      <c r="BQ165" s="58" t="e">
        <f ca="1">'Historical - Raw data'!BA160</f>
        <v>#N/A</v>
      </c>
      <c r="BR165" s="58" t="e">
        <f ca="1">'Historical - Raw data'!BB160</f>
        <v>#N/A</v>
      </c>
      <c r="BS165" s="58" t="e">
        <f ca="1">'Historical - Raw data'!BC160</f>
        <v>#N/A</v>
      </c>
      <c r="BT165" s="58" t="e">
        <f ca="1">'Historical - Raw data'!BD160</f>
        <v>#N/A</v>
      </c>
      <c r="BU165" s="58" t="e">
        <f ca="1">'Historical - Raw data'!BE160</f>
        <v>#N/A</v>
      </c>
      <c r="BV165" s="58" t="e">
        <f ca="1">'Historical - Raw data'!BF160</f>
        <v>#N/A</v>
      </c>
      <c r="BW165" s="58" t="e">
        <f ca="1">'Historical - Raw data'!BG160</f>
        <v>#N/A</v>
      </c>
    </row>
    <row r="166" spans="63:75" ht="15" customHeight="1">
      <c r="BK166" s="97" t="e">
        <f>'Historical - Raw data'!AU161</f>
        <v>#N/A</v>
      </c>
      <c r="BL166" s="58" t="e">
        <f ca="1">'Historical - Raw data'!AV161</f>
        <v>#N/A</v>
      </c>
      <c r="BM166" s="58" t="e">
        <f ca="1">'Historical - Raw data'!AW161</f>
        <v>#N/A</v>
      </c>
      <c r="BN166" s="58" t="e">
        <f ca="1">'Historical - Raw data'!AX161</f>
        <v>#N/A</v>
      </c>
      <c r="BO166" s="58" t="e">
        <f ca="1">'Historical - Raw data'!AY161</f>
        <v>#N/A</v>
      </c>
      <c r="BP166" s="58" t="e">
        <f ca="1">'Historical - Raw data'!AZ161</f>
        <v>#N/A</v>
      </c>
      <c r="BQ166" s="58" t="e">
        <f ca="1">'Historical - Raw data'!BA161</f>
        <v>#N/A</v>
      </c>
      <c r="BR166" s="58" t="e">
        <f ca="1">'Historical - Raw data'!BB161</f>
        <v>#N/A</v>
      </c>
      <c r="BS166" s="58" t="e">
        <f ca="1">'Historical - Raw data'!BC161</f>
        <v>#N/A</v>
      </c>
      <c r="BT166" s="58" t="e">
        <f ca="1">'Historical - Raw data'!BD161</f>
        <v>#N/A</v>
      </c>
      <c r="BU166" s="58" t="e">
        <f ca="1">'Historical - Raw data'!BE161</f>
        <v>#N/A</v>
      </c>
      <c r="BV166" s="58" t="e">
        <f ca="1">'Historical - Raw data'!BF161</f>
        <v>#N/A</v>
      </c>
      <c r="BW166" s="58" t="e">
        <f ca="1">'Historical - Raw data'!BG161</f>
        <v>#N/A</v>
      </c>
    </row>
    <row r="167" spans="63:75" ht="15" customHeight="1">
      <c r="BK167" s="97" t="e">
        <f>'Historical - Raw data'!AU162</f>
        <v>#N/A</v>
      </c>
      <c r="BL167" s="58" t="e">
        <f ca="1">'Historical - Raw data'!AV162</f>
        <v>#N/A</v>
      </c>
      <c r="BM167" s="58" t="e">
        <f ca="1">'Historical - Raw data'!AW162</f>
        <v>#N/A</v>
      </c>
      <c r="BN167" s="58" t="e">
        <f ca="1">'Historical - Raw data'!AX162</f>
        <v>#N/A</v>
      </c>
      <c r="BO167" s="58" t="e">
        <f ca="1">'Historical - Raw data'!AY162</f>
        <v>#N/A</v>
      </c>
      <c r="BP167" s="58" t="e">
        <f ca="1">'Historical - Raw data'!AZ162</f>
        <v>#N/A</v>
      </c>
      <c r="BQ167" s="58" t="e">
        <f ca="1">'Historical - Raw data'!BA162</f>
        <v>#N/A</v>
      </c>
      <c r="BR167" s="58" t="e">
        <f ca="1">'Historical - Raw data'!BB162</f>
        <v>#N/A</v>
      </c>
      <c r="BS167" s="58" t="e">
        <f ca="1">'Historical - Raw data'!BC162</f>
        <v>#N/A</v>
      </c>
      <c r="BT167" s="58" t="e">
        <f ca="1">'Historical - Raw data'!BD162</f>
        <v>#N/A</v>
      </c>
      <c r="BU167" s="58" t="e">
        <f ca="1">'Historical - Raw data'!BE162</f>
        <v>#N/A</v>
      </c>
      <c r="BV167" s="58" t="e">
        <f ca="1">'Historical - Raw data'!BF162</f>
        <v>#N/A</v>
      </c>
      <c r="BW167" s="58" t="e">
        <f ca="1">'Historical - Raw data'!BG162</f>
        <v>#N/A</v>
      </c>
    </row>
    <row r="168" spans="63:75" ht="15" customHeight="1">
      <c r="BK168" s="97" t="e">
        <f>'Historical - Raw data'!AU163</f>
        <v>#N/A</v>
      </c>
      <c r="BL168" s="58" t="e">
        <f ca="1">'Historical - Raw data'!AV163</f>
        <v>#N/A</v>
      </c>
      <c r="BM168" s="58" t="e">
        <f ca="1">'Historical - Raw data'!AW163</f>
        <v>#N/A</v>
      </c>
      <c r="BN168" s="58" t="e">
        <f ca="1">'Historical - Raw data'!AX163</f>
        <v>#N/A</v>
      </c>
      <c r="BO168" s="58" t="e">
        <f ca="1">'Historical - Raw data'!AY163</f>
        <v>#N/A</v>
      </c>
      <c r="BP168" s="58" t="e">
        <f ca="1">'Historical - Raw data'!AZ163</f>
        <v>#N/A</v>
      </c>
      <c r="BQ168" s="58" t="e">
        <f ca="1">'Historical - Raw data'!BA163</f>
        <v>#N/A</v>
      </c>
      <c r="BR168" s="58" t="e">
        <f ca="1">'Historical - Raw data'!BB163</f>
        <v>#N/A</v>
      </c>
      <c r="BS168" s="58" t="e">
        <f ca="1">'Historical - Raw data'!BC163</f>
        <v>#N/A</v>
      </c>
      <c r="BT168" s="58" t="e">
        <f ca="1">'Historical - Raw data'!BD163</f>
        <v>#N/A</v>
      </c>
      <c r="BU168" s="58" t="e">
        <f ca="1">'Historical - Raw data'!BE163</f>
        <v>#N/A</v>
      </c>
      <c r="BV168" s="58" t="e">
        <f ca="1">'Historical - Raw data'!BF163</f>
        <v>#N/A</v>
      </c>
      <c r="BW168" s="58" t="e">
        <f ca="1">'Historical - Raw data'!BG163</f>
        <v>#N/A</v>
      </c>
    </row>
    <row r="169" spans="63:75" ht="15" customHeight="1">
      <c r="BK169" s="97" t="e">
        <f>'Historical - Raw data'!AU164</f>
        <v>#N/A</v>
      </c>
      <c r="BL169" s="58" t="e">
        <f ca="1">'Historical - Raw data'!AV164</f>
        <v>#N/A</v>
      </c>
      <c r="BM169" s="58" t="e">
        <f ca="1">'Historical - Raw data'!AW164</f>
        <v>#N/A</v>
      </c>
      <c r="BN169" s="58" t="e">
        <f ca="1">'Historical - Raw data'!AX164</f>
        <v>#N/A</v>
      </c>
      <c r="BO169" s="58" t="e">
        <f ca="1">'Historical - Raw data'!AY164</f>
        <v>#N/A</v>
      </c>
      <c r="BP169" s="58" t="e">
        <f ca="1">'Historical - Raw data'!AZ164</f>
        <v>#N/A</v>
      </c>
      <c r="BQ169" s="58" t="e">
        <f ca="1">'Historical - Raw data'!BA164</f>
        <v>#N/A</v>
      </c>
      <c r="BR169" s="58" t="e">
        <f ca="1">'Historical - Raw data'!BB164</f>
        <v>#N/A</v>
      </c>
      <c r="BS169" s="58" t="e">
        <f ca="1">'Historical - Raw data'!BC164</f>
        <v>#N/A</v>
      </c>
      <c r="BT169" s="58" t="e">
        <f ca="1">'Historical - Raw data'!BD164</f>
        <v>#N/A</v>
      </c>
      <c r="BU169" s="58" t="e">
        <f ca="1">'Historical - Raw data'!BE164</f>
        <v>#N/A</v>
      </c>
      <c r="BV169" s="58" t="e">
        <f ca="1">'Historical - Raw data'!BF164</f>
        <v>#N/A</v>
      </c>
      <c r="BW169" s="58" t="e">
        <f ca="1">'Historical - Raw data'!BG164</f>
        <v>#N/A</v>
      </c>
    </row>
    <row r="170" spans="63:75" ht="15" customHeight="1">
      <c r="BK170" s="97" t="e">
        <f>'Historical - Raw data'!AU165</f>
        <v>#N/A</v>
      </c>
      <c r="BL170" s="58" t="e">
        <f ca="1">'Historical - Raw data'!AV165</f>
        <v>#N/A</v>
      </c>
      <c r="BM170" s="58" t="e">
        <f ca="1">'Historical - Raw data'!AW165</f>
        <v>#N/A</v>
      </c>
      <c r="BN170" s="58" t="e">
        <f ca="1">'Historical - Raw data'!AX165</f>
        <v>#N/A</v>
      </c>
      <c r="BO170" s="58" t="e">
        <f ca="1">'Historical - Raw data'!AY165</f>
        <v>#N/A</v>
      </c>
      <c r="BP170" s="58" t="e">
        <f ca="1">'Historical - Raw data'!AZ165</f>
        <v>#N/A</v>
      </c>
      <c r="BQ170" s="58" t="e">
        <f ca="1">'Historical - Raw data'!BA165</f>
        <v>#N/A</v>
      </c>
      <c r="BR170" s="58" t="e">
        <f ca="1">'Historical - Raw data'!BB165</f>
        <v>#N/A</v>
      </c>
      <c r="BS170" s="58" t="e">
        <f ca="1">'Historical - Raw data'!BC165</f>
        <v>#N/A</v>
      </c>
      <c r="BT170" s="58" t="e">
        <f ca="1">'Historical - Raw data'!BD165</f>
        <v>#N/A</v>
      </c>
      <c r="BU170" s="58" t="e">
        <f ca="1">'Historical - Raw data'!BE165</f>
        <v>#N/A</v>
      </c>
      <c r="BV170" s="58" t="e">
        <f ca="1">'Historical - Raw data'!BF165</f>
        <v>#N/A</v>
      </c>
      <c r="BW170" s="58" t="e">
        <f ca="1">'Historical - Raw data'!BG165</f>
        <v>#N/A</v>
      </c>
    </row>
    <row r="171" spans="63:75" ht="15" customHeight="1">
      <c r="BK171" s="97" t="e">
        <f>'Historical - Raw data'!AU166</f>
        <v>#N/A</v>
      </c>
      <c r="BL171" s="58" t="e">
        <f ca="1">'Historical - Raw data'!AV166</f>
        <v>#N/A</v>
      </c>
      <c r="BM171" s="58" t="e">
        <f ca="1">'Historical - Raw data'!AW166</f>
        <v>#N/A</v>
      </c>
      <c r="BN171" s="58" t="e">
        <f ca="1">'Historical - Raw data'!AX166</f>
        <v>#N/A</v>
      </c>
      <c r="BO171" s="58" t="e">
        <f ca="1">'Historical - Raw data'!AY166</f>
        <v>#N/A</v>
      </c>
      <c r="BP171" s="58" t="e">
        <f ca="1">'Historical - Raw data'!AZ166</f>
        <v>#N/A</v>
      </c>
      <c r="BQ171" s="58" t="e">
        <f ca="1">'Historical - Raw data'!BA166</f>
        <v>#N/A</v>
      </c>
      <c r="BR171" s="58" t="e">
        <f ca="1">'Historical - Raw data'!BB166</f>
        <v>#N/A</v>
      </c>
      <c r="BS171" s="58" t="e">
        <f ca="1">'Historical - Raw data'!BC166</f>
        <v>#N/A</v>
      </c>
      <c r="BT171" s="58" t="e">
        <f ca="1">'Historical - Raw data'!BD166</f>
        <v>#N/A</v>
      </c>
      <c r="BU171" s="58" t="e">
        <f ca="1">'Historical - Raw data'!BE166</f>
        <v>#N/A</v>
      </c>
      <c r="BV171" s="58" t="e">
        <f ca="1">'Historical - Raw data'!BF166</f>
        <v>#N/A</v>
      </c>
      <c r="BW171" s="58" t="e">
        <f ca="1">'Historical - Raw data'!BG166</f>
        <v>#N/A</v>
      </c>
    </row>
    <row r="172" spans="63:75" ht="15" customHeight="1">
      <c r="BK172" s="97" t="e">
        <f>'Historical - Raw data'!AU167</f>
        <v>#N/A</v>
      </c>
      <c r="BL172" s="58" t="e">
        <f ca="1">'Historical - Raw data'!AV167</f>
        <v>#N/A</v>
      </c>
      <c r="BM172" s="58" t="e">
        <f ca="1">'Historical - Raw data'!AW167</f>
        <v>#N/A</v>
      </c>
      <c r="BN172" s="58" t="e">
        <f ca="1">'Historical - Raw data'!AX167</f>
        <v>#N/A</v>
      </c>
      <c r="BO172" s="58" t="e">
        <f ca="1">'Historical - Raw data'!AY167</f>
        <v>#N/A</v>
      </c>
      <c r="BP172" s="58" t="e">
        <f ca="1">'Historical - Raw data'!AZ167</f>
        <v>#N/A</v>
      </c>
      <c r="BQ172" s="58" t="e">
        <f ca="1">'Historical - Raw data'!BA167</f>
        <v>#N/A</v>
      </c>
      <c r="BR172" s="58" t="e">
        <f ca="1">'Historical - Raw data'!BB167</f>
        <v>#N/A</v>
      </c>
      <c r="BS172" s="58" t="e">
        <f ca="1">'Historical - Raw data'!BC167</f>
        <v>#N/A</v>
      </c>
      <c r="BT172" s="58" t="e">
        <f ca="1">'Historical - Raw data'!BD167</f>
        <v>#N/A</v>
      </c>
      <c r="BU172" s="58" t="e">
        <f ca="1">'Historical - Raw data'!BE167</f>
        <v>#N/A</v>
      </c>
      <c r="BV172" s="58" t="e">
        <f ca="1">'Historical - Raw data'!BF167</f>
        <v>#N/A</v>
      </c>
      <c r="BW172" s="58" t="e">
        <f ca="1">'Historical - Raw data'!BG167</f>
        <v>#N/A</v>
      </c>
    </row>
    <row r="173" spans="63:75" ht="15" customHeight="1">
      <c r="BK173" s="97" t="e">
        <f>'Historical - Raw data'!AU168</f>
        <v>#N/A</v>
      </c>
      <c r="BL173" s="58" t="e">
        <f ca="1">'Historical - Raw data'!AV168</f>
        <v>#N/A</v>
      </c>
      <c r="BM173" s="58" t="e">
        <f ca="1">'Historical - Raw data'!AW168</f>
        <v>#N/A</v>
      </c>
      <c r="BN173" s="58" t="e">
        <f ca="1">'Historical - Raw data'!AX168</f>
        <v>#N/A</v>
      </c>
      <c r="BO173" s="58" t="e">
        <f ca="1">'Historical - Raw data'!AY168</f>
        <v>#N/A</v>
      </c>
      <c r="BP173" s="58" t="e">
        <f ca="1">'Historical - Raw data'!AZ168</f>
        <v>#N/A</v>
      </c>
      <c r="BQ173" s="58" t="e">
        <f ca="1">'Historical - Raw data'!BA168</f>
        <v>#N/A</v>
      </c>
      <c r="BR173" s="58" t="e">
        <f ca="1">'Historical - Raw data'!BB168</f>
        <v>#N/A</v>
      </c>
      <c r="BS173" s="58" t="e">
        <f ca="1">'Historical - Raw data'!BC168</f>
        <v>#N/A</v>
      </c>
      <c r="BT173" s="58" t="e">
        <f ca="1">'Historical - Raw data'!BD168</f>
        <v>#N/A</v>
      </c>
      <c r="BU173" s="58" t="e">
        <f ca="1">'Historical - Raw data'!BE168</f>
        <v>#N/A</v>
      </c>
      <c r="BV173" s="58" t="e">
        <f ca="1">'Historical - Raw data'!BF168</f>
        <v>#N/A</v>
      </c>
      <c r="BW173" s="58" t="e">
        <f ca="1">'Historical - Raw data'!BG168</f>
        <v>#N/A</v>
      </c>
    </row>
    <row r="174" spans="63:75" ht="15" customHeight="1">
      <c r="BK174" s="97" t="e">
        <f>'Historical - Raw data'!AU169</f>
        <v>#N/A</v>
      </c>
      <c r="BL174" s="58" t="e">
        <f ca="1">'Historical - Raw data'!AV169</f>
        <v>#N/A</v>
      </c>
      <c r="BM174" s="58" t="e">
        <f ca="1">'Historical - Raw data'!AW169</f>
        <v>#N/A</v>
      </c>
      <c r="BN174" s="58" t="e">
        <f ca="1">'Historical - Raw data'!AX169</f>
        <v>#N/A</v>
      </c>
      <c r="BO174" s="58" t="e">
        <f ca="1">'Historical - Raw data'!AY169</f>
        <v>#N/A</v>
      </c>
      <c r="BP174" s="58" t="e">
        <f ca="1">'Historical - Raw data'!AZ169</f>
        <v>#N/A</v>
      </c>
      <c r="BQ174" s="58" t="e">
        <f ca="1">'Historical - Raw data'!BA169</f>
        <v>#N/A</v>
      </c>
      <c r="BR174" s="58" t="e">
        <f ca="1">'Historical - Raw data'!BB169</f>
        <v>#N/A</v>
      </c>
      <c r="BS174" s="58" t="e">
        <f ca="1">'Historical - Raw data'!BC169</f>
        <v>#N/A</v>
      </c>
      <c r="BT174" s="58" t="e">
        <f ca="1">'Historical - Raw data'!BD169</f>
        <v>#N/A</v>
      </c>
      <c r="BU174" s="58" t="e">
        <f ca="1">'Historical - Raw data'!BE169</f>
        <v>#N/A</v>
      </c>
      <c r="BV174" s="58" t="e">
        <f ca="1">'Historical - Raw data'!BF169</f>
        <v>#N/A</v>
      </c>
      <c r="BW174" s="58" t="e">
        <f ca="1">'Historical - Raw data'!BG169</f>
        <v>#N/A</v>
      </c>
    </row>
    <row r="175" spans="63:75" ht="15" customHeight="1">
      <c r="BK175" s="97" t="e">
        <f>'Historical - Raw data'!AU170</f>
        <v>#N/A</v>
      </c>
      <c r="BL175" s="58" t="e">
        <f ca="1">'Historical - Raw data'!AV170</f>
        <v>#N/A</v>
      </c>
      <c r="BM175" s="58" t="e">
        <f ca="1">'Historical - Raw data'!AW170</f>
        <v>#N/A</v>
      </c>
      <c r="BN175" s="58" t="e">
        <f ca="1">'Historical - Raw data'!AX170</f>
        <v>#N/A</v>
      </c>
      <c r="BO175" s="58" t="e">
        <f ca="1">'Historical - Raw data'!AY170</f>
        <v>#N/A</v>
      </c>
      <c r="BP175" s="58" t="e">
        <f ca="1">'Historical - Raw data'!AZ170</f>
        <v>#N/A</v>
      </c>
      <c r="BQ175" s="58" t="e">
        <f ca="1">'Historical - Raw data'!BA170</f>
        <v>#N/A</v>
      </c>
      <c r="BR175" s="58" t="e">
        <f ca="1">'Historical - Raw data'!BB170</f>
        <v>#N/A</v>
      </c>
      <c r="BS175" s="58" t="e">
        <f ca="1">'Historical - Raw data'!BC170</f>
        <v>#N/A</v>
      </c>
      <c r="BT175" s="58" t="e">
        <f ca="1">'Historical - Raw data'!BD170</f>
        <v>#N/A</v>
      </c>
      <c r="BU175" s="58" t="e">
        <f ca="1">'Historical - Raw data'!BE170</f>
        <v>#N/A</v>
      </c>
      <c r="BV175" s="58" t="e">
        <f ca="1">'Historical - Raw data'!BF170</f>
        <v>#N/A</v>
      </c>
      <c r="BW175" s="58" t="e">
        <f ca="1">'Historical - Raw data'!BG170</f>
        <v>#N/A</v>
      </c>
    </row>
    <row r="176" spans="63:75" ht="15" customHeight="1">
      <c r="BK176" s="97" t="e">
        <f>'Historical - Raw data'!AU171</f>
        <v>#N/A</v>
      </c>
      <c r="BL176" s="58" t="e">
        <f ca="1">'Historical - Raw data'!AV171</f>
        <v>#N/A</v>
      </c>
      <c r="BM176" s="58" t="e">
        <f ca="1">'Historical - Raw data'!AW171</f>
        <v>#N/A</v>
      </c>
      <c r="BN176" s="58" t="e">
        <f ca="1">'Historical - Raw data'!AX171</f>
        <v>#N/A</v>
      </c>
      <c r="BO176" s="58" t="e">
        <f ca="1">'Historical - Raw data'!AY171</f>
        <v>#N/A</v>
      </c>
      <c r="BP176" s="58" t="e">
        <f ca="1">'Historical - Raw data'!AZ171</f>
        <v>#N/A</v>
      </c>
      <c r="BQ176" s="58" t="e">
        <f ca="1">'Historical - Raw data'!BA171</f>
        <v>#N/A</v>
      </c>
      <c r="BR176" s="58" t="e">
        <f ca="1">'Historical - Raw data'!BB171</f>
        <v>#N/A</v>
      </c>
      <c r="BS176" s="58" t="e">
        <f ca="1">'Historical - Raw data'!BC171</f>
        <v>#N/A</v>
      </c>
      <c r="BT176" s="58" t="e">
        <f ca="1">'Historical - Raw data'!BD171</f>
        <v>#N/A</v>
      </c>
      <c r="BU176" s="58" t="e">
        <f ca="1">'Historical - Raw data'!BE171</f>
        <v>#N/A</v>
      </c>
      <c r="BV176" s="58" t="e">
        <f ca="1">'Historical - Raw data'!BF171</f>
        <v>#N/A</v>
      </c>
      <c r="BW176" s="58" t="e">
        <f ca="1">'Historical - Raw data'!BG171</f>
        <v>#N/A</v>
      </c>
    </row>
    <row r="177" spans="63:75" ht="15" customHeight="1">
      <c r="BK177" s="97" t="e">
        <f>'Historical - Raw data'!AU172</f>
        <v>#N/A</v>
      </c>
      <c r="BL177" s="58" t="e">
        <f ca="1">'Historical - Raw data'!AV172</f>
        <v>#N/A</v>
      </c>
      <c r="BM177" s="58" t="e">
        <f ca="1">'Historical - Raw data'!AW172</f>
        <v>#N/A</v>
      </c>
      <c r="BN177" s="58" t="e">
        <f ca="1">'Historical - Raw data'!AX172</f>
        <v>#N/A</v>
      </c>
      <c r="BO177" s="58" t="e">
        <f ca="1">'Historical - Raw data'!AY172</f>
        <v>#N/A</v>
      </c>
      <c r="BP177" s="58" t="e">
        <f ca="1">'Historical - Raw data'!AZ172</f>
        <v>#N/A</v>
      </c>
      <c r="BQ177" s="58" t="e">
        <f ca="1">'Historical - Raw data'!BA172</f>
        <v>#N/A</v>
      </c>
      <c r="BR177" s="58" t="e">
        <f ca="1">'Historical - Raw data'!BB172</f>
        <v>#N/A</v>
      </c>
      <c r="BS177" s="58" t="e">
        <f ca="1">'Historical - Raw data'!BC172</f>
        <v>#N/A</v>
      </c>
      <c r="BT177" s="58" t="e">
        <f ca="1">'Historical - Raw data'!BD172</f>
        <v>#N/A</v>
      </c>
      <c r="BU177" s="58" t="e">
        <f ca="1">'Historical - Raw data'!BE172</f>
        <v>#N/A</v>
      </c>
      <c r="BV177" s="58" t="e">
        <f ca="1">'Historical - Raw data'!BF172</f>
        <v>#N/A</v>
      </c>
      <c r="BW177" s="58" t="e">
        <f ca="1">'Historical - Raw data'!BG172</f>
        <v>#N/A</v>
      </c>
    </row>
    <row r="178" spans="63:75" ht="15" customHeight="1">
      <c r="BK178" s="97" t="e">
        <f>'Historical - Raw data'!AU173</f>
        <v>#N/A</v>
      </c>
      <c r="BL178" s="58" t="e">
        <f ca="1">'Historical - Raw data'!AV173</f>
        <v>#N/A</v>
      </c>
      <c r="BM178" s="58" t="e">
        <f ca="1">'Historical - Raw data'!AW173</f>
        <v>#N/A</v>
      </c>
      <c r="BN178" s="58" t="e">
        <f ca="1">'Historical - Raw data'!AX173</f>
        <v>#N/A</v>
      </c>
      <c r="BO178" s="58" t="e">
        <f ca="1">'Historical - Raw data'!AY173</f>
        <v>#N/A</v>
      </c>
      <c r="BP178" s="58" t="e">
        <f ca="1">'Historical - Raw data'!AZ173</f>
        <v>#N/A</v>
      </c>
      <c r="BQ178" s="58" t="e">
        <f ca="1">'Historical - Raw data'!BA173</f>
        <v>#N/A</v>
      </c>
      <c r="BR178" s="58" t="e">
        <f ca="1">'Historical - Raw data'!BB173</f>
        <v>#N/A</v>
      </c>
      <c r="BS178" s="58" t="e">
        <f ca="1">'Historical - Raw data'!BC173</f>
        <v>#N/A</v>
      </c>
      <c r="BT178" s="58" t="e">
        <f ca="1">'Historical - Raw data'!BD173</f>
        <v>#N/A</v>
      </c>
      <c r="BU178" s="58" t="e">
        <f ca="1">'Historical - Raw data'!BE173</f>
        <v>#N/A</v>
      </c>
      <c r="BV178" s="58" t="e">
        <f ca="1">'Historical - Raw data'!BF173</f>
        <v>#N/A</v>
      </c>
      <c r="BW178" s="58" t="e">
        <f ca="1">'Historical - Raw data'!BG173</f>
        <v>#N/A</v>
      </c>
    </row>
    <row r="179" spans="63:75" ht="15" customHeight="1">
      <c r="BK179" s="97" t="e">
        <f>'Historical - Raw data'!AU174</f>
        <v>#N/A</v>
      </c>
      <c r="BL179" s="58" t="e">
        <f ca="1">'Historical - Raw data'!AV174</f>
        <v>#N/A</v>
      </c>
      <c r="BM179" s="58" t="e">
        <f ca="1">'Historical - Raw data'!AW174</f>
        <v>#N/A</v>
      </c>
      <c r="BN179" s="58" t="e">
        <f ca="1">'Historical - Raw data'!AX174</f>
        <v>#N/A</v>
      </c>
      <c r="BO179" s="58" t="e">
        <f ca="1">'Historical - Raw data'!AY174</f>
        <v>#N/A</v>
      </c>
      <c r="BP179" s="58" t="e">
        <f ca="1">'Historical - Raw data'!AZ174</f>
        <v>#N/A</v>
      </c>
      <c r="BQ179" s="58" t="e">
        <f ca="1">'Historical - Raw data'!BA174</f>
        <v>#N/A</v>
      </c>
      <c r="BR179" s="58" t="e">
        <f ca="1">'Historical - Raw data'!BB174</f>
        <v>#N/A</v>
      </c>
      <c r="BS179" s="58" t="e">
        <f ca="1">'Historical - Raw data'!BC174</f>
        <v>#N/A</v>
      </c>
      <c r="BT179" s="58" t="e">
        <f ca="1">'Historical - Raw data'!BD174</f>
        <v>#N/A</v>
      </c>
      <c r="BU179" s="58" t="e">
        <f ca="1">'Historical - Raw data'!BE174</f>
        <v>#N/A</v>
      </c>
      <c r="BV179" s="58" t="e">
        <f ca="1">'Historical - Raw data'!BF174</f>
        <v>#N/A</v>
      </c>
      <c r="BW179" s="58" t="e">
        <f ca="1">'Historical - Raw data'!BG174</f>
        <v>#N/A</v>
      </c>
    </row>
    <row r="180" spans="63:75" ht="15" customHeight="1">
      <c r="BK180" s="97" t="e">
        <f>'Historical - Raw data'!AU175</f>
        <v>#N/A</v>
      </c>
      <c r="BL180" s="58" t="e">
        <f ca="1">'Historical - Raw data'!AV175</f>
        <v>#N/A</v>
      </c>
      <c r="BM180" s="58" t="e">
        <f ca="1">'Historical - Raw data'!AW175</f>
        <v>#N/A</v>
      </c>
      <c r="BN180" s="58" t="e">
        <f ca="1">'Historical - Raw data'!AX175</f>
        <v>#N/A</v>
      </c>
      <c r="BO180" s="58" t="e">
        <f ca="1">'Historical - Raw data'!AY175</f>
        <v>#N/A</v>
      </c>
      <c r="BP180" s="58" t="e">
        <f ca="1">'Historical - Raw data'!AZ175</f>
        <v>#N/A</v>
      </c>
      <c r="BQ180" s="58" t="e">
        <f ca="1">'Historical - Raw data'!BA175</f>
        <v>#N/A</v>
      </c>
      <c r="BR180" s="58" t="e">
        <f ca="1">'Historical - Raw data'!BB175</f>
        <v>#N/A</v>
      </c>
      <c r="BS180" s="58" t="e">
        <f ca="1">'Historical - Raw data'!BC175</f>
        <v>#N/A</v>
      </c>
      <c r="BT180" s="58" t="e">
        <f ca="1">'Historical - Raw data'!BD175</f>
        <v>#N/A</v>
      </c>
      <c r="BU180" s="58" t="e">
        <f ca="1">'Historical - Raw data'!BE175</f>
        <v>#N/A</v>
      </c>
      <c r="BV180" s="58" t="e">
        <f ca="1">'Historical - Raw data'!BF175</f>
        <v>#N/A</v>
      </c>
      <c r="BW180" s="58" t="e">
        <f ca="1">'Historical - Raw data'!BG175</f>
        <v>#N/A</v>
      </c>
    </row>
    <row r="181" spans="63:75" ht="15" customHeight="1">
      <c r="BK181" s="97" t="e">
        <f>'Historical - Raw data'!AU176</f>
        <v>#N/A</v>
      </c>
      <c r="BL181" s="58" t="e">
        <f ca="1">'Historical - Raw data'!AV176</f>
        <v>#N/A</v>
      </c>
      <c r="BM181" s="58" t="e">
        <f ca="1">'Historical - Raw data'!AW176</f>
        <v>#N/A</v>
      </c>
      <c r="BN181" s="58" t="e">
        <f ca="1">'Historical - Raw data'!AX176</f>
        <v>#N/A</v>
      </c>
      <c r="BO181" s="58" t="e">
        <f ca="1">'Historical - Raw data'!AY176</f>
        <v>#N/A</v>
      </c>
      <c r="BP181" s="58" t="e">
        <f ca="1">'Historical - Raw data'!AZ176</f>
        <v>#N/A</v>
      </c>
      <c r="BQ181" s="58" t="e">
        <f ca="1">'Historical - Raw data'!BA176</f>
        <v>#N/A</v>
      </c>
      <c r="BR181" s="58" t="e">
        <f ca="1">'Historical - Raw data'!BB176</f>
        <v>#N/A</v>
      </c>
      <c r="BS181" s="58" t="e">
        <f ca="1">'Historical - Raw data'!BC176</f>
        <v>#N/A</v>
      </c>
      <c r="BT181" s="58" t="e">
        <f ca="1">'Historical - Raw data'!BD176</f>
        <v>#N/A</v>
      </c>
      <c r="BU181" s="58" t="e">
        <f ca="1">'Historical - Raw data'!BE176</f>
        <v>#N/A</v>
      </c>
      <c r="BV181" s="58" t="e">
        <f ca="1">'Historical - Raw data'!BF176</f>
        <v>#N/A</v>
      </c>
      <c r="BW181" s="58" t="e">
        <f ca="1">'Historical - Raw data'!BG176</f>
        <v>#N/A</v>
      </c>
    </row>
    <row r="182" spans="63:75" ht="15" customHeight="1">
      <c r="BK182" s="97" t="e">
        <f>'Historical - Raw data'!AU177</f>
        <v>#N/A</v>
      </c>
      <c r="BL182" s="58" t="e">
        <f ca="1">'Historical - Raw data'!AV177</f>
        <v>#N/A</v>
      </c>
      <c r="BM182" s="58" t="e">
        <f ca="1">'Historical - Raw data'!AW177</f>
        <v>#N/A</v>
      </c>
      <c r="BN182" s="58" t="e">
        <f ca="1">'Historical - Raw data'!AX177</f>
        <v>#N/A</v>
      </c>
      <c r="BO182" s="58" t="e">
        <f ca="1">'Historical - Raw data'!AY177</f>
        <v>#N/A</v>
      </c>
      <c r="BP182" s="58" t="e">
        <f ca="1">'Historical - Raw data'!AZ177</f>
        <v>#N/A</v>
      </c>
      <c r="BQ182" s="58" t="e">
        <f ca="1">'Historical - Raw data'!BA177</f>
        <v>#N/A</v>
      </c>
      <c r="BR182" s="58" t="e">
        <f ca="1">'Historical - Raw data'!BB177</f>
        <v>#N/A</v>
      </c>
      <c r="BS182" s="58" t="e">
        <f ca="1">'Historical - Raw data'!BC177</f>
        <v>#N/A</v>
      </c>
      <c r="BT182" s="58" t="e">
        <f ca="1">'Historical - Raw data'!BD177</f>
        <v>#N/A</v>
      </c>
      <c r="BU182" s="58" t="e">
        <f ca="1">'Historical - Raw data'!BE177</f>
        <v>#N/A</v>
      </c>
      <c r="BV182" s="58" t="e">
        <f ca="1">'Historical - Raw data'!BF177</f>
        <v>#N/A</v>
      </c>
      <c r="BW182" s="58" t="e">
        <f ca="1">'Historical - Raw data'!BG177</f>
        <v>#N/A</v>
      </c>
    </row>
    <row r="183" spans="63:75" ht="15" customHeight="1">
      <c r="BK183" s="97" t="e">
        <f>'Historical - Raw data'!AU178</f>
        <v>#N/A</v>
      </c>
      <c r="BL183" s="58" t="e">
        <f ca="1">'Historical - Raw data'!AV178</f>
        <v>#N/A</v>
      </c>
      <c r="BM183" s="58" t="e">
        <f ca="1">'Historical - Raw data'!AW178</f>
        <v>#N/A</v>
      </c>
      <c r="BN183" s="58" t="e">
        <f ca="1">'Historical - Raw data'!AX178</f>
        <v>#N/A</v>
      </c>
      <c r="BO183" s="58" t="e">
        <f ca="1">'Historical - Raw data'!AY178</f>
        <v>#N/A</v>
      </c>
      <c r="BP183" s="58" t="e">
        <f ca="1">'Historical - Raw data'!AZ178</f>
        <v>#N/A</v>
      </c>
      <c r="BQ183" s="58" t="e">
        <f ca="1">'Historical - Raw data'!BA178</f>
        <v>#N/A</v>
      </c>
      <c r="BR183" s="58" t="e">
        <f ca="1">'Historical - Raw data'!BB178</f>
        <v>#N/A</v>
      </c>
      <c r="BS183" s="58" t="e">
        <f ca="1">'Historical - Raw data'!BC178</f>
        <v>#N/A</v>
      </c>
      <c r="BT183" s="58" t="e">
        <f ca="1">'Historical - Raw data'!BD178</f>
        <v>#N/A</v>
      </c>
      <c r="BU183" s="58" t="e">
        <f ca="1">'Historical - Raw data'!BE178</f>
        <v>#N/A</v>
      </c>
      <c r="BV183" s="58" t="e">
        <f ca="1">'Historical - Raw data'!BF178</f>
        <v>#N/A</v>
      </c>
      <c r="BW183" s="58" t="e">
        <f ca="1">'Historical - Raw data'!BG178</f>
        <v>#N/A</v>
      </c>
    </row>
    <row r="184" spans="63:75" ht="15" customHeight="1">
      <c r="BK184" s="97" t="e">
        <f>'Historical - Raw data'!AU179</f>
        <v>#N/A</v>
      </c>
      <c r="BL184" s="58" t="e">
        <f ca="1">'Historical - Raw data'!AV179</f>
        <v>#N/A</v>
      </c>
      <c r="BM184" s="58" t="e">
        <f ca="1">'Historical - Raw data'!AW179</f>
        <v>#N/A</v>
      </c>
      <c r="BN184" s="58" t="e">
        <f ca="1">'Historical - Raw data'!AX179</f>
        <v>#N/A</v>
      </c>
      <c r="BO184" s="58" t="e">
        <f ca="1">'Historical - Raw data'!AY179</f>
        <v>#N/A</v>
      </c>
      <c r="BP184" s="58" t="e">
        <f ca="1">'Historical - Raw data'!AZ179</f>
        <v>#N/A</v>
      </c>
      <c r="BQ184" s="58" t="e">
        <f ca="1">'Historical - Raw data'!BA179</f>
        <v>#N/A</v>
      </c>
      <c r="BR184" s="58" t="e">
        <f ca="1">'Historical - Raw data'!BB179</f>
        <v>#N/A</v>
      </c>
      <c r="BS184" s="58" t="e">
        <f ca="1">'Historical - Raw data'!BC179</f>
        <v>#N/A</v>
      </c>
      <c r="BT184" s="58" t="e">
        <f ca="1">'Historical - Raw data'!BD179</f>
        <v>#N/A</v>
      </c>
      <c r="BU184" s="58" t="e">
        <f ca="1">'Historical - Raw data'!BE179</f>
        <v>#N/A</v>
      </c>
      <c r="BV184" s="58" t="e">
        <f ca="1">'Historical - Raw data'!BF179</f>
        <v>#N/A</v>
      </c>
      <c r="BW184" s="58" t="e">
        <f ca="1">'Historical - Raw data'!BG179</f>
        <v>#N/A</v>
      </c>
    </row>
    <row r="185" spans="63:75" ht="15" customHeight="1">
      <c r="BK185" s="97" t="e">
        <f>'Historical - Raw data'!AU180</f>
        <v>#N/A</v>
      </c>
      <c r="BL185" s="58" t="e">
        <f ca="1">'Historical - Raw data'!AV180</f>
        <v>#N/A</v>
      </c>
      <c r="BM185" s="58" t="e">
        <f ca="1">'Historical - Raw data'!AW180</f>
        <v>#N/A</v>
      </c>
      <c r="BN185" s="58" t="e">
        <f ca="1">'Historical - Raw data'!AX180</f>
        <v>#N/A</v>
      </c>
      <c r="BO185" s="58" t="e">
        <f ca="1">'Historical - Raw data'!AY180</f>
        <v>#N/A</v>
      </c>
      <c r="BP185" s="58" t="e">
        <f ca="1">'Historical - Raw data'!AZ180</f>
        <v>#N/A</v>
      </c>
      <c r="BQ185" s="58" t="e">
        <f ca="1">'Historical - Raw data'!BA180</f>
        <v>#N/A</v>
      </c>
      <c r="BR185" s="58" t="e">
        <f ca="1">'Historical - Raw data'!BB180</f>
        <v>#N/A</v>
      </c>
      <c r="BS185" s="58" t="e">
        <f ca="1">'Historical - Raw data'!BC180</f>
        <v>#N/A</v>
      </c>
      <c r="BT185" s="58" t="e">
        <f ca="1">'Historical - Raw data'!BD180</f>
        <v>#N/A</v>
      </c>
      <c r="BU185" s="58" t="e">
        <f ca="1">'Historical - Raw data'!BE180</f>
        <v>#N/A</v>
      </c>
      <c r="BV185" s="58" t="e">
        <f ca="1">'Historical - Raw data'!BF180</f>
        <v>#N/A</v>
      </c>
      <c r="BW185" s="58" t="e">
        <f ca="1">'Historical - Raw data'!BG180</f>
        <v>#N/A</v>
      </c>
    </row>
    <row r="186" spans="63:75" ht="15" customHeight="1">
      <c r="BK186" s="97" t="e">
        <f>'Historical - Raw data'!AU181</f>
        <v>#N/A</v>
      </c>
      <c r="BL186" s="58" t="e">
        <f ca="1">'Historical - Raw data'!AV181</f>
        <v>#N/A</v>
      </c>
      <c r="BM186" s="58" t="e">
        <f ca="1">'Historical - Raw data'!AW181</f>
        <v>#N/A</v>
      </c>
      <c r="BN186" s="58" t="e">
        <f ca="1">'Historical - Raw data'!AX181</f>
        <v>#N/A</v>
      </c>
      <c r="BO186" s="58" t="e">
        <f ca="1">'Historical - Raw data'!AY181</f>
        <v>#N/A</v>
      </c>
      <c r="BP186" s="58" t="e">
        <f ca="1">'Historical - Raw data'!AZ181</f>
        <v>#N/A</v>
      </c>
      <c r="BQ186" s="58" t="e">
        <f ca="1">'Historical - Raw data'!BA181</f>
        <v>#N/A</v>
      </c>
      <c r="BR186" s="58" t="e">
        <f ca="1">'Historical - Raw data'!BB181</f>
        <v>#N/A</v>
      </c>
      <c r="BS186" s="58" t="e">
        <f ca="1">'Historical - Raw data'!BC181</f>
        <v>#N/A</v>
      </c>
      <c r="BT186" s="58" t="e">
        <f ca="1">'Historical - Raw data'!BD181</f>
        <v>#N/A</v>
      </c>
      <c r="BU186" s="58" t="e">
        <f ca="1">'Historical - Raw data'!BE181</f>
        <v>#N/A</v>
      </c>
      <c r="BV186" s="58" t="e">
        <f ca="1">'Historical - Raw data'!BF181</f>
        <v>#N/A</v>
      </c>
      <c r="BW186" s="58" t="e">
        <f ca="1">'Historical - Raw data'!BG181</f>
        <v>#N/A</v>
      </c>
    </row>
    <row r="187" spans="63:75" ht="15" customHeight="1">
      <c r="BK187" s="97" t="e">
        <f>'Historical - Raw data'!AU182</f>
        <v>#N/A</v>
      </c>
      <c r="BL187" s="58" t="e">
        <f ca="1">'Historical - Raw data'!AV182</f>
        <v>#N/A</v>
      </c>
      <c r="BM187" s="58" t="e">
        <f ca="1">'Historical - Raw data'!AW182</f>
        <v>#N/A</v>
      </c>
      <c r="BN187" s="58" t="e">
        <f ca="1">'Historical - Raw data'!AX182</f>
        <v>#N/A</v>
      </c>
      <c r="BO187" s="58" t="e">
        <f ca="1">'Historical - Raw data'!AY182</f>
        <v>#N/A</v>
      </c>
      <c r="BP187" s="58" t="e">
        <f ca="1">'Historical - Raw data'!AZ182</f>
        <v>#N/A</v>
      </c>
      <c r="BQ187" s="58" t="e">
        <f ca="1">'Historical - Raw data'!BA182</f>
        <v>#N/A</v>
      </c>
      <c r="BR187" s="58" t="e">
        <f ca="1">'Historical - Raw data'!BB182</f>
        <v>#N/A</v>
      </c>
      <c r="BS187" s="58" t="e">
        <f ca="1">'Historical - Raw data'!BC182</f>
        <v>#N/A</v>
      </c>
      <c r="BT187" s="58" t="e">
        <f ca="1">'Historical - Raw data'!BD182</f>
        <v>#N/A</v>
      </c>
      <c r="BU187" s="58" t="e">
        <f ca="1">'Historical - Raw data'!BE182</f>
        <v>#N/A</v>
      </c>
      <c r="BV187" s="58" t="e">
        <f ca="1">'Historical - Raw data'!BF182</f>
        <v>#N/A</v>
      </c>
      <c r="BW187" s="58" t="e">
        <f ca="1">'Historical - Raw data'!BG182</f>
        <v>#N/A</v>
      </c>
    </row>
    <row r="188" spans="63:75" ht="15" customHeight="1">
      <c r="BK188" s="97" t="e">
        <f>'Historical - Raw data'!AU183</f>
        <v>#N/A</v>
      </c>
      <c r="BL188" s="58" t="e">
        <f ca="1">'Historical - Raw data'!AV183</f>
        <v>#N/A</v>
      </c>
      <c r="BM188" s="58" t="e">
        <f ca="1">'Historical - Raw data'!AW183</f>
        <v>#N/A</v>
      </c>
      <c r="BN188" s="58" t="e">
        <f ca="1">'Historical - Raw data'!AX183</f>
        <v>#N/A</v>
      </c>
      <c r="BO188" s="58" t="e">
        <f ca="1">'Historical - Raw data'!AY183</f>
        <v>#N/A</v>
      </c>
      <c r="BP188" s="58" t="e">
        <f ca="1">'Historical - Raw data'!AZ183</f>
        <v>#N/A</v>
      </c>
      <c r="BQ188" s="58" t="e">
        <f ca="1">'Historical - Raw data'!BA183</f>
        <v>#N/A</v>
      </c>
      <c r="BR188" s="58" t="e">
        <f ca="1">'Historical - Raw data'!BB183</f>
        <v>#N/A</v>
      </c>
      <c r="BS188" s="58" t="e">
        <f ca="1">'Historical - Raw data'!BC183</f>
        <v>#N/A</v>
      </c>
      <c r="BT188" s="58" t="e">
        <f ca="1">'Historical - Raw data'!BD183</f>
        <v>#N/A</v>
      </c>
      <c r="BU188" s="58" t="e">
        <f ca="1">'Historical - Raw data'!BE183</f>
        <v>#N/A</v>
      </c>
      <c r="BV188" s="58" t="e">
        <f ca="1">'Historical - Raw data'!BF183</f>
        <v>#N/A</v>
      </c>
      <c r="BW188" s="58" t="e">
        <f ca="1">'Historical - Raw data'!BG183</f>
        <v>#N/A</v>
      </c>
    </row>
    <row r="189" spans="63:75" ht="15" customHeight="1">
      <c r="BK189" s="97" t="e">
        <f>'Historical - Raw data'!AU184</f>
        <v>#N/A</v>
      </c>
      <c r="BL189" s="58" t="e">
        <f ca="1">'Historical - Raw data'!AV184</f>
        <v>#N/A</v>
      </c>
      <c r="BM189" s="58" t="e">
        <f ca="1">'Historical - Raw data'!AW184</f>
        <v>#N/A</v>
      </c>
      <c r="BN189" s="58" t="e">
        <f ca="1">'Historical - Raw data'!AX184</f>
        <v>#N/A</v>
      </c>
      <c r="BO189" s="58" t="e">
        <f ca="1">'Historical - Raw data'!AY184</f>
        <v>#N/A</v>
      </c>
      <c r="BP189" s="58" t="e">
        <f ca="1">'Historical - Raw data'!AZ184</f>
        <v>#N/A</v>
      </c>
      <c r="BQ189" s="58" t="e">
        <f ca="1">'Historical - Raw data'!BA184</f>
        <v>#N/A</v>
      </c>
      <c r="BR189" s="58" t="e">
        <f ca="1">'Historical - Raw data'!BB184</f>
        <v>#N/A</v>
      </c>
      <c r="BS189" s="58" t="e">
        <f ca="1">'Historical - Raw data'!BC184</f>
        <v>#N/A</v>
      </c>
      <c r="BT189" s="58" t="e">
        <f ca="1">'Historical - Raw data'!BD184</f>
        <v>#N/A</v>
      </c>
      <c r="BU189" s="58" t="e">
        <f ca="1">'Historical - Raw data'!BE184</f>
        <v>#N/A</v>
      </c>
      <c r="BV189" s="58" t="e">
        <f ca="1">'Historical - Raw data'!BF184</f>
        <v>#N/A</v>
      </c>
      <c r="BW189" s="58" t="e">
        <f ca="1">'Historical - Raw data'!BG184</f>
        <v>#N/A</v>
      </c>
    </row>
    <row r="190" spans="63:75" ht="15" customHeight="1">
      <c r="BK190" s="97" t="e">
        <f>'Historical - Raw data'!AU185</f>
        <v>#N/A</v>
      </c>
      <c r="BL190" s="58" t="e">
        <f ca="1">'Historical - Raw data'!AV185</f>
        <v>#N/A</v>
      </c>
      <c r="BM190" s="58" t="e">
        <f ca="1">'Historical - Raw data'!AW185</f>
        <v>#N/A</v>
      </c>
      <c r="BN190" s="58" t="e">
        <f ca="1">'Historical - Raw data'!AX185</f>
        <v>#N/A</v>
      </c>
      <c r="BO190" s="58" t="e">
        <f ca="1">'Historical - Raw data'!AY185</f>
        <v>#N/A</v>
      </c>
      <c r="BP190" s="58" t="e">
        <f ca="1">'Historical - Raw data'!AZ185</f>
        <v>#N/A</v>
      </c>
      <c r="BQ190" s="58" t="e">
        <f ca="1">'Historical - Raw data'!BA185</f>
        <v>#N/A</v>
      </c>
      <c r="BR190" s="58" t="e">
        <f ca="1">'Historical - Raw data'!BB185</f>
        <v>#N/A</v>
      </c>
      <c r="BS190" s="58" t="e">
        <f ca="1">'Historical - Raw data'!BC185</f>
        <v>#N/A</v>
      </c>
      <c r="BT190" s="58" t="e">
        <f ca="1">'Historical - Raw data'!BD185</f>
        <v>#N/A</v>
      </c>
      <c r="BU190" s="58" t="e">
        <f ca="1">'Historical - Raw data'!BE185</f>
        <v>#N/A</v>
      </c>
      <c r="BV190" s="58" t="e">
        <f ca="1">'Historical - Raw data'!BF185</f>
        <v>#N/A</v>
      </c>
      <c r="BW190" s="58" t="e">
        <f ca="1">'Historical - Raw data'!BG185</f>
        <v>#N/A</v>
      </c>
    </row>
    <row r="191" spans="63:75" ht="15" customHeight="1">
      <c r="BK191" s="97" t="e">
        <f>'Historical - Raw data'!AU186</f>
        <v>#N/A</v>
      </c>
      <c r="BL191" s="58" t="e">
        <f ca="1">'Historical - Raw data'!AV186</f>
        <v>#N/A</v>
      </c>
      <c r="BM191" s="58" t="e">
        <f ca="1">'Historical - Raw data'!AW186</f>
        <v>#N/A</v>
      </c>
      <c r="BN191" s="58" t="e">
        <f ca="1">'Historical - Raw data'!AX186</f>
        <v>#N/A</v>
      </c>
      <c r="BO191" s="58" t="e">
        <f ca="1">'Historical - Raw data'!AY186</f>
        <v>#N/A</v>
      </c>
      <c r="BP191" s="58" t="e">
        <f ca="1">'Historical - Raw data'!AZ186</f>
        <v>#N/A</v>
      </c>
      <c r="BQ191" s="58" t="e">
        <f ca="1">'Historical - Raw data'!BA186</f>
        <v>#N/A</v>
      </c>
      <c r="BR191" s="58" t="e">
        <f ca="1">'Historical - Raw data'!BB186</f>
        <v>#N/A</v>
      </c>
      <c r="BS191" s="58" t="e">
        <f ca="1">'Historical - Raw data'!BC186</f>
        <v>#N/A</v>
      </c>
      <c r="BT191" s="58" t="e">
        <f ca="1">'Historical - Raw data'!BD186</f>
        <v>#N/A</v>
      </c>
      <c r="BU191" s="58" t="e">
        <f ca="1">'Historical - Raw data'!BE186</f>
        <v>#N/A</v>
      </c>
      <c r="BV191" s="58" t="e">
        <f ca="1">'Historical - Raw data'!BF186</f>
        <v>#N/A</v>
      </c>
      <c r="BW191" s="58" t="e">
        <f ca="1">'Historical - Raw data'!BG186</f>
        <v>#N/A</v>
      </c>
    </row>
    <row r="192" spans="63:75" ht="15" customHeight="1">
      <c r="BK192" s="97" t="e">
        <f>'Historical - Raw data'!AU187</f>
        <v>#N/A</v>
      </c>
      <c r="BL192" s="58" t="e">
        <f ca="1">'Historical - Raw data'!AV187</f>
        <v>#N/A</v>
      </c>
      <c r="BM192" s="58" t="e">
        <f ca="1">'Historical - Raw data'!AW187</f>
        <v>#N/A</v>
      </c>
      <c r="BN192" s="58" t="e">
        <f ca="1">'Historical - Raw data'!AX187</f>
        <v>#N/A</v>
      </c>
      <c r="BO192" s="58" t="e">
        <f ca="1">'Historical - Raw data'!AY187</f>
        <v>#N/A</v>
      </c>
      <c r="BP192" s="58" t="e">
        <f ca="1">'Historical - Raw data'!AZ187</f>
        <v>#N/A</v>
      </c>
      <c r="BQ192" s="58" t="e">
        <f ca="1">'Historical - Raw data'!BA187</f>
        <v>#N/A</v>
      </c>
      <c r="BR192" s="58" t="e">
        <f ca="1">'Historical - Raw data'!BB187</f>
        <v>#N/A</v>
      </c>
      <c r="BS192" s="58" t="e">
        <f ca="1">'Historical - Raw data'!BC187</f>
        <v>#N/A</v>
      </c>
      <c r="BT192" s="58" t="e">
        <f ca="1">'Historical - Raw data'!BD187</f>
        <v>#N/A</v>
      </c>
      <c r="BU192" s="58" t="e">
        <f ca="1">'Historical - Raw data'!BE187</f>
        <v>#N/A</v>
      </c>
      <c r="BV192" s="58" t="e">
        <f ca="1">'Historical - Raw data'!BF187</f>
        <v>#N/A</v>
      </c>
      <c r="BW192" s="58" t="e">
        <f ca="1">'Historical - Raw data'!BG187</f>
        <v>#N/A</v>
      </c>
    </row>
    <row r="193" spans="63:75" ht="15" customHeight="1">
      <c r="BK193" s="97" t="e">
        <f>'Historical - Raw data'!AU188</f>
        <v>#N/A</v>
      </c>
      <c r="BL193" s="58" t="e">
        <f ca="1">'Historical - Raw data'!AV188</f>
        <v>#N/A</v>
      </c>
      <c r="BM193" s="58" t="e">
        <f ca="1">'Historical - Raw data'!AW188</f>
        <v>#N/A</v>
      </c>
      <c r="BN193" s="58" t="e">
        <f ca="1">'Historical - Raw data'!AX188</f>
        <v>#N/A</v>
      </c>
      <c r="BO193" s="58" t="e">
        <f ca="1">'Historical - Raw data'!AY188</f>
        <v>#N/A</v>
      </c>
      <c r="BP193" s="58" t="e">
        <f ca="1">'Historical - Raw data'!AZ188</f>
        <v>#N/A</v>
      </c>
      <c r="BQ193" s="58" t="e">
        <f ca="1">'Historical - Raw data'!BA188</f>
        <v>#N/A</v>
      </c>
      <c r="BR193" s="58" t="e">
        <f ca="1">'Historical - Raw data'!BB188</f>
        <v>#N/A</v>
      </c>
      <c r="BS193" s="58" t="e">
        <f ca="1">'Historical - Raw data'!BC188</f>
        <v>#N/A</v>
      </c>
      <c r="BT193" s="58" t="e">
        <f ca="1">'Historical - Raw data'!BD188</f>
        <v>#N/A</v>
      </c>
      <c r="BU193" s="58" t="e">
        <f ca="1">'Historical - Raw data'!BE188</f>
        <v>#N/A</v>
      </c>
      <c r="BV193" s="58" t="e">
        <f ca="1">'Historical - Raw data'!BF188</f>
        <v>#N/A</v>
      </c>
      <c r="BW193" s="58" t="e">
        <f ca="1">'Historical - Raw data'!BG188</f>
        <v>#N/A</v>
      </c>
    </row>
    <row r="194" spans="63:75" ht="15" customHeight="1">
      <c r="BK194" s="97" t="e">
        <f>'Historical - Raw data'!AU189</f>
        <v>#N/A</v>
      </c>
      <c r="BL194" s="58" t="e">
        <f ca="1">'Historical - Raw data'!AV189</f>
        <v>#N/A</v>
      </c>
      <c r="BM194" s="58" t="e">
        <f ca="1">'Historical - Raw data'!AW189</f>
        <v>#N/A</v>
      </c>
      <c r="BN194" s="58" t="e">
        <f ca="1">'Historical - Raw data'!AX189</f>
        <v>#N/A</v>
      </c>
      <c r="BO194" s="58" t="e">
        <f ca="1">'Historical - Raw data'!AY189</f>
        <v>#N/A</v>
      </c>
      <c r="BP194" s="58" t="e">
        <f ca="1">'Historical - Raw data'!AZ189</f>
        <v>#N/A</v>
      </c>
      <c r="BQ194" s="58" t="e">
        <f ca="1">'Historical - Raw data'!BA189</f>
        <v>#N/A</v>
      </c>
      <c r="BR194" s="58" t="e">
        <f ca="1">'Historical - Raw data'!BB189</f>
        <v>#N/A</v>
      </c>
      <c r="BS194" s="58" t="e">
        <f ca="1">'Historical - Raw data'!BC189</f>
        <v>#N/A</v>
      </c>
      <c r="BT194" s="58" t="e">
        <f ca="1">'Historical - Raw data'!BD189</f>
        <v>#N/A</v>
      </c>
      <c r="BU194" s="58" t="e">
        <f ca="1">'Historical - Raw data'!BE189</f>
        <v>#N/A</v>
      </c>
      <c r="BV194" s="58" t="e">
        <f ca="1">'Historical - Raw data'!BF189</f>
        <v>#N/A</v>
      </c>
      <c r="BW194" s="58" t="e">
        <f ca="1">'Historical - Raw data'!BG189</f>
        <v>#N/A</v>
      </c>
    </row>
    <row r="195" spans="63:75" ht="15" customHeight="1">
      <c r="BK195" s="97" t="e">
        <f>'Historical - Raw data'!AU190</f>
        <v>#N/A</v>
      </c>
      <c r="BL195" s="58" t="e">
        <f ca="1">'Historical - Raw data'!AV190</f>
        <v>#N/A</v>
      </c>
      <c r="BM195" s="58" t="e">
        <f ca="1">'Historical - Raw data'!AW190</f>
        <v>#N/A</v>
      </c>
      <c r="BN195" s="58" t="e">
        <f ca="1">'Historical - Raw data'!AX190</f>
        <v>#N/A</v>
      </c>
      <c r="BO195" s="58" t="e">
        <f ca="1">'Historical - Raw data'!AY190</f>
        <v>#N/A</v>
      </c>
      <c r="BP195" s="58" t="e">
        <f ca="1">'Historical - Raw data'!AZ190</f>
        <v>#N/A</v>
      </c>
      <c r="BQ195" s="58" t="e">
        <f ca="1">'Historical - Raw data'!BA190</f>
        <v>#N/A</v>
      </c>
      <c r="BR195" s="58" t="e">
        <f ca="1">'Historical - Raw data'!BB190</f>
        <v>#N/A</v>
      </c>
      <c r="BS195" s="58" t="e">
        <f ca="1">'Historical - Raw data'!BC190</f>
        <v>#N/A</v>
      </c>
      <c r="BT195" s="58" t="e">
        <f ca="1">'Historical - Raw data'!BD190</f>
        <v>#N/A</v>
      </c>
      <c r="BU195" s="58" t="e">
        <f ca="1">'Historical - Raw data'!BE190</f>
        <v>#N/A</v>
      </c>
      <c r="BV195" s="58" t="e">
        <f ca="1">'Historical - Raw data'!BF190</f>
        <v>#N/A</v>
      </c>
      <c r="BW195" s="58" t="e">
        <f ca="1">'Historical - Raw data'!BG190</f>
        <v>#N/A</v>
      </c>
    </row>
    <row r="196" spans="63:75" ht="15" customHeight="1">
      <c r="BK196" s="97" t="e">
        <f>'Historical - Raw data'!AU191</f>
        <v>#N/A</v>
      </c>
      <c r="BL196" s="58" t="e">
        <f ca="1">'Historical - Raw data'!AV191</f>
        <v>#N/A</v>
      </c>
      <c r="BM196" s="58" t="e">
        <f ca="1">'Historical - Raw data'!AW191</f>
        <v>#N/A</v>
      </c>
      <c r="BN196" s="58" t="e">
        <f ca="1">'Historical - Raw data'!AX191</f>
        <v>#N/A</v>
      </c>
      <c r="BO196" s="58" t="e">
        <f ca="1">'Historical - Raw data'!AY191</f>
        <v>#N/A</v>
      </c>
      <c r="BP196" s="58" t="e">
        <f ca="1">'Historical - Raw data'!AZ191</f>
        <v>#N/A</v>
      </c>
      <c r="BQ196" s="58" t="e">
        <f ca="1">'Historical - Raw data'!BA191</f>
        <v>#N/A</v>
      </c>
      <c r="BR196" s="58" t="e">
        <f ca="1">'Historical - Raw data'!BB191</f>
        <v>#N/A</v>
      </c>
      <c r="BS196" s="58" t="e">
        <f ca="1">'Historical - Raw data'!BC191</f>
        <v>#N/A</v>
      </c>
      <c r="BT196" s="58" t="e">
        <f ca="1">'Historical - Raw data'!BD191</f>
        <v>#N/A</v>
      </c>
      <c r="BU196" s="58" t="e">
        <f ca="1">'Historical - Raw data'!BE191</f>
        <v>#N/A</v>
      </c>
      <c r="BV196" s="58" t="e">
        <f ca="1">'Historical - Raw data'!BF191</f>
        <v>#N/A</v>
      </c>
      <c r="BW196" s="58" t="e">
        <f ca="1">'Historical - Raw data'!BG191</f>
        <v>#N/A</v>
      </c>
    </row>
    <row r="197" spans="63:75" ht="15" customHeight="1">
      <c r="BK197" s="97" t="e">
        <f>'Historical - Raw data'!AU192</f>
        <v>#N/A</v>
      </c>
      <c r="BL197" s="58" t="e">
        <f ca="1">'Historical - Raw data'!AV192</f>
        <v>#N/A</v>
      </c>
      <c r="BM197" s="58" t="e">
        <f ca="1">'Historical - Raw data'!AW192</f>
        <v>#N/A</v>
      </c>
      <c r="BN197" s="58" t="e">
        <f ca="1">'Historical - Raw data'!AX192</f>
        <v>#N/A</v>
      </c>
      <c r="BO197" s="58" t="e">
        <f ca="1">'Historical - Raw data'!AY192</f>
        <v>#N/A</v>
      </c>
      <c r="BP197" s="58" t="e">
        <f ca="1">'Historical - Raw data'!AZ192</f>
        <v>#N/A</v>
      </c>
      <c r="BQ197" s="58" t="e">
        <f ca="1">'Historical - Raw data'!BA192</f>
        <v>#N/A</v>
      </c>
      <c r="BR197" s="58" t="e">
        <f ca="1">'Historical - Raw data'!BB192</f>
        <v>#N/A</v>
      </c>
      <c r="BS197" s="58" t="e">
        <f ca="1">'Historical - Raw data'!BC192</f>
        <v>#N/A</v>
      </c>
      <c r="BT197" s="58" t="e">
        <f ca="1">'Historical - Raw data'!BD192</f>
        <v>#N/A</v>
      </c>
      <c r="BU197" s="58" t="e">
        <f ca="1">'Historical - Raw data'!BE192</f>
        <v>#N/A</v>
      </c>
      <c r="BV197" s="58" t="e">
        <f ca="1">'Historical - Raw data'!BF192</f>
        <v>#N/A</v>
      </c>
      <c r="BW197" s="58" t="e">
        <f ca="1">'Historical - Raw data'!BG192</f>
        <v>#N/A</v>
      </c>
    </row>
    <row r="198" spans="63:75" ht="15" customHeight="1">
      <c r="BK198" s="97" t="e">
        <f>'Historical - Raw data'!AU193</f>
        <v>#N/A</v>
      </c>
      <c r="BL198" s="58" t="e">
        <f ca="1">'Historical - Raw data'!AV193</f>
        <v>#N/A</v>
      </c>
      <c r="BM198" s="58" t="e">
        <f ca="1">'Historical - Raw data'!AW193</f>
        <v>#N/A</v>
      </c>
      <c r="BN198" s="58" t="e">
        <f ca="1">'Historical - Raw data'!AX193</f>
        <v>#N/A</v>
      </c>
      <c r="BO198" s="58" t="e">
        <f ca="1">'Historical - Raw data'!AY193</f>
        <v>#N/A</v>
      </c>
      <c r="BP198" s="58" t="e">
        <f ca="1">'Historical - Raw data'!AZ193</f>
        <v>#N/A</v>
      </c>
      <c r="BQ198" s="58" t="e">
        <f ca="1">'Historical - Raw data'!BA193</f>
        <v>#N/A</v>
      </c>
      <c r="BR198" s="58" t="e">
        <f ca="1">'Historical - Raw data'!BB193</f>
        <v>#N/A</v>
      </c>
      <c r="BS198" s="58" t="e">
        <f ca="1">'Historical - Raw data'!BC193</f>
        <v>#N/A</v>
      </c>
      <c r="BT198" s="58" t="e">
        <f ca="1">'Historical - Raw data'!BD193</f>
        <v>#N/A</v>
      </c>
      <c r="BU198" s="58" t="e">
        <f ca="1">'Historical - Raw data'!BE193</f>
        <v>#N/A</v>
      </c>
      <c r="BV198" s="58" t="e">
        <f ca="1">'Historical - Raw data'!BF193</f>
        <v>#N/A</v>
      </c>
      <c r="BW198" s="58" t="e">
        <f ca="1">'Historical - Raw data'!BG193</f>
        <v>#N/A</v>
      </c>
    </row>
    <row r="199" spans="63:75" ht="15" customHeight="1">
      <c r="BK199" s="97" t="e">
        <f>'Historical - Raw data'!AU194</f>
        <v>#N/A</v>
      </c>
      <c r="BL199" s="58" t="e">
        <f ca="1">'Historical - Raw data'!AV194</f>
        <v>#N/A</v>
      </c>
      <c r="BM199" s="58" t="e">
        <f ca="1">'Historical - Raw data'!AW194</f>
        <v>#N/A</v>
      </c>
      <c r="BN199" s="58" t="e">
        <f ca="1">'Historical - Raw data'!AX194</f>
        <v>#N/A</v>
      </c>
      <c r="BO199" s="58" t="e">
        <f ca="1">'Historical - Raw data'!AY194</f>
        <v>#N/A</v>
      </c>
      <c r="BP199" s="58" t="e">
        <f ca="1">'Historical - Raw data'!AZ194</f>
        <v>#N/A</v>
      </c>
      <c r="BQ199" s="58" t="e">
        <f ca="1">'Historical - Raw data'!BA194</f>
        <v>#N/A</v>
      </c>
      <c r="BR199" s="58" t="e">
        <f ca="1">'Historical - Raw data'!BB194</f>
        <v>#N/A</v>
      </c>
      <c r="BS199" s="58" t="e">
        <f ca="1">'Historical - Raw data'!BC194</f>
        <v>#N/A</v>
      </c>
      <c r="BT199" s="58" t="e">
        <f ca="1">'Historical - Raw data'!BD194</f>
        <v>#N/A</v>
      </c>
      <c r="BU199" s="58" t="e">
        <f ca="1">'Historical - Raw data'!BE194</f>
        <v>#N/A</v>
      </c>
      <c r="BV199" s="58" t="e">
        <f ca="1">'Historical - Raw data'!BF194</f>
        <v>#N/A</v>
      </c>
      <c r="BW199" s="58" t="e">
        <f ca="1">'Historical - Raw data'!BG194</f>
        <v>#N/A</v>
      </c>
    </row>
    <row r="200" spans="63:75" ht="15" customHeight="1">
      <c r="BK200" s="97" t="e">
        <f>'Historical - Raw data'!AU195</f>
        <v>#N/A</v>
      </c>
      <c r="BL200" s="58" t="e">
        <f ca="1">'Historical - Raw data'!AV195</f>
        <v>#N/A</v>
      </c>
      <c r="BM200" s="58" t="e">
        <f ca="1">'Historical - Raw data'!AW195</f>
        <v>#N/A</v>
      </c>
      <c r="BN200" s="58" t="e">
        <f ca="1">'Historical - Raw data'!AX195</f>
        <v>#N/A</v>
      </c>
      <c r="BO200" s="58" t="e">
        <f ca="1">'Historical - Raw data'!AY195</f>
        <v>#N/A</v>
      </c>
      <c r="BP200" s="58" t="e">
        <f ca="1">'Historical - Raw data'!AZ195</f>
        <v>#N/A</v>
      </c>
      <c r="BQ200" s="58" t="e">
        <f ca="1">'Historical - Raw data'!BA195</f>
        <v>#N/A</v>
      </c>
      <c r="BR200" s="58" t="e">
        <f ca="1">'Historical - Raw data'!BB195</f>
        <v>#N/A</v>
      </c>
      <c r="BS200" s="58" t="e">
        <f ca="1">'Historical - Raw data'!BC195</f>
        <v>#N/A</v>
      </c>
      <c r="BT200" s="58" t="e">
        <f ca="1">'Historical - Raw data'!BD195</f>
        <v>#N/A</v>
      </c>
      <c r="BU200" s="58" t="e">
        <f ca="1">'Historical - Raw data'!BE195</f>
        <v>#N/A</v>
      </c>
      <c r="BV200" s="58" t="e">
        <f ca="1">'Historical - Raw data'!BF195</f>
        <v>#N/A</v>
      </c>
      <c r="BW200" s="58" t="e">
        <f ca="1">'Historical - Raw data'!BG195</f>
        <v>#N/A</v>
      </c>
    </row>
    <row r="201" spans="63:75" ht="15" customHeight="1">
      <c r="BK201" s="97" t="e">
        <f>'Historical - Raw data'!AU196</f>
        <v>#N/A</v>
      </c>
      <c r="BL201" s="58" t="e">
        <f ca="1">'Historical - Raw data'!AV196</f>
        <v>#N/A</v>
      </c>
      <c r="BM201" s="58" t="e">
        <f ca="1">'Historical - Raw data'!AW196</f>
        <v>#N/A</v>
      </c>
      <c r="BN201" s="58" t="e">
        <f ca="1">'Historical - Raw data'!AX196</f>
        <v>#N/A</v>
      </c>
      <c r="BO201" s="58" t="e">
        <f ca="1">'Historical - Raw data'!AY196</f>
        <v>#N/A</v>
      </c>
      <c r="BP201" s="58" t="e">
        <f ca="1">'Historical - Raw data'!AZ196</f>
        <v>#N/A</v>
      </c>
      <c r="BQ201" s="58" t="e">
        <f ca="1">'Historical - Raw data'!BA196</f>
        <v>#N/A</v>
      </c>
      <c r="BR201" s="58" t="e">
        <f ca="1">'Historical - Raw data'!BB196</f>
        <v>#N/A</v>
      </c>
      <c r="BS201" s="58" t="e">
        <f ca="1">'Historical - Raw data'!BC196</f>
        <v>#N/A</v>
      </c>
      <c r="BT201" s="58" t="e">
        <f ca="1">'Historical - Raw data'!BD196</f>
        <v>#N/A</v>
      </c>
      <c r="BU201" s="58" t="e">
        <f ca="1">'Historical - Raw data'!BE196</f>
        <v>#N/A</v>
      </c>
      <c r="BV201" s="58" t="e">
        <f ca="1">'Historical - Raw data'!BF196</f>
        <v>#N/A</v>
      </c>
      <c r="BW201" s="58" t="e">
        <f ca="1">'Historical - Raw data'!BG196</f>
        <v>#N/A</v>
      </c>
    </row>
    <row r="202" spans="63:75" ht="15" customHeight="1">
      <c r="BK202" s="97" t="e">
        <f>'Historical - Raw data'!AU197</f>
        <v>#N/A</v>
      </c>
      <c r="BL202" s="58" t="e">
        <f ca="1">'Historical - Raw data'!AV197</f>
        <v>#N/A</v>
      </c>
      <c r="BM202" s="58" t="e">
        <f ca="1">'Historical - Raw data'!AW197</f>
        <v>#N/A</v>
      </c>
      <c r="BN202" s="58" t="e">
        <f ca="1">'Historical - Raw data'!AX197</f>
        <v>#N/A</v>
      </c>
      <c r="BO202" s="58" t="e">
        <f ca="1">'Historical - Raw data'!AY197</f>
        <v>#N/A</v>
      </c>
      <c r="BP202" s="58" t="e">
        <f ca="1">'Historical - Raw data'!AZ197</f>
        <v>#N/A</v>
      </c>
      <c r="BQ202" s="58" t="e">
        <f ca="1">'Historical - Raw data'!BA197</f>
        <v>#N/A</v>
      </c>
      <c r="BR202" s="58" t="e">
        <f ca="1">'Historical - Raw data'!BB197</f>
        <v>#N/A</v>
      </c>
      <c r="BS202" s="58" t="e">
        <f ca="1">'Historical - Raw data'!BC197</f>
        <v>#N/A</v>
      </c>
      <c r="BT202" s="58" t="e">
        <f ca="1">'Historical - Raw data'!BD197</f>
        <v>#N/A</v>
      </c>
      <c r="BU202" s="58" t="e">
        <f ca="1">'Historical - Raw data'!BE197</f>
        <v>#N/A</v>
      </c>
      <c r="BV202" s="58" t="e">
        <f ca="1">'Historical - Raw data'!BF197</f>
        <v>#N/A</v>
      </c>
      <c r="BW202" s="58" t="e">
        <f ca="1">'Historical - Raw data'!BG197</f>
        <v>#N/A</v>
      </c>
    </row>
    <row r="203" spans="63:75" ht="15" customHeight="1">
      <c r="BK203" s="97" t="e">
        <f>'Historical - Raw data'!AU198</f>
        <v>#N/A</v>
      </c>
      <c r="BL203" s="58" t="e">
        <f ca="1">'Historical - Raw data'!AV198</f>
        <v>#N/A</v>
      </c>
      <c r="BM203" s="58" t="e">
        <f ca="1">'Historical - Raw data'!AW198</f>
        <v>#N/A</v>
      </c>
      <c r="BN203" s="58" t="e">
        <f ca="1">'Historical - Raw data'!AX198</f>
        <v>#N/A</v>
      </c>
      <c r="BO203" s="58" t="e">
        <f ca="1">'Historical - Raw data'!AY198</f>
        <v>#N/A</v>
      </c>
      <c r="BP203" s="58" t="e">
        <f ca="1">'Historical - Raw data'!AZ198</f>
        <v>#N/A</v>
      </c>
      <c r="BQ203" s="58" t="e">
        <f ca="1">'Historical - Raw data'!BA198</f>
        <v>#N/A</v>
      </c>
      <c r="BR203" s="58" t="e">
        <f ca="1">'Historical - Raw data'!BB198</f>
        <v>#N/A</v>
      </c>
      <c r="BS203" s="58" t="e">
        <f ca="1">'Historical - Raw data'!BC198</f>
        <v>#N/A</v>
      </c>
      <c r="BT203" s="58" t="e">
        <f ca="1">'Historical - Raw data'!BD198</f>
        <v>#N/A</v>
      </c>
      <c r="BU203" s="58" t="e">
        <f ca="1">'Historical - Raw data'!BE198</f>
        <v>#N/A</v>
      </c>
      <c r="BV203" s="58" t="e">
        <f ca="1">'Historical - Raw data'!BF198</f>
        <v>#N/A</v>
      </c>
      <c r="BW203" s="58" t="e">
        <f ca="1">'Historical - Raw data'!BG198</f>
        <v>#N/A</v>
      </c>
    </row>
    <row r="204" spans="63:75" ht="15" customHeight="1">
      <c r="BK204" s="97" t="e">
        <f>'Historical - Raw data'!AU199</f>
        <v>#N/A</v>
      </c>
      <c r="BL204" s="58" t="e">
        <f ca="1">'Historical - Raw data'!AV199</f>
        <v>#N/A</v>
      </c>
      <c r="BM204" s="58" t="e">
        <f ca="1">'Historical - Raw data'!AW199</f>
        <v>#N/A</v>
      </c>
      <c r="BN204" s="58" t="e">
        <f ca="1">'Historical - Raw data'!AX199</f>
        <v>#N/A</v>
      </c>
      <c r="BO204" s="58" t="e">
        <f ca="1">'Historical - Raw data'!AY199</f>
        <v>#N/A</v>
      </c>
      <c r="BP204" s="58" t="e">
        <f ca="1">'Historical - Raw data'!AZ199</f>
        <v>#N/A</v>
      </c>
      <c r="BQ204" s="58" t="e">
        <f ca="1">'Historical - Raw data'!BA199</f>
        <v>#N/A</v>
      </c>
      <c r="BR204" s="58" t="e">
        <f ca="1">'Historical - Raw data'!BB199</f>
        <v>#N/A</v>
      </c>
      <c r="BS204" s="58" t="e">
        <f ca="1">'Historical - Raw data'!BC199</f>
        <v>#N/A</v>
      </c>
      <c r="BT204" s="58" t="e">
        <f ca="1">'Historical - Raw data'!BD199</f>
        <v>#N/A</v>
      </c>
      <c r="BU204" s="58" t="e">
        <f ca="1">'Historical - Raw data'!BE199</f>
        <v>#N/A</v>
      </c>
      <c r="BV204" s="58" t="e">
        <f ca="1">'Historical - Raw data'!BF199</f>
        <v>#N/A</v>
      </c>
      <c r="BW204" s="58" t="e">
        <f ca="1">'Historical - Raw data'!BG199</f>
        <v>#N/A</v>
      </c>
    </row>
    <row r="205" spans="63:75" ht="15" customHeight="1">
      <c r="BK205" s="97" t="e">
        <f>'Historical - Raw data'!AU200</f>
        <v>#N/A</v>
      </c>
      <c r="BL205" s="58" t="e">
        <f ca="1">'Historical - Raw data'!AV200</f>
        <v>#N/A</v>
      </c>
      <c r="BM205" s="58" t="e">
        <f ca="1">'Historical - Raw data'!AW200</f>
        <v>#N/A</v>
      </c>
      <c r="BN205" s="58" t="e">
        <f ca="1">'Historical - Raw data'!AX200</f>
        <v>#N/A</v>
      </c>
      <c r="BO205" s="58" t="e">
        <f ca="1">'Historical - Raw data'!AY200</f>
        <v>#N/A</v>
      </c>
      <c r="BP205" s="58" t="e">
        <f ca="1">'Historical - Raw data'!AZ200</f>
        <v>#N/A</v>
      </c>
      <c r="BQ205" s="58" t="e">
        <f ca="1">'Historical - Raw data'!BA200</f>
        <v>#N/A</v>
      </c>
      <c r="BR205" s="58" t="e">
        <f ca="1">'Historical - Raw data'!BB200</f>
        <v>#N/A</v>
      </c>
      <c r="BS205" s="58" t="e">
        <f ca="1">'Historical - Raw data'!BC200</f>
        <v>#N/A</v>
      </c>
      <c r="BT205" s="58" t="e">
        <f ca="1">'Historical - Raw data'!BD200</f>
        <v>#N/A</v>
      </c>
      <c r="BU205" s="58" t="e">
        <f ca="1">'Historical - Raw data'!BE200</f>
        <v>#N/A</v>
      </c>
      <c r="BV205" s="58" t="e">
        <f ca="1">'Historical - Raw data'!BF200</f>
        <v>#N/A</v>
      </c>
      <c r="BW205" s="58" t="e">
        <f ca="1">'Historical - Raw data'!BG200</f>
        <v>#N/A</v>
      </c>
    </row>
    <row r="206" spans="63:75" ht="15" customHeight="1">
      <c r="BK206" s="97" t="e">
        <f>'Historical - Raw data'!AU201</f>
        <v>#N/A</v>
      </c>
      <c r="BL206" s="58" t="e">
        <f ca="1">'Historical - Raw data'!AV201</f>
        <v>#N/A</v>
      </c>
      <c r="BM206" s="58" t="e">
        <f ca="1">'Historical - Raw data'!AW201</f>
        <v>#N/A</v>
      </c>
      <c r="BN206" s="58" t="e">
        <f ca="1">'Historical - Raw data'!AX201</f>
        <v>#N/A</v>
      </c>
      <c r="BO206" s="58" t="e">
        <f ca="1">'Historical - Raw data'!AY201</f>
        <v>#N/A</v>
      </c>
      <c r="BP206" s="58" t="e">
        <f ca="1">'Historical - Raw data'!AZ201</f>
        <v>#N/A</v>
      </c>
      <c r="BQ206" s="58" t="e">
        <f ca="1">'Historical - Raw data'!BA201</f>
        <v>#N/A</v>
      </c>
      <c r="BR206" s="58" t="e">
        <f ca="1">'Historical - Raw data'!BB201</f>
        <v>#N/A</v>
      </c>
      <c r="BS206" s="58" t="e">
        <f ca="1">'Historical - Raw data'!BC201</f>
        <v>#N/A</v>
      </c>
      <c r="BT206" s="58" t="e">
        <f ca="1">'Historical - Raw data'!BD201</f>
        <v>#N/A</v>
      </c>
      <c r="BU206" s="58" t="e">
        <f ca="1">'Historical - Raw data'!BE201</f>
        <v>#N/A</v>
      </c>
      <c r="BV206" s="58" t="e">
        <f ca="1">'Historical - Raw data'!BF201</f>
        <v>#N/A</v>
      </c>
      <c r="BW206" s="58" t="e">
        <f ca="1">'Historical - Raw data'!BG201</f>
        <v>#N/A</v>
      </c>
    </row>
    <row r="207" spans="63:75" ht="15" customHeight="1">
      <c r="BK207" s="97" t="e">
        <f>'Historical - Raw data'!AU202</f>
        <v>#N/A</v>
      </c>
      <c r="BL207" s="58" t="e">
        <f ca="1">'Historical - Raw data'!AV202</f>
        <v>#N/A</v>
      </c>
      <c r="BM207" s="58" t="e">
        <f ca="1">'Historical - Raw data'!AW202</f>
        <v>#N/A</v>
      </c>
      <c r="BN207" s="58" t="e">
        <f ca="1">'Historical - Raw data'!AX202</f>
        <v>#N/A</v>
      </c>
      <c r="BO207" s="58" t="e">
        <f ca="1">'Historical - Raw data'!AY202</f>
        <v>#N/A</v>
      </c>
      <c r="BP207" s="58" t="e">
        <f ca="1">'Historical - Raw data'!AZ202</f>
        <v>#N/A</v>
      </c>
      <c r="BQ207" s="58" t="e">
        <f ca="1">'Historical - Raw data'!BA202</f>
        <v>#N/A</v>
      </c>
      <c r="BR207" s="58" t="e">
        <f ca="1">'Historical - Raw data'!BB202</f>
        <v>#N/A</v>
      </c>
      <c r="BS207" s="58" t="e">
        <f ca="1">'Historical - Raw data'!BC202</f>
        <v>#N/A</v>
      </c>
      <c r="BT207" s="58" t="e">
        <f ca="1">'Historical - Raw data'!BD202</f>
        <v>#N/A</v>
      </c>
      <c r="BU207" s="58" t="e">
        <f ca="1">'Historical - Raw data'!BE202</f>
        <v>#N/A</v>
      </c>
      <c r="BV207" s="58" t="e">
        <f ca="1">'Historical - Raw data'!BF202</f>
        <v>#N/A</v>
      </c>
      <c r="BW207" s="58" t="e">
        <f ca="1">'Historical - Raw data'!BG202</f>
        <v>#N/A</v>
      </c>
    </row>
    <row r="208" spans="63:75" ht="15" customHeight="1">
      <c r="BK208" s="97" t="e">
        <f>'Historical - Raw data'!AU203</f>
        <v>#N/A</v>
      </c>
      <c r="BL208" s="58" t="e">
        <f ca="1">'Historical - Raw data'!AV203</f>
        <v>#N/A</v>
      </c>
      <c r="BM208" s="58" t="e">
        <f ca="1">'Historical - Raw data'!AW203</f>
        <v>#N/A</v>
      </c>
      <c r="BN208" s="58" t="e">
        <f ca="1">'Historical - Raw data'!AX203</f>
        <v>#N/A</v>
      </c>
      <c r="BO208" s="58" t="e">
        <f ca="1">'Historical - Raw data'!AY203</f>
        <v>#N/A</v>
      </c>
      <c r="BP208" s="58" t="e">
        <f ca="1">'Historical - Raw data'!AZ203</f>
        <v>#N/A</v>
      </c>
      <c r="BQ208" s="58" t="e">
        <f ca="1">'Historical - Raw data'!BA203</f>
        <v>#N/A</v>
      </c>
      <c r="BR208" s="58" t="e">
        <f ca="1">'Historical - Raw data'!BB203</f>
        <v>#N/A</v>
      </c>
      <c r="BS208" s="58" t="e">
        <f ca="1">'Historical - Raw data'!BC203</f>
        <v>#N/A</v>
      </c>
      <c r="BT208" s="58" t="e">
        <f ca="1">'Historical - Raw data'!BD203</f>
        <v>#N/A</v>
      </c>
      <c r="BU208" s="58" t="e">
        <f ca="1">'Historical - Raw data'!BE203</f>
        <v>#N/A</v>
      </c>
      <c r="BV208" s="58" t="e">
        <f ca="1">'Historical - Raw data'!BF203</f>
        <v>#N/A</v>
      </c>
      <c r="BW208" s="58" t="e">
        <f ca="1">'Historical - Raw data'!BG203</f>
        <v>#N/A</v>
      </c>
    </row>
    <row r="209" spans="63:75" ht="15" customHeight="1">
      <c r="BK209" s="97" t="e">
        <f>'Historical - Raw data'!AU204</f>
        <v>#N/A</v>
      </c>
      <c r="BL209" s="58" t="e">
        <f ca="1">'Historical - Raw data'!AV204</f>
        <v>#N/A</v>
      </c>
      <c r="BM209" s="58" t="e">
        <f ca="1">'Historical - Raw data'!AW204</f>
        <v>#N/A</v>
      </c>
      <c r="BN209" s="58" t="e">
        <f ca="1">'Historical - Raw data'!AX204</f>
        <v>#N/A</v>
      </c>
      <c r="BO209" s="58" t="e">
        <f ca="1">'Historical - Raw data'!AY204</f>
        <v>#N/A</v>
      </c>
      <c r="BP209" s="58" t="e">
        <f ca="1">'Historical - Raw data'!AZ204</f>
        <v>#N/A</v>
      </c>
      <c r="BQ209" s="58" t="e">
        <f ca="1">'Historical - Raw data'!BA204</f>
        <v>#N/A</v>
      </c>
      <c r="BR209" s="58" t="e">
        <f ca="1">'Historical - Raw data'!BB204</f>
        <v>#N/A</v>
      </c>
      <c r="BS209" s="58" t="e">
        <f ca="1">'Historical - Raw data'!BC204</f>
        <v>#N/A</v>
      </c>
      <c r="BT209" s="58" t="e">
        <f ca="1">'Historical - Raw data'!BD204</f>
        <v>#N/A</v>
      </c>
      <c r="BU209" s="58" t="e">
        <f ca="1">'Historical - Raw data'!BE204</f>
        <v>#N/A</v>
      </c>
      <c r="BV209" s="58" t="e">
        <f ca="1">'Historical - Raw data'!BF204</f>
        <v>#N/A</v>
      </c>
      <c r="BW209" s="58" t="e">
        <f ca="1">'Historical - Raw data'!BG204</f>
        <v>#N/A</v>
      </c>
    </row>
    <row r="210" spans="63:75" ht="15" customHeight="1">
      <c r="BK210" s="97" t="e">
        <f>'Historical - Raw data'!AU205</f>
        <v>#N/A</v>
      </c>
      <c r="BL210" s="58" t="e">
        <f ca="1">'Historical - Raw data'!AV205</f>
        <v>#N/A</v>
      </c>
      <c r="BM210" s="58" t="e">
        <f ca="1">'Historical - Raw data'!AW205</f>
        <v>#N/A</v>
      </c>
      <c r="BN210" s="58" t="e">
        <f ca="1">'Historical - Raw data'!AX205</f>
        <v>#N/A</v>
      </c>
      <c r="BO210" s="58" t="e">
        <f ca="1">'Historical - Raw data'!AY205</f>
        <v>#N/A</v>
      </c>
      <c r="BP210" s="58" t="e">
        <f ca="1">'Historical - Raw data'!AZ205</f>
        <v>#N/A</v>
      </c>
      <c r="BQ210" s="58" t="e">
        <f ca="1">'Historical - Raw data'!BA205</f>
        <v>#N/A</v>
      </c>
      <c r="BR210" s="58" t="e">
        <f ca="1">'Historical - Raw data'!BB205</f>
        <v>#N/A</v>
      </c>
      <c r="BS210" s="58" t="e">
        <f ca="1">'Historical - Raw data'!BC205</f>
        <v>#N/A</v>
      </c>
      <c r="BT210" s="58" t="e">
        <f ca="1">'Historical - Raw data'!BD205</f>
        <v>#N/A</v>
      </c>
      <c r="BU210" s="58" t="e">
        <f ca="1">'Historical - Raw data'!BE205</f>
        <v>#N/A</v>
      </c>
      <c r="BV210" s="58" t="e">
        <f ca="1">'Historical - Raw data'!BF205</f>
        <v>#N/A</v>
      </c>
      <c r="BW210" s="58" t="e">
        <f ca="1">'Historical - Raw data'!BG205</f>
        <v>#N/A</v>
      </c>
    </row>
    <row r="211" spans="63:75" ht="15" customHeight="1">
      <c r="BK211" s="97" t="e">
        <f>'Historical - Raw data'!AU206</f>
        <v>#N/A</v>
      </c>
      <c r="BL211" s="58" t="e">
        <f ca="1">'Historical - Raw data'!AV206</f>
        <v>#N/A</v>
      </c>
      <c r="BM211" s="58" t="e">
        <f ca="1">'Historical - Raw data'!AW206</f>
        <v>#N/A</v>
      </c>
      <c r="BN211" s="58" t="e">
        <f ca="1">'Historical - Raw data'!AX206</f>
        <v>#N/A</v>
      </c>
      <c r="BO211" s="58" t="e">
        <f ca="1">'Historical - Raw data'!AY206</f>
        <v>#N/A</v>
      </c>
      <c r="BP211" s="58" t="e">
        <f ca="1">'Historical - Raw data'!AZ206</f>
        <v>#N/A</v>
      </c>
      <c r="BQ211" s="58" t="e">
        <f ca="1">'Historical - Raw data'!BA206</f>
        <v>#N/A</v>
      </c>
      <c r="BR211" s="58" t="e">
        <f ca="1">'Historical - Raw data'!BB206</f>
        <v>#N/A</v>
      </c>
      <c r="BS211" s="58" t="e">
        <f ca="1">'Historical - Raw data'!BC206</f>
        <v>#N/A</v>
      </c>
      <c r="BT211" s="58" t="e">
        <f ca="1">'Historical - Raw data'!BD206</f>
        <v>#N/A</v>
      </c>
      <c r="BU211" s="58" t="e">
        <f ca="1">'Historical - Raw data'!BE206</f>
        <v>#N/A</v>
      </c>
      <c r="BV211" s="58" t="e">
        <f ca="1">'Historical - Raw data'!BF206</f>
        <v>#N/A</v>
      </c>
      <c r="BW211" s="58" t="e">
        <f ca="1">'Historical - Raw data'!BG206</f>
        <v>#N/A</v>
      </c>
    </row>
    <row r="212" spans="63:75" ht="15" customHeight="1">
      <c r="BK212" s="97" t="e">
        <f>'Historical - Raw data'!AU207</f>
        <v>#N/A</v>
      </c>
      <c r="BL212" s="58" t="e">
        <f ca="1">'Historical - Raw data'!AV207</f>
        <v>#N/A</v>
      </c>
      <c r="BM212" s="58" t="e">
        <f ca="1">'Historical - Raw data'!AW207</f>
        <v>#N/A</v>
      </c>
      <c r="BN212" s="58" t="e">
        <f ca="1">'Historical - Raw data'!AX207</f>
        <v>#N/A</v>
      </c>
      <c r="BO212" s="58" t="e">
        <f ca="1">'Historical - Raw data'!AY207</f>
        <v>#N/A</v>
      </c>
      <c r="BP212" s="58" t="e">
        <f ca="1">'Historical - Raw data'!AZ207</f>
        <v>#N/A</v>
      </c>
      <c r="BQ212" s="58" t="e">
        <f ca="1">'Historical - Raw data'!BA207</f>
        <v>#N/A</v>
      </c>
      <c r="BR212" s="58" t="e">
        <f ca="1">'Historical - Raw data'!BB207</f>
        <v>#N/A</v>
      </c>
      <c r="BS212" s="58" t="e">
        <f ca="1">'Historical - Raw data'!BC207</f>
        <v>#N/A</v>
      </c>
      <c r="BT212" s="58" t="e">
        <f ca="1">'Historical - Raw data'!BD207</f>
        <v>#N/A</v>
      </c>
      <c r="BU212" s="58" t="e">
        <f ca="1">'Historical - Raw data'!BE207</f>
        <v>#N/A</v>
      </c>
      <c r="BV212" s="58" t="e">
        <f ca="1">'Historical - Raw data'!BF207</f>
        <v>#N/A</v>
      </c>
      <c r="BW212" s="58" t="e">
        <f ca="1">'Historical - Raw data'!BG207</f>
        <v>#N/A</v>
      </c>
    </row>
    <row r="213" spans="63:75" ht="15" customHeight="1">
      <c r="BK213" s="97" t="e">
        <f>'Historical - Raw data'!AU208</f>
        <v>#N/A</v>
      </c>
      <c r="BL213" s="58" t="e">
        <f ca="1">'Historical - Raw data'!AV208</f>
        <v>#N/A</v>
      </c>
      <c r="BM213" s="58" t="e">
        <f ca="1">'Historical - Raw data'!AW208</f>
        <v>#N/A</v>
      </c>
      <c r="BN213" s="58" t="e">
        <f ca="1">'Historical - Raw data'!AX208</f>
        <v>#N/A</v>
      </c>
      <c r="BO213" s="58" t="e">
        <f ca="1">'Historical - Raw data'!AY208</f>
        <v>#N/A</v>
      </c>
      <c r="BP213" s="58" t="e">
        <f ca="1">'Historical - Raw data'!AZ208</f>
        <v>#N/A</v>
      </c>
      <c r="BQ213" s="58" t="e">
        <f ca="1">'Historical - Raw data'!BA208</f>
        <v>#N/A</v>
      </c>
      <c r="BR213" s="58" t="e">
        <f ca="1">'Historical - Raw data'!BB208</f>
        <v>#N/A</v>
      </c>
      <c r="BS213" s="58" t="e">
        <f ca="1">'Historical - Raw data'!BC208</f>
        <v>#N/A</v>
      </c>
      <c r="BT213" s="58" t="e">
        <f ca="1">'Historical - Raw data'!BD208</f>
        <v>#N/A</v>
      </c>
      <c r="BU213" s="58" t="e">
        <f ca="1">'Historical - Raw data'!BE208</f>
        <v>#N/A</v>
      </c>
      <c r="BV213" s="58" t="e">
        <f ca="1">'Historical - Raw data'!BF208</f>
        <v>#N/A</v>
      </c>
      <c r="BW213" s="58" t="e">
        <f ca="1">'Historical - Raw data'!BG208</f>
        <v>#N/A</v>
      </c>
    </row>
    <row r="214" spans="63:75" ht="15" customHeight="1">
      <c r="BK214" s="97" t="e">
        <f>'Historical - Raw data'!AU209</f>
        <v>#N/A</v>
      </c>
      <c r="BL214" s="58" t="e">
        <f ca="1">'Historical - Raw data'!AV209</f>
        <v>#N/A</v>
      </c>
      <c r="BM214" s="58" t="e">
        <f ca="1">'Historical - Raw data'!AW209</f>
        <v>#N/A</v>
      </c>
      <c r="BN214" s="58" t="e">
        <f ca="1">'Historical - Raw data'!AX209</f>
        <v>#N/A</v>
      </c>
      <c r="BO214" s="58" t="e">
        <f ca="1">'Historical - Raw data'!AY209</f>
        <v>#N/A</v>
      </c>
      <c r="BP214" s="58" t="e">
        <f ca="1">'Historical - Raw data'!AZ209</f>
        <v>#N/A</v>
      </c>
      <c r="BQ214" s="58" t="e">
        <f ca="1">'Historical - Raw data'!BA209</f>
        <v>#N/A</v>
      </c>
      <c r="BR214" s="58" t="e">
        <f ca="1">'Historical - Raw data'!BB209</f>
        <v>#N/A</v>
      </c>
      <c r="BS214" s="58" t="e">
        <f ca="1">'Historical - Raw data'!BC209</f>
        <v>#N/A</v>
      </c>
      <c r="BT214" s="58" t="e">
        <f ca="1">'Historical - Raw data'!BD209</f>
        <v>#N/A</v>
      </c>
      <c r="BU214" s="58" t="e">
        <f ca="1">'Historical - Raw data'!BE209</f>
        <v>#N/A</v>
      </c>
      <c r="BV214" s="58" t="e">
        <f ca="1">'Historical - Raw data'!BF209</f>
        <v>#N/A</v>
      </c>
      <c r="BW214" s="58" t="e">
        <f ca="1">'Historical - Raw data'!BG209</f>
        <v>#N/A</v>
      </c>
    </row>
    <row r="215" spans="63:75" ht="15" customHeight="1">
      <c r="BK215" s="97" t="e">
        <f>'Historical - Raw data'!AU210</f>
        <v>#N/A</v>
      </c>
      <c r="BL215" s="58" t="e">
        <f ca="1">'Historical - Raw data'!AV210</f>
        <v>#N/A</v>
      </c>
      <c r="BM215" s="58" t="e">
        <f ca="1">'Historical - Raw data'!AW210</f>
        <v>#N/A</v>
      </c>
      <c r="BN215" s="58" t="e">
        <f ca="1">'Historical - Raw data'!AX210</f>
        <v>#N/A</v>
      </c>
      <c r="BO215" s="58" t="e">
        <f ca="1">'Historical - Raw data'!AY210</f>
        <v>#N/A</v>
      </c>
      <c r="BP215" s="58" t="e">
        <f ca="1">'Historical - Raw data'!AZ210</f>
        <v>#N/A</v>
      </c>
      <c r="BQ215" s="58" t="e">
        <f ca="1">'Historical - Raw data'!BA210</f>
        <v>#N/A</v>
      </c>
      <c r="BR215" s="58" t="e">
        <f ca="1">'Historical - Raw data'!BB210</f>
        <v>#N/A</v>
      </c>
      <c r="BS215" s="58" t="e">
        <f ca="1">'Historical - Raw data'!BC210</f>
        <v>#N/A</v>
      </c>
      <c r="BT215" s="58" t="e">
        <f ca="1">'Historical - Raw data'!BD210</f>
        <v>#N/A</v>
      </c>
      <c r="BU215" s="58" t="e">
        <f ca="1">'Historical - Raw data'!BE210</f>
        <v>#N/A</v>
      </c>
      <c r="BV215" s="58" t="e">
        <f ca="1">'Historical - Raw data'!BF210</f>
        <v>#N/A</v>
      </c>
      <c r="BW215" s="58" t="e">
        <f ca="1">'Historical - Raw data'!BG210</f>
        <v>#N/A</v>
      </c>
    </row>
    <row r="216" spans="63:75" ht="15" customHeight="1">
      <c r="BK216" s="97" t="e">
        <f>'Historical - Raw data'!AU211</f>
        <v>#N/A</v>
      </c>
      <c r="BL216" s="58" t="e">
        <f ca="1">'Historical - Raw data'!AV211</f>
        <v>#N/A</v>
      </c>
      <c r="BM216" s="58" t="e">
        <f ca="1">'Historical - Raw data'!AW211</f>
        <v>#N/A</v>
      </c>
      <c r="BN216" s="58" t="e">
        <f ca="1">'Historical - Raw data'!AX211</f>
        <v>#N/A</v>
      </c>
      <c r="BO216" s="58" t="e">
        <f ca="1">'Historical - Raw data'!AY211</f>
        <v>#N/A</v>
      </c>
      <c r="BP216" s="58" t="e">
        <f ca="1">'Historical - Raw data'!AZ211</f>
        <v>#N/A</v>
      </c>
      <c r="BQ216" s="58" t="e">
        <f ca="1">'Historical - Raw data'!BA211</f>
        <v>#N/A</v>
      </c>
      <c r="BR216" s="58" t="e">
        <f ca="1">'Historical - Raw data'!BB211</f>
        <v>#N/A</v>
      </c>
      <c r="BS216" s="58" t="e">
        <f ca="1">'Historical - Raw data'!BC211</f>
        <v>#N/A</v>
      </c>
      <c r="BT216" s="58" t="e">
        <f ca="1">'Historical - Raw data'!BD211</f>
        <v>#N/A</v>
      </c>
      <c r="BU216" s="58" t="e">
        <f ca="1">'Historical - Raw data'!BE211</f>
        <v>#N/A</v>
      </c>
      <c r="BV216" s="58" t="e">
        <f ca="1">'Historical - Raw data'!BF211</f>
        <v>#N/A</v>
      </c>
      <c r="BW216" s="58" t="e">
        <f ca="1">'Historical - Raw data'!BG211</f>
        <v>#N/A</v>
      </c>
    </row>
    <row r="217" spans="63:75" ht="15" customHeight="1">
      <c r="BK217" s="97" t="e">
        <f>'Historical - Raw data'!AU212</f>
        <v>#N/A</v>
      </c>
      <c r="BL217" s="58" t="e">
        <f ca="1">'Historical - Raw data'!AV212</f>
        <v>#N/A</v>
      </c>
      <c r="BM217" s="58" t="e">
        <f ca="1">'Historical - Raw data'!AW212</f>
        <v>#N/A</v>
      </c>
      <c r="BN217" s="58" t="e">
        <f ca="1">'Historical - Raw data'!AX212</f>
        <v>#N/A</v>
      </c>
      <c r="BO217" s="58" t="e">
        <f ca="1">'Historical - Raw data'!AY212</f>
        <v>#N/A</v>
      </c>
      <c r="BP217" s="58" t="e">
        <f ca="1">'Historical - Raw data'!AZ212</f>
        <v>#N/A</v>
      </c>
      <c r="BQ217" s="58" t="e">
        <f ca="1">'Historical - Raw data'!BA212</f>
        <v>#N/A</v>
      </c>
      <c r="BR217" s="58" t="e">
        <f ca="1">'Historical - Raw data'!BB212</f>
        <v>#N/A</v>
      </c>
      <c r="BS217" s="58" t="e">
        <f ca="1">'Historical - Raw data'!BC212</f>
        <v>#N/A</v>
      </c>
      <c r="BT217" s="58" t="e">
        <f ca="1">'Historical - Raw data'!BD212</f>
        <v>#N/A</v>
      </c>
      <c r="BU217" s="58" t="e">
        <f ca="1">'Historical - Raw data'!BE212</f>
        <v>#N/A</v>
      </c>
      <c r="BV217" s="58" t="e">
        <f ca="1">'Historical - Raw data'!BF212</f>
        <v>#N/A</v>
      </c>
      <c r="BW217" s="58" t="e">
        <f ca="1">'Historical - Raw data'!BG212</f>
        <v>#N/A</v>
      </c>
    </row>
    <row r="218" spans="63:75" ht="15" customHeight="1">
      <c r="BK218" s="97" t="e">
        <f>'Historical - Raw data'!AU213</f>
        <v>#N/A</v>
      </c>
      <c r="BL218" s="58" t="e">
        <f ca="1">'Historical - Raw data'!AV213</f>
        <v>#N/A</v>
      </c>
      <c r="BM218" s="58" t="e">
        <f ca="1">'Historical - Raw data'!AW213</f>
        <v>#N/A</v>
      </c>
      <c r="BN218" s="58" t="e">
        <f ca="1">'Historical - Raw data'!AX213</f>
        <v>#N/A</v>
      </c>
      <c r="BO218" s="58" t="e">
        <f ca="1">'Historical - Raw data'!AY213</f>
        <v>#N/A</v>
      </c>
      <c r="BP218" s="58" t="e">
        <f ca="1">'Historical - Raw data'!AZ213</f>
        <v>#N/A</v>
      </c>
      <c r="BQ218" s="58" t="e">
        <f ca="1">'Historical - Raw data'!BA213</f>
        <v>#N/A</v>
      </c>
      <c r="BR218" s="58" t="e">
        <f ca="1">'Historical - Raw data'!BB213</f>
        <v>#N/A</v>
      </c>
      <c r="BS218" s="58" t="e">
        <f ca="1">'Historical - Raw data'!BC213</f>
        <v>#N/A</v>
      </c>
      <c r="BT218" s="58" t="e">
        <f ca="1">'Historical - Raw data'!BD213</f>
        <v>#N/A</v>
      </c>
      <c r="BU218" s="58" t="e">
        <f ca="1">'Historical - Raw data'!BE213</f>
        <v>#N/A</v>
      </c>
      <c r="BV218" s="58" t="e">
        <f ca="1">'Historical - Raw data'!BF213</f>
        <v>#N/A</v>
      </c>
      <c r="BW218" s="58" t="e">
        <f ca="1">'Historical - Raw data'!BG213</f>
        <v>#N/A</v>
      </c>
    </row>
    <row r="219" spans="63:75" ht="15" customHeight="1">
      <c r="BK219" s="97" t="e">
        <f>'Historical - Raw data'!AU214</f>
        <v>#N/A</v>
      </c>
      <c r="BL219" s="58" t="e">
        <f ca="1">'Historical - Raw data'!AV214</f>
        <v>#N/A</v>
      </c>
      <c r="BM219" s="58" t="e">
        <f ca="1">'Historical - Raw data'!AW214</f>
        <v>#N/A</v>
      </c>
      <c r="BN219" s="58" t="e">
        <f ca="1">'Historical - Raw data'!AX214</f>
        <v>#N/A</v>
      </c>
      <c r="BO219" s="58" t="e">
        <f ca="1">'Historical - Raw data'!AY214</f>
        <v>#N/A</v>
      </c>
      <c r="BP219" s="58" t="e">
        <f ca="1">'Historical - Raw data'!AZ214</f>
        <v>#N/A</v>
      </c>
      <c r="BQ219" s="58" t="e">
        <f ca="1">'Historical - Raw data'!BA214</f>
        <v>#N/A</v>
      </c>
      <c r="BR219" s="58" t="e">
        <f ca="1">'Historical - Raw data'!BB214</f>
        <v>#N/A</v>
      </c>
      <c r="BS219" s="58" t="e">
        <f ca="1">'Historical - Raw data'!BC214</f>
        <v>#N/A</v>
      </c>
      <c r="BT219" s="58" t="e">
        <f ca="1">'Historical - Raw data'!BD214</f>
        <v>#N/A</v>
      </c>
      <c r="BU219" s="58" t="e">
        <f ca="1">'Historical - Raw data'!BE214</f>
        <v>#N/A</v>
      </c>
      <c r="BV219" s="58" t="e">
        <f ca="1">'Historical - Raw data'!BF214</f>
        <v>#N/A</v>
      </c>
      <c r="BW219" s="58" t="e">
        <f ca="1">'Historical - Raw data'!BG214</f>
        <v>#N/A</v>
      </c>
    </row>
    <row r="220" spans="63:75" ht="15" customHeight="1">
      <c r="BK220" s="97" t="e">
        <f>'Historical - Raw data'!AU215</f>
        <v>#N/A</v>
      </c>
      <c r="BL220" s="58" t="e">
        <f ca="1">'Historical - Raw data'!AV215</f>
        <v>#N/A</v>
      </c>
      <c r="BM220" s="58" t="e">
        <f ca="1">'Historical - Raw data'!AW215</f>
        <v>#N/A</v>
      </c>
      <c r="BN220" s="58" t="e">
        <f ca="1">'Historical - Raw data'!AX215</f>
        <v>#N/A</v>
      </c>
      <c r="BO220" s="58" t="e">
        <f ca="1">'Historical - Raw data'!AY215</f>
        <v>#N/A</v>
      </c>
      <c r="BP220" s="58" t="e">
        <f ca="1">'Historical - Raw data'!AZ215</f>
        <v>#N/A</v>
      </c>
      <c r="BQ220" s="58" t="e">
        <f ca="1">'Historical - Raw data'!BA215</f>
        <v>#N/A</v>
      </c>
      <c r="BR220" s="58" t="e">
        <f ca="1">'Historical - Raw data'!BB215</f>
        <v>#N/A</v>
      </c>
      <c r="BS220" s="58" t="e">
        <f ca="1">'Historical - Raw data'!BC215</f>
        <v>#N/A</v>
      </c>
      <c r="BT220" s="58" t="e">
        <f ca="1">'Historical - Raw data'!BD215</f>
        <v>#N/A</v>
      </c>
      <c r="BU220" s="58" t="e">
        <f ca="1">'Historical - Raw data'!BE215</f>
        <v>#N/A</v>
      </c>
      <c r="BV220" s="58" t="e">
        <f ca="1">'Historical - Raw data'!BF215</f>
        <v>#N/A</v>
      </c>
      <c r="BW220" s="58" t="e">
        <f ca="1">'Historical - Raw data'!BG215</f>
        <v>#N/A</v>
      </c>
    </row>
    <row r="221" spans="63:75" ht="15" customHeight="1">
      <c r="BK221" s="97" t="e">
        <f>'Historical - Raw data'!AU216</f>
        <v>#N/A</v>
      </c>
      <c r="BL221" s="58" t="e">
        <f ca="1">'Historical - Raw data'!AV216</f>
        <v>#N/A</v>
      </c>
      <c r="BM221" s="58" t="e">
        <f ca="1">'Historical - Raw data'!AW216</f>
        <v>#N/A</v>
      </c>
      <c r="BN221" s="58" t="e">
        <f ca="1">'Historical - Raw data'!AX216</f>
        <v>#N/A</v>
      </c>
      <c r="BO221" s="58" t="e">
        <f ca="1">'Historical - Raw data'!AY216</f>
        <v>#N/A</v>
      </c>
      <c r="BP221" s="58" t="e">
        <f ca="1">'Historical - Raw data'!AZ216</f>
        <v>#N/A</v>
      </c>
      <c r="BQ221" s="58" t="e">
        <f ca="1">'Historical - Raw data'!BA216</f>
        <v>#N/A</v>
      </c>
      <c r="BR221" s="58" t="e">
        <f ca="1">'Historical - Raw data'!BB216</f>
        <v>#N/A</v>
      </c>
      <c r="BS221" s="58" t="e">
        <f ca="1">'Historical - Raw data'!BC216</f>
        <v>#N/A</v>
      </c>
      <c r="BT221" s="58" t="e">
        <f ca="1">'Historical - Raw data'!BD216</f>
        <v>#N/A</v>
      </c>
      <c r="BU221" s="58" t="e">
        <f ca="1">'Historical - Raw data'!BE216</f>
        <v>#N/A</v>
      </c>
      <c r="BV221" s="58" t="e">
        <f ca="1">'Historical - Raw data'!BF216</f>
        <v>#N/A</v>
      </c>
      <c r="BW221" s="58" t="e">
        <f ca="1">'Historical - Raw data'!BG216</f>
        <v>#N/A</v>
      </c>
    </row>
    <row r="222" spans="63:75" ht="15" customHeight="1">
      <c r="BK222" s="97" t="e">
        <f>'Historical - Raw data'!AU217</f>
        <v>#N/A</v>
      </c>
      <c r="BL222" s="58" t="e">
        <f ca="1">'Historical - Raw data'!AV217</f>
        <v>#N/A</v>
      </c>
      <c r="BM222" s="58" t="e">
        <f ca="1">'Historical - Raw data'!AW217</f>
        <v>#N/A</v>
      </c>
      <c r="BN222" s="58" t="e">
        <f ca="1">'Historical - Raw data'!AX217</f>
        <v>#N/A</v>
      </c>
      <c r="BO222" s="58" t="e">
        <f ca="1">'Historical - Raw data'!AY217</f>
        <v>#N/A</v>
      </c>
      <c r="BP222" s="58" t="e">
        <f ca="1">'Historical - Raw data'!AZ217</f>
        <v>#N/A</v>
      </c>
      <c r="BQ222" s="58" t="e">
        <f ca="1">'Historical - Raw data'!BA217</f>
        <v>#N/A</v>
      </c>
      <c r="BR222" s="58" t="e">
        <f ca="1">'Historical - Raw data'!BB217</f>
        <v>#N/A</v>
      </c>
      <c r="BS222" s="58" t="e">
        <f ca="1">'Historical - Raw data'!BC217</f>
        <v>#N/A</v>
      </c>
      <c r="BT222" s="58" t="e">
        <f ca="1">'Historical - Raw data'!BD217</f>
        <v>#N/A</v>
      </c>
      <c r="BU222" s="58" t="e">
        <f ca="1">'Historical - Raw data'!BE217</f>
        <v>#N/A</v>
      </c>
      <c r="BV222" s="58" t="e">
        <f ca="1">'Historical - Raw data'!BF217</f>
        <v>#N/A</v>
      </c>
      <c r="BW222" s="58" t="e">
        <f ca="1">'Historical - Raw data'!BG217</f>
        <v>#N/A</v>
      </c>
    </row>
    <row r="223" spans="63:75" ht="15" customHeight="1">
      <c r="BK223" s="97" t="e">
        <f>'Historical - Raw data'!AU218</f>
        <v>#N/A</v>
      </c>
      <c r="BL223" s="58" t="e">
        <f ca="1">'Historical - Raw data'!AV218</f>
        <v>#N/A</v>
      </c>
      <c r="BM223" s="58" t="e">
        <f ca="1">'Historical - Raw data'!AW218</f>
        <v>#N/A</v>
      </c>
      <c r="BN223" s="58" t="e">
        <f ca="1">'Historical - Raw data'!AX218</f>
        <v>#N/A</v>
      </c>
      <c r="BO223" s="58" t="e">
        <f ca="1">'Historical - Raw data'!AY218</f>
        <v>#N/A</v>
      </c>
      <c r="BP223" s="58" t="e">
        <f ca="1">'Historical - Raw data'!AZ218</f>
        <v>#N/A</v>
      </c>
      <c r="BQ223" s="58" t="e">
        <f ca="1">'Historical - Raw data'!BA218</f>
        <v>#N/A</v>
      </c>
      <c r="BR223" s="58" t="e">
        <f ca="1">'Historical - Raw data'!BB218</f>
        <v>#N/A</v>
      </c>
      <c r="BS223" s="58" t="e">
        <f ca="1">'Historical - Raw data'!BC218</f>
        <v>#N/A</v>
      </c>
      <c r="BT223" s="58" t="e">
        <f ca="1">'Historical - Raw data'!BD218</f>
        <v>#N/A</v>
      </c>
      <c r="BU223" s="58" t="e">
        <f ca="1">'Historical - Raw data'!BE218</f>
        <v>#N/A</v>
      </c>
      <c r="BV223" s="58" t="e">
        <f ca="1">'Historical - Raw data'!BF218</f>
        <v>#N/A</v>
      </c>
      <c r="BW223" s="58" t="e">
        <f ca="1">'Historical - Raw data'!BG218</f>
        <v>#N/A</v>
      </c>
    </row>
    <row r="224" spans="63:75" ht="15" customHeight="1">
      <c r="BK224" s="97" t="e">
        <f>'Historical - Raw data'!AU219</f>
        <v>#N/A</v>
      </c>
      <c r="BL224" s="58" t="e">
        <f ca="1">'Historical - Raw data'!AV219</f>
        <v>#N/A</v>
      </c>
      <c r="BM224" s="58" t="e">
        <f ca="1">'Historical - Raw data'!AW219</f>
        <v>#N/A</v>
      </c>
      <c r="BN224" s="58" t="e">
        <f ca="1">'Historical - Raw data'!AX219</f>
        <v>#N/A</v>
      </c>
      <c r="BO224" s="58" t="e">
        <f ca="1">'Historical - Raw data'!AY219</f>
        <v>#N/A</v>
      </c>
      <c r="BP224" s="58" t="e">
        <f ca="1">'Historical - Raw data'!AZ219</f>
        <v>#N/A</v>
      </c>
      <c r="BQ224" s="58" t="e">
        <f ca="1">'Historical - Raw data'!BA219</f>
        <v>#N/A</v>
      </c>
      <c r="BR224" s="58" t="e">
        <f ca="1">'Historical - Raw data'!BB219</f>
        <v>#N/A</v>
      </c>
      <c r="BS224" s="58" t="e">
        <f ca="1">'Historical - Raw data'!BC219</f>
        <v>#N/A</v>
      </c>
      <c r="BT224" s="58" t="e">
        <f ca="1">'Historical - Raw data'!BD219</f>
        <v>#N/A</v>
      </c>
      <c r="BU224" s="58" t="e">
        <f ca="1">'Historical - Raw data'!BE219</f>
        <v>#N/A</v>
      </c>
      <c r="BV224" s="58" t="e">
        <f ca="1">'Historical - Raw data'!BF219</f>
        <v>#N/A</v>
      </c>
      <c r="BW224" s="58" t="e">
        <f ca="1">'Historical - Raw data'!BG219</f>
        <v>#N/A</v>
      </c>
    </row>
    <row r="225" spans="63:75" ht="15" customHeight="1">
      <c r="BK225" s="97" t="e">
        <f>'Historical - Raw data'!AU220</f>
        <v>#N/A</v>
      </c>
      <c r="BL225" s="58" t="e">
        <f ca="1">'Historical - Raw data'!AV220</f>
        <v>#N/A</v>
      </c>
      <c r="BM225" s="58" t="e">
        <f ca="1">'Historical - Raw data'!AW220</f>
        <v>#N/A</v>
      </c>
      <c r="BN225" s="58" t="e">
        <f ca="1">'Historical - Raw data'!AX220</f>
        <v>#N/A</v>
      </c>
      <c r="BO225" s="58" t="e">
        <f ca="1">'Historical - Raw data'!AY220</f>
        <v>#N/A</v>
      </c>
      <c r="BP225" s="58" t="e">
        <f ca="1">'Historical - Raw data'!AZ220</f>
        <v>#N/A</v>
      </c>
      <c r="BQ225" s="58" t="e">
        <f ca="1">'Historical - Raw data'!BA220</f>
        <v>#N/A</v>
      </c>
      <c r="BR225" s="58" t="e">
        <f ca="1">'Historical - Raw data'!BB220</f>
        <v>#N/A</v>
      </c>
      <c r="BS225" s="58" t="e">
        <f ca="1">'Historical - Raw data'!BC220</f>
        <v>#N/A</v>
      </c>
      <c r="BT225" s="58" t="e">
        <f ca="1">'Historical - Raw data'!BD220</f>
        <v>#N/A</v>
      </c>
      <c r="BU225" s="58" t="e">
        <f ca="1">'Historical - Raw data'!BE220</f>
        <v>#N/A</v>
      </c>
      <c r="BV225" s="58" t="e">
        <f ca="1">'Historical - Raw data'!BF220</f>
        <v>#N/A</v>
      </c>
      <c r="BW225" s="58" t="e">
        <f ca="1">'Historical - Raw data'!BG220</f>
        <v>#N/A</v>
      </c>
    </row>
    <row r="226" spans="63:75" ht="15" customHeight="1">
      <c r="BK226" s="97" t="e">
        <f>'Historical - Raw data'!AU221</f>
        <v>#N/A</v>
      </c>
      <c r="BL226" s="58" t="e">
        <f ca="1">'Historical - Raw data'!AV221</f>
        <v>#N/A</v>
      </c>
      <c r="BM226" s="58" t="e">
        <f ca="1">'Historical - Raw data'!AW221</f>
        <v>#N/A</v>
      </c>
      <c r="BN226" s="58" t="e">
        <f ca="1">'Historical - Raw data'!AX221</f>
        <v>#N/A</v>
      </c>
      <c r="BO226" s="58" t="e">
        <f ca="1">'Historical - Raw data'!AY221</f>
        <v>#N/A</v>
      </c>
      <c r="BP226" s="58" t="e">
        <f ca="1">'Historical - Raw data'!AZ221</f>
        <v>#N/A</v>
      </c>
      <c r="BQ226" s="58" t="e">
        <f ca="1">'Historical - Raw data'!BA221</f>
        <v>#N/A</v>
      </c>
      <c r="BR226" s="58" t="e">
        <f ca="1">'Historical - Raw data'!BB221</f>
        <v>#N/A</v>
      </c>
      <c r="BS226" s="58" t="e">
        <f ca="1">'Historical - Raw data'!BC221</f>
        <v>#N/A</v>
      </c>
      <c r="BT226" s="58" t="e">
        <f ca="1">'Historical - Raw data'!BD221</f>
        <v>#N/A</v>
      </c>
      <c r="BU226" s="58" t="e">
        <f ca="1">'Historical - Raw data'!BE221</f>
        <v>#N/A</v>
      </c>
      <c r="BV226" s="58" t="e">
        <f ca="1">'Historical - Raw data'!BF221</f>
        <v>#N/A</v>
      </c>
      <c r="BW226" s="58" t="e">
        <f ca="1">'Historical - Raw data'!BG221</f>
        <v>#N/A</v>
      </c>
    </row>
    <row r="227" spans="63:75" ht="15" customHeight="1">
      <c r="BK227" s="97" t="e">
        <f>'Historical - Raw data'!AU222</f>
        <v>#N/A</v>
      </c>
      <c r="BL227" s="58" t="e">
        <f ca="1">'Historical - Raw data'!AV222</f>
        <v>#N/A</v>
      </c>
      <c r="BM227" s="58" t="e">
        <f ca="1">'Historical - Raw data'!AW222</f>
        <v>#N/A</v>
      </c>
      <c r="BN227" s="58" t="e">
        <f ca="1">'Historical - Raw data'!AX222</f>
        <v>#N/A</v>
      </c>
      <c r="BO227" s="58" t="e">
        <f ca="1">'Historical - Raw data'!AY222</f>
        <v>#N/A</v>
      </c>
      <c r="BP227" s="58" t="e">
        <f ca="1">'Historical - Raw data'!AZ222</f>
        <v>#N/A</v>
      </c>
      <c r="BQ227" s="58" t="e">
        <f ca="1">'Historical - Raw data'!BA222</f>
        <v>#N/A</v>
      </c>
      <c r="BR227" s="58" t="e">
        <f ca="1">'Historical - Raw data'!BB222</f>
        <v>#N/A</v>
      </c>
      <c r="BS227" s="58" t="e">
        <f ca="1">'Historical - Raw data'!BC222</f>
        <v>#N/A</v>
      </c>
      <c r="BT227" s="58" t="e">
        <f ca="1">'Historical - Raw data'!BD222</f>
        <v>#N/A</v>
      </c>
      <c r="BU227" s="58" t="e">
        <f ca="1">'Historical - Raw data'!BE222</f>
        <v>#N/A</v>
      </c>
      <c r="BV227" s="58" t="e">
        <f ca="1">'Historical - Raw data'!BF222</f>
        <v>#N/A</v>
      </c>
      <c r="BW227" s="58" t="e">
        <f ca="1">'Historical - Raw data'!BG222</f>
        <v>#N/A</v>
      </c>
    </row>
    <row r="228" spans="63:75" ht="15" customHeight="1">
      <c r="BK228" s="97" t="e">
        <f>'Historical - Raw data'!AU223</f>
        <v>#N/A</v>
      </c>
      <c r="BL228" s="58" t="e">
        <f ca="1">'Historical - Raw data'!AV223</f>
        <v>#N/A</v>
      </c>
      <c r="BM228" s="58" t="e">
        <f ca="1">'Historical - Raw data'!AW223</f>
        <v>#N/A</v>
      </c>
      <c r="BN228" s="58" t="e">
        <f ca="1">'Historical - Raw data'!AX223</f>
        <v>#N/A</v>
      </c>
      <c r="BO228" s="58" t="e">
        <f ca="1">'Historical - Raw data'!AY223</f>
        <v>#N/A</v>
      </c>
      <c r="BP228" s="58" t="e">
        <f ca="1">'Historical - Raw data'!AZ223</f>
        <v>#N/A</v>
      </c>
      <c r="BQ228" s="58" t="e">
        <f ca="1">'Historical - Raw data'!BA223</f>
        <v>#N/A</v>
      </c>
      <c r="BR228" s="58" t="e">
        <f ca="1">'Historical - Raw data'!BB223</f>
        <v>#N/A</v>
      </c>
      <c r="BS228" s="58" t="e">
        <f ca="1">'Historical - Raw data'!BC223</f>
        <v>#N/A</v>
      </c>
      <c r="BT228" s="58" t="e">
        <f ca="1">'Historical - Raw data'!BD223</f>
        <v>#N/A</v>
      </c>
      <c r="BU228" s="58" t="e">
        <f ca="1">'Historical - Raw data'!BE223</f>
        <v>#N/A</v>
      </c>
      <c r="BV228" s="58" t="e">
        <f ca="1">'Historical - Raw data'!BF223</f>
        <v>#N/A</v>
      </c>
      <c r="BW228" s="58" t="e">
        <f ca="1">'Historical - Raw data'!BG223</f>
        <v>#N/A</v>
      </c>
    </row>
    <row r="229" spans="63:75" ht="15" customHeight="1">
      <c r="BK229" s="97" t="e">
        <f>'Historical - Raw data'!AU224</f>
        <v>#N/A</v>
      </c>
      <c r="BL229" s="58" t="e">
        <f ca="1">'Historical - Raw data'!AV224</f>
        <v>#N/A</v>
      </c>
      <c r="BM229" s="58" t="e">
        <f ca="1">'Historical - Raw data'!AW224</f>
        <v>#N/A</v>
      </c>
      <c r="BN229" s="58" t="e">
        <f ca="1">'Historical - Raw data'!AX224</f>
        <v>#N/A</v>
      </c>
      <c r="BO229" s="58" t="e">
        <f ca="1">'Historical - Raw data'!AY224</f>
        <v>#N/A</v>
      </c>
      <c r="BP229" s="58" t="e">
        <f ca="1">'Historical - Raw data'!AZ224</f>
        <v>#N/A</v>
      </c>
      <c r="BQ229" s="58" t="e">
        <f ca="1">'Historical - Raw data'!BA224</f>
        <v>#N/A</v>
      </c>
      <c r="BR229" s="58" t="e">
        <f ca="1">'Historical - Raw data'!BB224</f>
        <v>#N/A</v>
      </c>
      <c r="BS229" s="58" t="e">
        <f ca="1">'Historical - Raw data'!BC224</f>
        <v>#N/A</v>
      </c>
      <c r="BT229" s="58" t="e">
        <f ca="1">'Historical - Raw data'!BD224</f>
        <v>#N/A</v>
      </c>
      <c r="BU229" s="58" t="e">
        <f ca="1">'Historical - Raw data'!BE224</f>
        <v>#N/A</v>
      </c>
      <c r="BV229" s="58" t="e">
        <f ca="1">'Historical - Raw data'!BF224</f>
        <v>#N/A</v>
      </c>
      <c r="BW229" s="58" t="e">
        <f ca="1">'Historical - Raw data'!BG224</f>
        <v>#N/A</v>
      </c>
    </row>
    <row r="230" spans="63:75" ht="15" customHeight="1">
      <c r="BK230" s="97" t="e">
        <f>'Historical - Raw data'!AU225</f>
        <v>#N/A</v>
      </c>
      <c r="BL230" s="58" t="e">
        <f ca="1">'Historical - Raw data'!AV225</f>
        <v>#N/A</v>
      </c>
      <c r="BM230" s="58" t="e">
        <f ca="1">'Historical - Raw data'!AW225</f>
        <v>#N/A</v>
      </c>
      <c r="BN230" s="58" t="e">
        <f ca="1">'Historical - Raw data'!AX225</f>
        <v>#N/A</v>
      </c>
      <c r="BO230" s="58" t="e">
        <f ca="1">'Historical - Raw data'!AY225</f>
        <v>#N/A</v>
      </c>
      <c r="BP230" s="58" t="e">
        <f ca="1">'Historical - Raw data'!AZ225</f>
        <v>#N/A</v>
      </c>
      <c r="BQ230" s="58" t="e">
        <f ca="1">'Historical - Raw data'!BA225</f>
        <v>#N/A</v>
      </c>
      <c r="BR230" s="58" t="e">
        <f ca="1">'Historical - Raw data'!BB225</f>
        <v>#N/A</v>
      </c>
      <c r="BS230" s="58" t="e">
        <f ca="1">'Historical - Raw data'!BC225</f>
        <v>#N/A</v>
      </c>
      <c r="BT230" s="58" t="e">
        <f ca="1">'Historical - Raw data'!BD225</f>
        <v>#N/A</v>
      </c>
      <c r="BU230" s="58" t="e">
        <f ca="1">'Historical - Raw data'!BE225</f>
        <v>#N/A</v>
      </c>
      <c r="BV230" s="58" t="e">
        <f ca="1">'Historical - Raw data'!BF225</f>
        <v>#N/A</v>
      </c>
      <c r="BW230" s="58" t="e">
        <f ca="1">'Historical - Raw data'!BG225</f>
        <v>#N/A</v>
      </c>
    </row>
    <row r="231" spans="63:75" ht="15" customHeight="1">
      <c r="BK231" s="97" t="e">
        <f>'Historical - Raw data'!AU226</f>
        <v>#N/A</v>
      </c>
      <c r="BL231" s="58" t="e">
        <f ca="1">'Historical - Raw data'!AV226</f>
        <v>#N/A</v>
      </c>
      <c r="BM231" s="58" t="e">
        <f ca="1">'Historical - Raw data'!AW226</f>
        <v>#N/A</v>
      </c>
      <c r="BN231" s="58" t="e">
        <f ca="1">'Historical - Raw data'!AX226</f>
        <v>#N/A</v>
      </c>
      <c r="BO231" s="58" t="e">
        <f ca="1">'Historical - Raw data'!AY226</f>
        <v>#N/A</v>
      </c>
      <c r="BP231" s="58" t="e">
        <f ca="1">'Historical - Raw data'!AZ226</f>
        <v>#N/A</v>
      </c>
      <c r="BQ231" s="58" t="e">
        <f ca="1">'Historical - Raw data'!BA226</f>
        <v>#N/A</v>
      </c>
      <c r="BR231" s="58" t="e">
        <f ca="1">'Historical - Raw data'!BB226</f>
        <v>#N/A</v>
      </c>
      <c r="BS231" s="58" t="e">
        <f ca="1">'Historical - Raw data'!BC226</f>
        <v>#N/A</v>
      </c>
      <c r="BT231" s="58" t="e">
        <f ca="1">'Historical - Raw data'!BD226</f>
        <v>#N/A</v>
      </c>
      <c r="BU231" s="58" t="e">
        <f ca="1">'Historical - Raw data'!BE226</f>
        <v>#N/A</v>
      </c>
      <c r="BV231" s="58" t="e">
        <f ca="1">'Historical - Raw data'!BF226</f>
        <v>#N/A</v>
      </c>
      <c r="BW231" s="58" t="e">
        <f ca="1">'Historical - Raw data'!BG226</f>
        <v>#N/A</v>
      </c>
    </row>
    <row r="232" spans="63:75" ht="15" customHeight="1">
      <c r="BK232" s="97" t="e">
        <f>'Historical - Raw data'!AU227</f>
        <v>#N/A</v>
      </c>
      <c r="BL232" s="58" t="e">
        <f ca="1">'Historical - Raw data'!AV227</f>
        <v>#N/A</v>
      </c>
      <c r="BM232" s="58" t="e">
        <f ca="1">'Historical - Raw data'!AW227</f>
        <v>#N/A</v>
      </c>
      <c r="BN232" s="58" t="e">
        <f ca="1">'Historical - Raw data'!AX227</f>
        <v>#N/A</v>
      </c>
      <c r="BO232" s="58" t="e">
        <f ca="1">'Historical - Raw data'!AY227</f>
        <v>#N/A</v>
      </c>
      <c r="BP232" s="58" t="e">
        <f ca="1">'Historical - Raw data'!AZ227</f>
        <v>#N/A</v>
      </c>
      <c r="BQ232" s="58" t="e">
        <f ca="1">'Historical - Raw data'!BA227</f>
        <v>#N/A</v>
      </c>
      <c r="BR232" s="58" t="e">
        <f ca="1">'Historical - Raw data'!BB227</f>
        <v>#N/A</v>
      </c>
      <c r="BS232" s="58" t="e">
        <f ca="1">'Historical - Raw data'!BC227</f>
        <v>#N/A</v>
      </c>
      <c r="BT232" s="58" t="e">
        <f ca="1">'Historical - Raw data'!BD227</f>
        <v>#N/A</v>
      </c>
      <c r="BU232" s="58" t="e">
        <f ca="1">'Historical - Raw data'!BE227</f>
        <v>#N/A</v>
      </c>
      <c r="BV232" s="58" t="e">
        <f ca="1">'Historical - Raw data'!BF227</f>
        <v>#N/A</v>
      </c>
      <c r="BW232" s="58" t="e">
        <f ca="1">'Historical - Raw data'!BG227</f>
        <v>#N/A</v>
      </c>
    </row>
    <row r="233" spans="63:75" ht="15" customHeight="1">
      <c r="BK233" s="97" t="e">
        <f>'Historical - Raw data'!AU228</f>
        <v>#N/A</v>
      </c>
      <c r="BL233" s="58" t="e">
        <f ca="1">'Historical - Raw data'!AV228</f>
        <v>#N/A</v>
      </c>
      <c r="BM233" s="58" t="e">
        <f ca="1">'Historical - Raw data'!AW228</f>
        <v>#N/A</v>
      </c>
      <c r="BN233" s="58" t="e">
        <f ca="1">'Historical - Raw data'!AX228</f>
        <v>#N/A</v>
      </c>
      <c r="BO233" s="58" t="e">
        <f ca="1">'Historical - Raw data'!AY228</f>
        <v>#N/A</v>
      </c>
      <c r="BP233" s="58" t="e">
        <f ca="1">'Historical - Raw data'!AZ228</f>
        <v>#N/A</v>
      </c>
      <c r="BQ233" s="58" t="e">
        <f ca="1">'Historical - Raw data'!BA228</f>
        <v>#N/A</v>
      </c>
      <c r="BR233" s="58" t="e">
        <f ca="1">'Historical - Raw data'!BB228</f>
        <v>#N/A</v>
      </c>
      <c r="BS233" s="58" t="e">
        <f ca="1">'Historical - Raw data'!BC228</f>
        <v>#N/A</v>
      </c>
      <c r="BT233" s="58" t="e">
        <f ca="1">'Historical - Raw data'!BD228</f>
        <v>#N/A</v>
      </c>
      <c r="BU233" s="58" t="e">
        <f ca="1">'Historical - Raw data'!BE228</f>
        <v>#N/A</v>
      </c>
      <c r="BV233" s="58" t="e">
        <f ca="1">'Historical - Raw data'!BF228</f>
        <v>#N/A</v>
      </c>
      <c r="BW233" s="58" t="e">
        <f ca="1">'Historical - Raw data'!BG228</f>
        <v>#N/A</v>
      </c>
    </row>
    <row r="234" spans="63:75" ht="15" customHeight="1">
      <c r="BK234" s="97" t="e">
        <f>'Historical - Raw data'!AU229</f>
        <v>#N/A</v>
      </c>
      <c r="BL234" s="58" t="e">
        <f ca="1">'Historical - Raw data'!AV229</f>
        <v>#N/A</v>
      </c>
      <c r="BM234" s="58" t="e">
        <f ca="1">'Historical - Raw data'!AW229</f>
        <v>#N/A</v>
      </c>
      <c r="BN234" s="58" t="e">
        <f ca="1">'Historical - Raw data'!AX229</f>
        <v>#N/A</v>
      </c>
      <c r="BO234" s="58" t="e">
        <f ca="1">'Historical - Raw data'!AY229</f>
        <v>#N/A</v>
      </c>
      <c r="BP234" s="58" t="e">
        <f ca="1">'Historical - Raw data'!AZ229</f>
        <v>#N/A</v>
      </c>
      <c r="BQ234" s="58" t="e">
        <f ca="1">'Historical - Raw data'!BA229</f>
        <v>#N/A</v>
      </c>
      <c r="BR234" s="58" t="e">
        <f ca="1">'Historical - Raw data'!BB229</f>
        <v>#N/A</v>
      </c>
      <c r="BS234" s="58" t="e">
        <f ca="1">'Historical - Raw data'!BC229</f>
        <v>#N/A</v>
      </c>
      <c r="BT234" s="58" t="e">
        <f ca="1">'Historical - Raw data'!BD229</f>
        <v>#N/A</v>
      </c>
      <c r="BU234" s="58" t="e">
        <f ca="1">'Historical - Raw data'!BE229</f>
        <v>#N/A</v>
      </c>
      <c r="BV234" s="58" t="e">
        <f ca="1">'Historical - Raw data'!BF229</f>
        <v>#N/A</v>
      </c>
      <c r="BW234" s="58" t="e">
        <f ca="1">'Historical - Raw data'!BG229</f>
        <v>#N/A</v>
      </c>
    </row>
    <row r="235" spans="63:75" ht="15" customHeight="1">
      <c r="BK235" s="97" t="e">
        <f>'Historical - Raw data'!AU230</f>
        <v>#N/A</v>
      </c>
      <c r="BL235" s="58" t="e">
        <f ca="1">'Historical - Raw data'!AV230</f>
        <v>#N/A</v>
      </c>
      <c r="BM235" s="58" t="e">
        <f ca="1">'Historical - Raw data'!AW230</f>
        <v>#N/A</v>
      </c>
      <c r="BN235" s="58" t="e">
        <f ca="1">'Historical - Raw data'!AX230</f>
        <v>#N/A</v>
      </c>
      <c r="BO235" s="58" t="e">
        <f ca="1">'Historical - Raw data'!AY230</f>
        <v>#N/A</v>
      </c>
      <c r="BP235" s="58" t="e">
        <f ca="1">'Historical - Raw data'!AZ230</f>
        <v>#N/A</v>
      </c>
      <c r="BQ235" s="58" t="e">
        <f ca="1">'Historical - Raw data'!BA230</f>
        <v>#N/A</v>
      </c>
      <c r="BR235" s="58" t="e">
        <f ca="1">'Historical - Raw data'!BB230</f>
        <v>#N/A</v>
      </c>
      <c r="BS235" s="58" t="e">
        <f ca="1">'Historical - Raw data'!BC230</f>
        <v>#N/A</v>
      </c>
      <c r="BT235" s="58" t="e">
        <f ca="1">'Historical - Raw data'!BD230</f>
        <v>#N/A</v>
      </c>
      <c r="BU235" s="58" t="e">
        <f ca="1">'Historical - Raw data'!BE230</f>
        <v>#N/A</v>
      </c>
      <c r="BV235" s="58" t="e">
        <f ca="1">'Historical - Raw data'!BF230</f>
        <v>#N/A</v>
      </c>
      <c r="BW235" s="58" t="e">
        <f ca="1">'Historical - Raw data'!BG230</f>
        <v>#N/A</v>
      </c>
    </row>
    <row r="236" spans="63:75" ht="15" customHeight="1">
      <c r="BK236" s="97" t="e">
        <f>'Historical - Raw data'!AU231</f>
        <v>#N/A</v>
      </c>
      <c r="BL236" s="58" t="e">
        <f ca="1">'Historical - Raw data'!AV231</f>
        <v>#N/A</v>
      </c>
      <c r="BM236" s="58" t="e">
        <f ca="1">'Historical - Raw data'!AW231</f>
        <v>#N/A</v>
      </c>
      <c r="BN236" s="58" t="e">
        <f ca="1">'Historical - Raw data'!AX231</f>
        <v>#N/A</v>
      </c>
      <c r="BO236" s="58" t="e">
        <f ca="1">'Historical - Raw data'!AY231</f>
        <v>#N/A</v>
      </c>
      <c r="BP236" s="58" t="e">
        <f ca="1">'Historical - Raw data'!AZ231</f>
        <v>#N/A</v>
      </c>
      <c r="BQ236" s="58" t="e">
        <f ca="1">'Historical - Raw data'!BA231</f>
        <v>#N/A</v>
      </c>
      <c r="BR236" s="58" t="e">
        <f ca="1">'Historical - Raw data'!BB231</f>
        <v>#N/A</v>
      </c>
      <c r="BS236" s="58" t="e">
        <f ca="1">'Historical - Raw data'!BC231</f>
        <v>#N/A</v>
      </c>
      <c r="BT236" s="58" t="e">
        <f ca="1">'Historical - Raw data'!BD231</f>
        <v>#N/A</v>
      </c>
      <c r="BU236" s="58" t="e">
        <f ca="1">'Historical - Raw data'!BE231</f>
        <v>#N/A</v>
      </c>
      <c r="BV236" s="58" t="e">
        <f ca="1">'Historical - Raw data'!BF231</f>
        <v>#N/A</v>
      </c>
      <c r="BW236" s="58" t="e">
        <f ca="1">'Historical - Raw data'!BG231</f>
        <v>#N/A</v>
      </c>
    </row>
    <row r="237" spans="63:75" ht="15" customHeight="1">
      <c r="BK237" s="97" t="e">
        <f>'Historical - Raw data'!AU232</f>
        <v>#N/A</v>
      </c>
      <c r="BL237" s="58" t="e">
        <f ca="1">'Historical - Raw data'!AV232</f>
        <v>#N/A</v>
      </c>
      <c r="BM237" s="58" t="e">
        <f ca="1">'Historical - Raw data'!AW232</f>
        <v>#N/A</v>
      </c>
      <c r="BN237" s="58" t="e">
        <f ca="1">'Historical - Raw data'!AX232</f>
        <v>#N/A</v>
      </c>
      <c r="BO237" s="58" t="e">
        <f ca="1">'Historical - Raw data'!AY232</f>
        <v>#N/A</v>
      </c>
      <c r="BP237" s="58" t="e">
        <f ca="1">'Historical - Raw data'!AZ232</f>
        <v>#N/A</v>
      </c>
      <c r="BQ237" s="58" t="e">
        <f ca="1">'Historical - Raw data'!BA232</f>
        <v>#N/A</v>
      </c>
      <c r="BR237" s="58" t="e">
        <f ca="1">'Historical - Raw data'!BB232</f>
        <v>#N/A</v>
      </c>
      <c r="BS237" s="58" t="e">
        <f ca="1">'Historical - Raw data'!BC232</f>
        <v>#N/A</v>
      </c>
      <c r="BT237" s="58" t="e">
        <f ca="1">'Historical - Raw data'!BD232</f>
        <v>#N/A</v>
      </c>
      <c r="BU237" s="58" t="e">
        <f ca="1">'Historical - Raw data'!BE232</f>
        <v>#N/A</v>
      </c>
      <c r="BV237" s="58" t="e">
        <f ca="1">'Historical - Raw data'!BF232</f>
        <v>#N/A</v>
      </c>
      <c r="BW237" s="58" t="e">
        <f ca="1">'Historical - Raw data'!BG232</f>
        <v>#N/A</v>
      </c>
    </row>
    <row r="238" spans="63:75" ht="15" customHeight="1">
      <c r="BK238" s="97" t="e">
        <f>'Historical - Raw data'!AU233</f>
        <v>#N/A</v>
      </c>
      <c r="BL238" s="58" t="e">
        <f ca="1">'Historical - Raw data'!AV233</f>
        <v>#N/A</v>
      </c>
      <c r="BM238" s="58" t="e">
        <f ca="1">'Historical - Raw data'!AW233</f>
        <v>#N/A</v>
      </c>
      <c r="BN238" s="58" t="e">
        <f ca="1">'Historical - Raw data'!AX233</f>
        <v>#N/A</v>
      </c>
      <c r="BO238" s="58" t="e">
        <f ca="1">'Historical - Raw data'!AY233</f>
        <v>#N/A</v>
      </c>
      <c r="BP238" s="58" t="e">
        <f ca="1">'Historical - Raw data'!AZ233</f>
        <v>#N/A</v>
      </c>
      <c r="BQ238" s="58" t="e">
        <f ca="1">'Historical - Raw data'!BA233</f>
        <v>#N/A</v>
      </c>
      <c r="BR238" s="58" t="e">
        <f ca="1">'Historical - Raw data'!BB233</f>
        <v>#N/A</v>
      </c>
      <c r="BS238" s="58" t="e">
        <f ca="1">'Historical - Raw data'!BC233</f>
        <v>#N/A</v>
      </c>
      <c r="BT238" s="58" t="e">
        <f ca="1">'Historical - Raw data'!BD233</f>
        <v>#N/A</v>
      </c>
      <c r="BU238" s="58" t="e">
        <f ca="1">'Historical - Raw data'!BE233</f>
        <v>#N/A</v>
      </c>
      <c r="BV238" s="58" t="e">
        <f ca="1">'Historical - Raw data'!BF233</f>
        <v>#N/A</v>
      </c>
      <c r="BW238" s="58" t="e">
        <f ca="1">'Historical - Raw data'!BG233</f>
        <v>#N/A</v>
      </c>
    </row>
    <row r="239" spans="63:75" ht="15" customHeight="1">
      <c r="BK239" s="97" t="e">
        <f>'Historical - Raw data'!AU234</f>
        <v>#N/A</v>
      </c>
      <c r="BL239" s="58" t="e">
        <f ca="1">'Historical - Raw data'!AV234</f>
        <v>#N/A</v>
      </c>
      <c r="BM239" s="58" t="e">
        <f ca="1">'Historical - Raw data'!AW234</f>
        <v>#N/A</v>
      </c>
      <c r="BN239" s="58" t="e">
        <f ca="1">'Historical - Raw data'!AX234</f>
        <v>#N/A</v>
      </c>
      <c r="BO239" s="58" t="e">
        <f ca="1">'Historical - Raw data'!AY234</f>
        <v>#N/A</v>
      </c>
      <c r="BP239" s="58" t="e">
        <f ca="1">'Historical - Raw data'!AZ234</f>
        <v>#N/A</v>
      </c>
      <c r="BQ239" s="58" t="e">
        <f ca="1">'Historical - Raw data'!BA234</f>
        <v>#N/A</v>
      </c>
      <c r="BR239" s="58" t="e">
        <f ca="1">'Historical - Raw data'!BB234</f>
        <v>#N/A</v>
      </c>
      <c r="BS239" s="58" t="e">
        <f ca="1">'Historical - Raw data'!BC234</f>
        <v>#N/A</v>
      </c>
      <c r="BT239" s="58" t="e">
        <f ca="1">'Historical - Raw data'!BD234</f>
        <v>#N/A</v>
      </c>
      <c r="BU239" s="58" t="e">
        <f ca="1">'Historical - Raw data'!BE234</f>
        <v>#N/A</v>
      </c>
      <c r="BV239" s="58" t="e">
        <f ca="1">'Historical - Raw data'!BF234</f>
        <v>#N/A</v>
      </c>
      <c r="BW239" s="58" t="e">
        <f ca="1">'Historical - Raw data'!BG234</f>
        <v>#N/A</v>
      </c>
    </row>
    <row r="240" spans="63:75" ht="15" customHeight="1">
      <c r="BK240" s="97" t="e">
        <f>'Historical - Raw data'!AU235</f>
        <v>#N/A</v>
      </c>
      <c r="BL240" s="58" t="e">
        <f ca="1">'Historical - Raw data'!AV235</f>
        <v>#N/A</v>
      </c>
      <c r="BM240" s="58" t="e">
        <f ca="1">'Historical - Raw data'!AW235</f>
        <v>#N/A</v>
      </c>
      <c r="BN240" s="58" t="e">
        <f ca="1">'Historical - Raw data'!AX235</f>
        <v>#N/A</v>
      </c>
      <c r="BO240" s="58" t="e">
        <f ca="1">'Historical - Raw data'!AY235</f>
        <v>#N/A</v>
      </c>
      <c r="BP240" s="58" t="e">
        <f ca="1">'Historical - Raw data'!AZ235</f>
        <v>#N/A</v>
      </c>
      <c r="BQ240" s="58" t="e">
        <f ca="1">'Historical - Raw data'!BA235</f>
        <v>#N/A</v>
      </c>
      <c r="BR240" s="58" t="e">
        <f ca="1">'Historical - Raw data'!BB235</f>
        <v>#N/A</v>
      </c>
      <c r="BS240" s="58" t="e">
        <f ca="1">'Historical - Raw data'!BC235</f>
        <v>#N/A</v>
      </c>
      <c r="BT240" s="58" t="e">
        <f ca="1">'Historical - Raw data'!BD235</f>
        <v>#N/A</v>
      </c>
      <c r="BU240" s="58" t="e">
        <f ca="1">'Historical - Raw data'!BE235</f>
        <v>#N/A</v>
      </c>
      <c r="BV240" s="58" t="e">
        <f ca="1">'Historical - Raw data'!BF235</f>
        <v>#N/A</v>
      </c>
      <c r="BW240" s="58" t="e">
        <f ca="1">'Historical - Raw data'!BG235</f>
        <v>#N/A</v>
      </c>
    </row>
    <row r="241" spans="63:75" ht="15" customHeight="1">
      <c r="BK241" s="97" t="e">
        <f>'Historical - Raw data'!AU236</f>
        <v>#N/A</v>
      </c>
      <c r="BL241" s="58" t="e">
        <f ca="1">'Historical - Raw data'!AV236</f>
        <v>#N/A</v>
      </c>
      <c r="BM241" s="58" t="e">
        <f ca="1">'Historical - Raw data'!AW236</f>
        <v>#N/A</v>
      </c>
      <c r="BN241" s="58" t="e">
        <f ca="1">'Historical - Raw data'!AX236</f>
        <v>#N/A</v>
      </c>
      <c r="BO241" s="58" t="e">
        <f ca="1">'Historical - Raw data'!AY236</f>
        <v>#N/A</v>
      </c>
      <c r="BP241" s="58" t="e">
        <f ca="1">'Historical - Raw data'!AZ236</f>
        <v>#N/A</v>
      </c>
      <c r="BQ241" s="58" t="e">
        <f ca="1">'Historical - Raw data'!BA236</f>
        <v>#N/A</v>
      </c>
      <c r="BR241" s="58" t="e">
        <f ca="1">'Historical - Raw data'!BB236</f>
        <v>#N/A</v>
      </c>
      <c r="BS241" s="58" t="e">
        <f ca="1">'Historical - Raw data'!BC236</f>
        <v>#N/A</v>
      </c>
      <c r="BT241" s="58" t="e">
        <f ca="1">'Historical - Raw data'!BD236</f>
        <v>#N/A</v>
      </c>
      <c r="BU241" s="58" t="e">
        <f ca="1">'Historical - Raw data'!BE236</f>
        <v>#N/A</v>
      </c>
      <c r="BV241" s="58" t="e">
        <f ca="1">'Historical - Raw data'!BF236</f>
        <v>#N/A</v>
      </c>
      <c r="BW241" s="58" t="e">
        <f ca="1">'Historical - Raw data'!BG236</f>
        <v>#N/A</v>
      </c>
    </row>
    <row r="242" spans="63:75" ht="15" customHeight="1">
      <c r="BK242" s="97" t="e">
        <f>'Historical - Raw data'!AU237</f>
        <v>#N/A</v>
      </c>
      <c r="BL242" s="58" t="e">
        <f ca="1">'Historical - Raw data'!AV237</f>
        <v>#N/A</v>
      </c>
      <c r="BM242" s="58" t="e">
        <f ca="1">'Historical - Raw data'!AW237</f>
        <v>#N/A</v>
      </c>
      <c r="BN242" s="58" t="e">
        <f ca="1">'Historical - Raw data'!AX237</f>
        <v>#N/A</v>
      </c>
      <c r="BO242" s="58" t="e">
        <f ca="1">'Historical - Raw data'!AY237</f>
        <v>#N/A</v>
      </c>
      <c r="BP242" s="58" t="e">
        <f ca="1">'Historical - Raw data'!AZ237</f>
        <v>#N/A</v>
      </c>
      <c r="BQ242" s="58" t="e">
        <f ca="1">'Historical - Raw data'!BA237</f>
        <v>#N/A</v>
      </c>
      <c r="BR242" s="58" t="e">
        <f ca="1">'Historical - Raw data'!BB237</f>
        <v>#N/A</v>
      </c>
      <c r="BS242" s="58" t="e">
        <f ca="1">'Historical - Raw data'!BC237</f>
        <v>#N/A</v>
      </c>
      <c r="BT242" s="58" t="e">
        <f ca="1">'Historical - Raw data'!BD237</f>
        <v>#N/A</v>
      </c>
      <c r="BU242" s="58" t="e">
        <f ca="1">'Historical - Raw data'!BE237</f>
        <v>#N/A</v>
      </c>
      <c r="BV242" s="58" t="e">
        <f ca="1">'Historical - Raw data'!BF237</f>
        <v>#N/A</v>
      </c>
      <c r="BW242" s="58" t="e">
        <f ca="1">'Historical - Raw data'!BG237</f>
        <v>#N/A</v>
      </c>
    </row>
    <row r="243" spans="63:75" ht="15" customHeight="1">
      <c r="BK243" s="97" t="e">
        <f>'Historical - Raw data'!AU238</f>
        <v>#N/A</v>
      </c>
      <c r="BL243" s="58" t="e">
        <f ca="1">'Historical - Raw data'!AV238</f>
        <v>#N/A</v>
      </c>
      <c r="BM243" s="58" t="e">
        <f ca="1">'Historical - Raw data'!AW238</f>
        <v>#N/A</v>
      </c>
      <c r="BN243" s="58" t="e">
        <f ca="1">'Historical - Raw data'!AX238</f>
        <v>#N/A</v>
      </c>
      <c r="BO243" s="58" t="e">
        <f ca="1">'Historical - Raw data'!AY238</f>
        <v>#N/A</v>
      </c>
      <c r="BP243" s="58" t="e">
        <f ca="1">'Historical - Raw data'!AZ238</f>
        <v>#N/A</v>
      </c>
      <c r="BQ243" s="58" t="e">
        <f ca="1">'Historical - Raw data'!BA238</f>
        <v>#N/A</v>
      </c>
      <c r="BR243" s="58" t="e">
        <f ca="1">'Historical - Raw data'!BB238</f>
        <v>#N/A</v>
      </c>
      <c r="BS243" s="58" t="e">
        <f ca="1">'Historical - Raw data'!BC238</f>
        <v>#N/A</v>
      </c>
      <c r="BT243" s="58" t="e">
        <f ca="1">'Historical - Raw data'!BD238</f>
        <v>#N/A</v>
      </c>
      <c r="BU243" s="58" t="e">
        <f ca="1">'Historical - Raw data'!BE238</f>
        <v>#N/A</v>
      </c>
      <c r="BV243" s="58" t="e">
        <f ca="1">'Historical - Raw data'!BF238</f>
        <v>#N/A</v>
      </c>
      <c r="BW243" s="58" t="e">
        <f ca="1">'Historical - Raw data'!BG238</f>
        <v>#N/A</v>
      </c>
    </row>
    <row r="244" spans="63:75" ht="15" customHeight="1">
      <c r="BK244" s="97" t="e">
        <f>'Historical - Raw data'!AU239</f>
        <v>#N/A</v>
      </c>
      <c r="BL244" s="58" t="e">
        <f ca="1">'Historical - Raw data'!AV239</f>
        <v>#N/A</v>
      </c>
      <c r="BM244" s="58" t="e">
        <f ca="1">'Historical - Raw data'!AW239</f>
        <v>#N/A</v>
      </c>
      <c r="BN244" s="58" t="e">
        <f ca="1">'Historical - Raw data'!AX239</f>
        <v>#N/A</v>
      </c>
      <c r="BO244" s="58" t="e">
        <f ca="1">'Historical - Raw data'!AY239</f>
        <v>#N/A</v>
      </c>
      <c r="BP244" s="58" t="e">
        <f ca="1">'Historical - Raw data'!AZ239</f>
        <v>#N/A</v>
      </c>
      <c r="BQ244" s="58" t="e">
        <f ca="1">'Historical - Raw data'!BA239</f>
        <v>#N/A</v>
      </c>
      <c r="BR244" s="58" t="e">
        <f ca="1">'Historical - Raw data'!BB239</f>
        <v>#N/A</v>
      </c>
      <c r="BS244" s="58" t="e">
        <f ca="1">'Historical - Raw data'!BC239</f>
        <v>#N/A</v>
      </c>
      <c r="BT244" s="58" t="e">
        <f ca="1">'Historical - Raw data'!BD239</f>
        <v>#N/A</v>
      </c>
      <c r="BU244" s="58" t="e">
        <f ca="1">'Historical - Raw data'!BE239</f>
        <v>#N/A</v>
      </c>
      <c r="BV244" s="58" t="e">
        <f ca="1">'Historical - Raw data'!BF239</f>
        <v>#N/A</v>
      </c>
      <c r="BW244" s="58" t="e">
        <f ca="1">'Historical - Raw data'!BG239</f>
        <v>#N/A</v>
      </c>
    </row>
    <row r="245" spans="63:75" ht="15" customHeight="1">
      <c r="BK245" s="97" t="e">
        <f>'Historical - Raw data'!AU240</f>
        <v>#N/A</v>
      </c>
      <c r="BL245" s="58" t="e">
        <f ca="1">'Historical - Raw data'!AV240</f>
        <v>#N/A</v>
      </c>
      <c r="BM245" s="58" t="e">
        <f ca="1">'Historical - Raw data'!AW240</f>
        <v>#N/A</v>
      </c>
      <c r="BN245" s="58" t="e">
        <f ca="1">'Historical - Raw data'!AX240</f>
        <v>#N/A</v>
      </c>
      <c r="BO245" s="58" t="e">
        <f ca="1">'Historical - Raw data'!AY240</f>
        <v>#N/A</v>
      </c>
      <c r="BP245" s="58" t="e">
        <f ca="1">'Historical - Raw data'!AZ240</f>
        <v>#N/A</v>
      </c>
      <c r="BQ245" s="58" t="e">
        <f ca="1">'Historical - Raw data'!BA240</f>
        <v>#N/A</v>
      </c>
      <c r="BR245" s="58" t="e">
        <f ca="1">'Historical - Raw data'!BB240</f>
        <v>#N/A</v>
      </c>
      <c r="BS245" s="58" t="e">
        <f ca="1">'Historical - Raw data'!BC240</f>
        <v>#N/A</v>
      </c>
      <c r="BT245" s="58" t="e">
        <f ca="1">'Historical - Raw data'!BD240</f>
        <v>#N/A</v>
      </c>
      <c r="BU245" s="58" t="e">
        <f ca="1">'Historical - Raw data'!BE240</f>
        <v>#N/A</v>
      </c>
      <c r="BV245" s="58" t="e">
        <f ca="1">'Historical - Raw data'!BF240</f>
        <v>#N/A</v>
      </c>
      <c r="BW245" s="58" t="e">
        <f ca="1">'Historical - Raw data'!BG240</f>
        <v>#N/A</v>
      </c>
    </row>
    <row r="246" spans="63:75" ht="15" customHeight="1">
      <c r="BK246" s="97" t="e">
        <f>'Historical - Raw data'!AU241</f>
        <v>#N/A</v>
      </c>
      <c r="BL246" s="58" t="e">
        <f ca="1">'Historical - Raw data'!AV241</f>
        <v>#N/A</v>
      </c>
      <c r="BM246" s="58" t="e">
        <f ca="1">'Historical - Raw data'!AW241</f>
        <v>#N/A</v>
      </c>
      <c r="BN246" s="58" t="e">
        <f ca="1">'Historical - Raw data'!AX241</f>
        <v>#N/A</v>
      </c>
      <c r="BO246" s="58" t="e">
        <f ca="1">'Historical - Raw data'!AY241</f>
        <v>#N/A</v>
      </c>
      <c r="BP246" s="58" t="e">
        <f ca="1">'Historical - Raw data'!AZ241</f>
        <v>#N/A</v>
      </c>
      <c r="BQ246" s="58" t="e">
        <f ca="1">'Historical - Raw data'!BA241</f>
        <v>#N/A</v>
      </c>
      <c r="BR246" s="58" t="e">
        <f ca="1">'Historical - Raw data'!BB241</f>
        <v>#N/A</v>
      </c>
      <c r="BS246" s="58" t="e">
        <f ca="1">'Historical - Raw data'!BC241</f>
        <v>#N/A</v>
      </c>
      <c r="BT246" s="58" t="e">
        <f ca="1">'Historical - Raw data'!BD241</f>
        <v>#N/A</v>
      </c>
      <c r="BU246" s="58" t="e">
        <f ca="1">'Historical - Raw data'!BE241</f>
        <v>#N/A</v>
      </c>
      <c r="BV246" s="58" t="e">
        <f ca="1">'Historical - Raw data'!BF241</f>
        <v>#N/A</v>
      </c>
      <c r="BW246" s="58" t="e">
        <f ca="1">'Historical - Raw data'!BG241</f>
        <v>#N/A</v>
      </c>
    </row>
    <row r="247" spans="63:75" ht="15" customHeight="1">
      <c r="BK247" s="97" t="e">
        <f>'Historical - Raw data'!AU242</f>
        <v>#N/A</v>
      </c>
      <c r="BL247" s="58" t="e">
        <f ca="1">'Historical - Raw data'!AV242</f>
        <v>#N/A</v>
      </c>
      <c r="BM247" s="58" t="e">
        <f ca="1">'Historical - Raw data'!AW242</f>
        <v>#N/A</v>
      </c>
      <c r="BN247" s="58" t="e">
        <f ca="1">'Historical - Raw data'!AX242</f>
        <v>#N/A</v>
      </c>
      <c r="BO247" s="58" t="e">
        <f ca="1">'Historical - Raw data'!AY242</f>
        <v>#N/A</v>
      </c>
      <c r="BP247" s="58" t="e">
        <f ca="1">'Historical - Raw data'!AZ242</f>
        <v>#N/A</v>
      </c>
      <c r="BQ247" s="58" t="e">
        <f ca="1">'Historical - Raw data'!BA242</f>
        <v>#N/A</v>
      </c>
      <c r="BR247" s="58" t="e">
        <f ca="1">'Historical - Raw data'!BB242</f>
        <v>#N/A</v>
      </c>
      <c r="BS247" s="58" t="e">
        <f ca="1">'Historical - Raw data'!BC242</f>
        <v>#N/A</v>
      </c>
      <c r="BT247" s="58" t="e">
        <f ca="1">'Historical - Raw data'!BD242</f>
        <v>#N/A</v>
      </c>
      <c r="BU247" s="58" t="e">
        <f ca="1">'Historical - Raw data'!BE242</f>
        <v>#N/A</v>
      </c>
      <c r="BV247" s="58" t="e">
        <f ca="1">'Historical - Raw data'!BF242</f>
        <v>#N/A</v>
      </c>
      <c r="BW247" s="58" t="e">
        <f ca="1">'Historical - Raw data'!BG242</f>
        <v>#N/A</v>
      </c>
    </row>
    <row r="248" spans="63:75" ht="15" customHeight="1">
      <c r="BK248" s="97" t="e">
        <f>'Historical - Raw data'!AU243</f>
        <v>#N/A</v>
      </c>
      <c r="BL248" s="58" t="e">
        <f ca="1">'Historical - Raw data'!AV243</f>
        <v>#N/A</v>
      </c>
      <c r="BM248" s="58" t="e">
        <f ca="1">'Historical - Raw data'!AW243</f>
        <v>#N/A</v>
      </c>
      <c r="BN248" s="58" t="e">
        <f ca="1">'Historical - Raw data'!AX243</f>
        <v>#N/A</v>
      </c>
      <c r="BO248" s="58" t="e">
        <f ca="1">'Historical - Raw data'!AY243</f>
        <v>#N/A</v>
      </c>
      <c r="BP248" s="58" t="e">
        <f ca="1">'Historical - Raw data'!AZ243</f>
        <v>#N/A</v>
      </c>
      <c r="BQ248" s="58" t="e">
        <f ca="1">'Historical - Raw data'!BA243</f>
        <v>#N/A</v>
      </c>
      <c r="BR248" s="58" t="e">
        <f ca="1">'Historical - Raw data'!BB243</f>
        <v>#N/A</v>
      </c>
      <c r="BS248" s="58" t="e">
        <f ca="1">'Historical - Raw data'!BC243</f>
        <v>#N/A</v>
      </c>
      <c r="BT248" s="58" t="e">
        <f ca="1">'Historical - Raw data'!BD243</f>
        <v>#N/A</v>
      </c>
      <c r="BU248" s="58" t="e">
        <f ca="1">'Historical - Raw data'!BE243</f>
        <v>#N/A</v>
      </c>
      <c r="BV248" s="58" t="e">
        <f ca="1">'Historical - Raw data'!BF243</f>
        <v>#N/A</v>
      </c>
      <c r="BW248" s="58" t="e">
        <f ca="1">'Historical - Raw data'!BG243</f>
        <v>#N/A</v>
      </c>
    </row>
    <row r="249" spans="63:75" ht="15" customHeight="1">
      <c r="BK249" s="97" t="e">
        <f>'Historical - Raw data'!AU244</f>
        <v>#N/A</v>
      </c>
      <c r="BL249" s="58" t="e">
        <f ca="1">'Historical - Raw data'!AV244</f>
        <v>#N/A</v>
      </c>
      <c r="BM249" s="58" t="e">
        <f ca="1">'Historical - Raw data'!AW244</f>
        <v>#N/A</v>
      </c>
      <c r="BN249" s="58" t="e">
        <f ca="1">'Historical - Raw data'!AX244</f>
        <v>#N/A</v>
      </c>
      <c r="BO249" s="58" t="e">
        <f ca="1">'Historical - Raw data'!AY244</f>
        <v>#N/A</v>
      </c>
      <c r="BP249" s="58" t="e">
        <f ca="1">'Historical - Raw data'!AZ244</f>
        <v>#N/A</v>
      </c>
      <c r="BQ249" s="58" t="e">
        <f ca="1">'Historical - Raw data'!BA244</f>
        <v>#N/A</v>
      </c>
      <c r="BR249" s="58" t="e">
        <f ca="1">'Historical - Raw data'!BB244</f>
        <v>#N/A</v>
      </c>
      <c r="BS249" s="58" t="e">
        <f ca="1">'Historical - Raw data'!BC244</f>
        <v>#N/A</v>
      </c>
      <c r="BT249" s="58" t="e">
        <f ca="1">'Historical - Raw data'!BD244</f>
        <v>#N/A</v>
      </c>
      <c r="BU249" s="58" t="e">
        <f ca="1">'Historical - Raw data'!BE244</f>
        <v>#N/A</v>
      </c>
      <c r="BV249" s="58" t="e">
        <f ca="1">'Historical - Raw data'!BF244</f>
        <v>#N/A</v>
      </c>
      <c r="BW249" s="58" t="e">
        <f ca="1">'Historical - Raw data'!BG244</f>
        <v>#N/A</v>
      </c>
    </row>
    <row r="250" spans="63:75" ht="15" customHeight="1">
      <c r="BK250" s="97" t="e">
        <f>'Historical - Raw data'!AU245</f>
        <v>#N/A</v>
      </c>
      <c r="BL250" s="58" t="e">
        <f ca="1">'Historical - Raw data'!AV245</f>
        <v>#N/A</v>
      </c>
      <c r="BM250" s="58" t="e">
        <f ca="1">'Historical - Raw data'!AW245</f>
        <v>#N/A</v>
      </c>
      <c r="BN250" s="58" t="e">
        <f ca="1">'Historical - Raw data'!AX245</f>
        <v>#N/A</v>
      </c>
      <c r="BO250" s="58" t="e">
        <f ca="1">'Historical - Raw data'!AY245</f>
        <v>#N/A</v>
      </c>
      <c r="BP250" s="58" t="e">
        <f ca="1">'Historical - Raw data'!AZ245</f>
        <v>#N/A</v>
      </c>
      <c r="BQ250" s="58" t="e">
        <f ca="1">'Historical - Raw data'!BA245</f>
        <v>#N/A</v>
      </c>
      <c r="BR250" s="58" t="e">
        <f ca="1">'Historical - Raw data'!BB245</f>
        <v>#N/A</v>
      </c>
      <c r="BS250" s="58" t="e">
        <f ca="1">'Historical - Raw data'!BC245</f>
        <v>#N/A</v>
      </c>
      <c r="BT250" s="58" t="e">
        <f ca="1">'Historical - Raw data'!BD245</f>
        <v>#N/A</v>
      </c>
      <c r="BU250" s="58" t="e">
        <f ca="1">'Historical - Raw data'!BE245</f>
        <v>#N/A</v>
      </c>
      <c r="BV250" s="58" t="e">
        <f ca="1">'Historical - Raw data'!BF245</f>
        <v>#N/A</v>
      </c>
      <c r="BW250" s="58" t="e">
        <f ca="1">'Historical - Raw data'!BG245</f>
        <v>#N/A</v>
      </c>
    </row>
    <row r="251" spans="63:75" ht="15" customHeight="1">
      <c r="BK251" s="97" t="e">
        <f>'Historical - Raw data'!AU246</f>
        <v>#N/A</v>
      </c>
      <c r="BL251" s="58" t="e">
        <f ca="1">'Historical - Raw data'!AV246</f>
        <v>#N/A</v>
      </c>
      <c r="BM251" s="58" t="e">
        <f ca="1">'Historical - Raw data'!AW246</f>
        <v>#N/A</v>
      </c>
      <c r="BN251" s="58" t="e">
        <f ca="1">'Historical - Raw data'!AX246</f>
        <v>#N/A</v>
      </c>
      <c r="BO251" s="58" t="e">
        <f ca="1">'Historical - Raw data'!AY246</f>
        <v>#N/A</v>
      </c>
      <c r="BP251" s="58" t="e">
        <f ca="1">'Historical - Raw data'!AZ246</f>
        <v>#N/A</v>
      </c>
      <c r="BQ251" s="58" t="e">
        <f ca="1">'Historical - Raw data'!BA246</f>
        <v>#N/A</v>
      </c>
      <c r="BR251" s="58" t="e">
        <f ca="1">'Historical - Raw data'!BB246</f>
        <v>#N/A</v>
      </c>
      <c r="BS251" s="58" t="e">
        <f ca="1">'Historical - Raw data'!BC246</f>
        <v>#N/A</v>
      </c>
      <c r="BT251" s="58" t="e">
        <f ca="1">'Historical - Raw data'!BD246</f>
        <v>#N/A</v>
      </c>
      <c r="BU251" s="58" t="e">
        <f ca="1">'Historical - Raw data'!BE246</f>
        <v>#N/A</v>
      </c>
      <c r="BV251" s="58" t="e">
        <f ca="1">'Historical - Raw data'!BF246</f>
        <v>#N/A</v>
      </c>
      <c r="BW251" s="58" t="e">
        <f ca="1">'Historical - Raw data'!BG246</f>
        <v>#N/A</v>
      </c>
    </row>
    <row r="252" spans="63:75" ht="15" customHeight="1">
      <c r="BK252" s="97" t="e">
        <f>'Historical - Raw data'!AU247</f>
        <v>#N/A</v>
      </c>
      <c r="BL252" s="58" t="e">
        <f ca="1">'Historical - Raw data'!AV247</f>
        <v>#N/A</v>
      </c>
      <c r="BM252" s="58" t="e">
        <f ca="1">'Historical - Raw data'!AW247</f>
        <v>#N/A</v>
      </c>
      <c r="BN252" s="58" t="e">
        <f ca="1">'Historical - Raw data'!AX247</f>
        <v>#N/A</v>
      </c>
      <c r="BO252" s="58" t="e">
        <f ca="1">'Historical - Raw data'!AY247</f>
        <v>#N/A</v>
      </c>
      <c r="BP252" s="58" t="e">
        <f ca="1">'Historical - Raw data'!AZ247</f>
        <v>#N/A</v>
      </c>
      <c r="BQ252" s="58" t="e">
        <f ca="1">'Historical - Raw data'!BA247</f>
        <v>#N/A</v>
      </c>
      <c r="BR252" s="58" t="e">
        <f ca="1">'Historical - Raw data'!BB247</f>
        <v>#N/A</v>
      </c>
      <c r="BS252" s="58" t="e">
        <f ca="1">'Historical - Raw data'!BC247</f>
        <v>#N/A</v>
      </c>
      <c r="BT252" s="58" t="e">
        <f ca="1">'Historical - Raw data'!BD247</f>
        <v>#N/A</v>
      </c>
      <c r="BU252" s="58" t="e">
        <f ca="1">'Historical - Raw data'!BE247</f>
        <v>#N/A</v>
      </c>
      <c r="BV252" s="58" t="e">
        <f ca="1">'Historical - Raw data'!BF247</f>
        <v>#N/A</v>
      </c>
      <c r="BW252" s="58" t="e">
        <f ca="1">'Historical - Raw data'!BG247</f>
        <v>#N/A</v>
      </c>
    </row>
    <row r="253" spans="63:75" ht="15" customHeight="1">
      <c r="BK253" s="97" t="e">
        <f>'Historical - Raw data'!AU248</f>
        <v>#N/A</v>
      </c>
      <c r="BL253" s="58" t="e">
        <f ca="1">'Historical - Raw data'!AV248</f>
        <v>#N/A</v>
      </c>
      <c r="BM253" s="58" t="e">
        <f ca="1">'Historical - Raw data'!AW248</f>
        <v>#N/A</v>
      </c>
      <c r="BN253" s="58" t="e">
        <f ca="1">'Historical - Raw data'!AX248</f>
        <v>#N/A</v>
      </c>
      <c r="BO253" s="58" t="e">
        <f ca="1">'Historical - Raw data'!AY248</f>
        <v>#N/A</v>
      </c>
      <c r="BP253" s="58" t="e">
        <f ca="1">'Historical - Raw data'!AZ248</f>
        <v>#N/A</v>
      </c>
      <c r="BQ253" s="58" t="e">
        <f ca="1">'Historical - Raw data'!BA248</f>
        <v>#N/A</v>
      </c>
      <c r="BR253" s="58" t="e">
        <f ca="1">'Historical - Raw data'!BB248</f>
        <v>#N/A</v>
      </c>
      <c r="BS253" s="58" t="e">
        <f ca="1">'Historical - Raw data'!BC248</f>
        <v>#N/A</v>
      </c>
      <c r="BT253" s="58" t="e">
        <f ca="1">'Historical - Raw data'!BD248</f>
        <v>#N/A</v>
      </c>
      <c r="BU253" s="58" t="e">
        <f ca="1">'Historical - Raw data'!BE248</f>
        <v>#N/A</v>
      </c>
      <c r="BV253" s="58" t="e">
        <f ca="1">'Historical - Raw data'!BF248</f>
        <v>#N/A</v>
      </c>
      <c r="BW253" s="58" t="e">
        <f ca="1">'Historical - Raw data'!BG248</f>
        <v>#N/A</v>
      </c>
    </row>
    <row r="254" spans="63:75" ht="15" customHeight="1">
      <c r="BK254" s="97" t="e">
        <f>'Historical - Raw data'!AU249</f>
        <v>#N/A</v>
      </c>
      <c r="BL254" s="58" t="e">
        <f ca="1">'Historical - Raw data'!AV249</f>
        <v>#N/A</v>
      </c>
      <c r="BM254" s="58" t="e">
        <f ca="1">'Historical - Raw data'!AW249</f>
        <v>#N/A</v>
      </c>
      <c r="BN254" s="58" t="e">
        <f ca="1">'Historical - Raw data'!AX249</f>
        <v>#N/A</v>
      </c>
      <c r="BO254" s="58" t="e">
        <f ca="1">'Historical - Raw data'!AY249</f>
        <v>#N/A</v>
      </c>
      <c r="BP254" s="58" t="e">
        <f ca="1">'Historical - Raw data'!AZ249</f>
        <v>#N/A</v>
      </c>
      <c r="BQ254" s="58" t="e">
        <f ca="1">'Historical - Raw data'!BA249</f>
        <v>#N/A</v>
      </c>
      <c r="BR254" s="58" t="e">
        <f ca="1">'Historical - Raw data'!BB249</f>
        <v>#N/A</v>
      </c>
      <c r="BS254" s="58" t="e">
        <f ca="1">'Historical - Raw data'!BC249</f>
        <v>#N/A</v>
      </c>
      <c r="BT254" s="58" t="e">
        <f ca="1">'Historical - Raw data'!BD249</f>
        <v>#N/A</v>
      </c>
      <c r="BU254" s="58" t="e">
        <f ca="1">'Historical - Raw data'!BE249</f>
        <v>#N/A</v>
      </c>
      <c r="BV254" s="58" t="e">
        <f ca="1">'Historical - Raw data'!BF249</f>
        <v>#N/A</v>
      </c>
      <c r="BW254" s="58" t="e">
        <f ca="1">'Historical - Raw data'!BG249</f>
        <v>#N/A</v>
      </c>
    </row>
    <row r="255" spans="63:75" ht="15" customHeight="1">
      <c r="BK255" s="97" t="e">
        <f>'Historical - Raw data'!AU250</f>
        <v>#N/A</v>
      </c>
      <c r="BL255" s="58" t="e">
        <f ca="1">'Historical - Raw data'!AV250</f>
        <v>#N/A</v>
      </c>
      <c r="BM255" s="58" t="e">
        <f ca="1">'Historical - Raw data'!AW250</f>
        <v>#N/A</v>
      </c>
      <c r="BN255" s="58" t="e">
        <f ca="1">'Historical - Raw data'!AX250</f>
        <v>#N/A</v>
      </c>
      <c r="BO255" s="58" t="e">
        <f ca="1">'Historical - Raw data'!AY250</f>
        <v>#N/A</v>
      </c>
      <c r="BP255" s="58" t="e">
        <f ca="1">'Historical - Raw data'!AZ250</f>
        <v>#N/A</v>
      </c>
      <c r="BQ255" s="58" t="e">
        <f ca="1">'Historical - Raw data'!BA250</f>
        <v>#N/A</v>
      </c>
      <c r="BR255" s="58" t="e">
        <f ca="1">'Historical - Raw data'!BB250</f>
        <v>#N/A</v>
      </c>
      <c r="BS255" s="58" t="e">
        <f ca="1">'Historical - Raw data'!BC250</f>
        <v>#N/A</v>
      </c>
      <c r="BT255" s="58" t="e">
        <f ca="1">'Historical - Raw data'!BD250</f>
        <v>#N/A</v>
      </c>
      <c r="BU255" s="58" t="e">
        <f ca="1">'Historical - Raw data'!BE250</f>
        <v>#N/A</v>
      </c>
      <c r="BV255" s="58" t="e">
        <f ca="1">'Historical - Raw data'!BF250</f>
        <v>#N/A</v>
      </c>
      <c r="BW255" s="58" t="e">
        <f ca="1">'Historical - Raw data'!BG250</f>
        <v>#N/A</v>
      </c>
    </row>
    <row r="256" spans="63:75" ht="15" customHeight="1">
      <c r="BK256" s="97" t="e">
        <f>'Historical - Raw data'!AU251</f>
        <v>#N/A</v>
      </c>
      <c r="BL256" s="58" t="e">
        <f ca="1">'Historical - Raw data'!AV251</f>
        <v>#N/A</v>
      </c>
      <c r="BM256" s="58" t="e">
        <f ca="1">'Historical - Raw data'!AW251</f>
        <v>#N/A</v>
      </c>
      <c r="BN256" s="58" t="e">
        <f ca="1">'Historical - Raw data'!AX251</f>
        <v>#N/A</v>
      </c>
      <c r="BO256" s="58" t="e">
        <f ca="1">'Historical - Raw data'!AY251</f>
        <v>#N/A</v>
      </c>
      <c r="BP256" s="58" t="e">
        <f ca="1">'Historical - Raw data'!AZ251</f>
        <v>#N/A</v>
      </c>
      <c r="BQ256" s="58" t="e">
        <f ca="1">'Historical - Raw data'!BA251</f>
        <v>#N/A</v>
      </c>
      <c r="BR256" s="58" t="e">
        <f ca="1">'Historical - Raw data'!BB251</f>
        <v>#N/A</v>
      </c>
      <c r="BS256" s="58" t="e">
        <f ca="1">'Historical - Raw data'!BC251</f>
        <v>#N/A</v>
      </c>
      <c r="BT256" s="58" t="e">
        <f ca="1">'Historical - Raw data'!BD251</f>
        <v>#N/A</v>
      </c>
      <c r="BU256" s="58" t="e">
        <f ca="1">'Historical - Raw data'!BE251</f>
        <v>#N/A</v>
      </c>
      <c r="BV256" s="58" t="e">
        <f ca="1">'Historical - Raw data'!BF251</f>
        <v>#N/A</v>
      </c>
      <c r="BW256" s="58" t="e">
        <f ca="1">'Historical - Raw data'!BG251</f>
        <v>#N/A</v>
      </c>
    </row>
    <row r="257" spans="63:75" ht="15" customHeight="1">
      <c r="BK257" s="97" t="e">
        <f>'Historical - Raw data'!AU252</f>
        <v>#N/A</v>
      </c>
      <c r="BL257" s="58" t="e">
        <f ca="1">'Historical - Raw data'!AV252</f>
        <v>#N/A</v>
      </c>
      <c r="BM257" s="58" t="e">
        <f ca="1">'Historical - Raw data'!AW252</f>
        <v>#N/A</v>
      </c>
      <c r="BN257" s="58" t="e">
        <f ca="1">'Historical - Raw data'!AX252</f>
        <v>#N/A</v>
      </c>
      <c r="BO257" s="58" t="e">
        <f ca="1">'Historical - Raw data'!AY252</f>
        <v>#N/A</v>
      </c>
      <c r="BP257" s="58" t="e">
        <f ca="1">'Historical - Raw data'!AZ252</f>
        <v>#N/A</v>
      </c>
      <c r="BQ257" s="58" t="e">
        <f ca="1">'Historical - Raw data'!BA252</f>
        <v>#N/A</v>
      </c>
      <c r="BR257" s="58" t="e">
        <f ca="1">'Historical - Raw data'!BB252</f>
        <v>#N/A</v>
      </c>
      <c r="BS257" s="58" t="e">
        <f ca="1">'Historical - Raw data'!BC252</f>
        <v>#N/A</v>
      </c>
      <c r="BT257" s="58" t="e">
        <f ca="1">'Historical - Raw data'!BD252</f>
        <v>#N/A</v>
      </c>
      <c r="BU257" s="58" t="e">
        <f ca="1">'Historical - Raw data'!BE252</f>
        <v>#N/A</v>
      </c>
      <c r="BV257" s="58" t="e">
        <f ca="1">'Historical - Raw data'!BF252</f>
        <v>#N/A</v>
      </c>
      <c r="BW257" s="58" t="e">
        <f ca="1">'Historical - Raw data'!BG252</f>
        <v>#N/A</v>
      </c>
    </row>
    <row r="258" spans="63:75" ht="15" customHeight="1">
      <c r="BK258" s="97" t="e">
        <f>'Historical - Raw data'!AU253</f>
        <v>#N/A</v>
      </c>
      <c r="BL258" s="58" t="e">
        <f ca="1">'Historical - Raw data'!AV253</f>
        <v>#N/A</v>
      </c>
      <c r="BM258" s="58" t="e">
        <f ca="1">'Historical - Raw data'!AW253</f>
        <v>#N/A</v>
      </c>
      <c r="BN258" s="58" t="e">
        <f ca="1">'Historical - Raw data'!AX253</f>
        <v>#N/A</v>
      </c>
      <c r="BO258" s="58" t="e">
        <f ca="1">'Historical - Raw data'!AY253</f>
        <v>#N/A</v>
      </c>
      <c r="BP258" s="58" t="e">
        <f ca="1">'Historical - Raw data'!AZ253</f>
        <v>#N/A</v>
      </c>
      <c r="BQ258" s="58" t="e">
        <f ca="1">'Historical - Raw data'!BA253</f>
        <v>#N/A</v>
      </c>
      <c r="BR258" s="58" t="e">
        <f ca="1">'Historical - Raw data'!BB253</f>
        <v>#N/A</v>
      </c>
      <c r="BS258" s="58" t="e">
        <f ca="1">'Historical - Raw data'!BC253</f>
        <v>#N/A</v>
      </c>
      <c r="BT258" s="58" t="e">
        <f ca="1">'Historical - Raw data'!BD253</f>
        <v>#N/A</v>
      </c>
      <c r="BU258" s="58" t="e">
        <f ca="1">'Historical - Raw data'!BE253</f>
        <v>#N/A</v>
      </c>
      <c r="BV258" s="58" t="e">
        <f ca="1">'Historical - Raw data'!BF253</f>
        <v>#N/A</v>
      </c>
      <c r="BW258" s="58" t="e">
        <f ca="1">'Historical - Raw data'!BG253</f>
        <v>#N/A</v>
      </c>
    </row>
    <row r="259" spans="63:75" ht="15" customHeight="1">
      <c r="BK259" s="97" t="e">
        <f>'Historical - Raw data'!AU254</f>
        <v>#N/A</v>
      </c>
      <c r="BL259" s="58" t="e">
        <f ca="1">'Historical - Raw data'!AV254</f>
        <v>#N/A</v>
      </c>
      <c r="BM259" s="58" t="e">
        <f ca="1">'Historical - Raw data'!AW254</f>
        <v>#N/A</v>
      </c>
      <c r="BN259" s="58" t="e">
        <f ca="1">'Historical - Raw data'!AX254</f>
        <v>#N/A</v>
      </c>
      <c r="BO259" s="58" t="e">
        <f ca="1">'Historical - Raw data'!AY254</f>
        <v>#N/A</v>
      </c>
      <c r="BP259" s="58" t="e">
        <f ca="1">'Historical - Raw data'!AZ254</f>
        <v>#N/A</v>
      </c>
      <c r="BQ259" s="58" t="e">
        <f ca="1">'Historical - Raw data'!BA254</f>
        <v>#N/A</v>
      </c>
      <c r="BR259" s="58" t="e">
        <f ca="1">'Historical - Raw data'!BB254</f>
        <v>#N/A</v>
      </c>
      <c r="BS259" s="58" t="e">
        <f ca="1">'Historical - Raw data'!BC254</f>
        <v>#N/A</v>
      </c>
      <c r="BT259" s="58" t="e">
        <f ca="1">'Historical - Raw data'!BD254</f>
        <v>#N/A</v>
      </c>
      <c r="BU259" s="58" t="e">
        <f ca="1">'Historical - Raw data'!BE254</f>
        <v>#N/A</v>
      </c>
      <c r="BV259" s="58" t="e">
        <f ca="1">'Historical - Raw data'!BF254</f>
        <v>#N/A</v>
      </c>
      <c r="BW259" s="58" t="e">
        <f ca="1">'Historical - Raw data'!BG254</f>
        <v>#N/A</v>
      </c>
    </row>
    <row r="260" spans="63:75" ht="15" customHeight="1">
      <c r="BK260" s="97" t="e">
        <f>'Historical - Raw data'!AU255</f>
        <v>#N/A</v>
      </c>
      <c r="BL260" s="58" t="e">
        <f ca="1">'Historical - Raw data'!AV255</f>
        <v>#N/A</v>
      </c>
      <c r="BM260" s="58" t="e">
        <f ca="1">'Historical - Raw data'!AW255</f>
        <v>#N/A</v>
      </c>
      <c r="BN260" s="58" t="e">
        <f ca="1">'Historical - Raw data'!AX255</f>
        <v>#N/A</v>
      </c>
      <c r="BO260" s="58" t="e">
        <f ca="1">'Historical - Raw data'!AY255</f>
        <v>#N/A</v>
      </c>
      <c r="BP260" s="58" t="e">
        <f ca="1">'Historical - Raw data'!AZ255</f>
        <v>#N/A</v>
      </c>
      <c r="BQ260" s="58" t="e">
        <f ca="1">'Historical - Raw data'!BA255</f>
        <v>#N/A</v>
      </c>
      <c r="BR260" s="58" t="e">
        <f ca="1">'Historical - Raw data'!BB255</f>
        <v>#N/A</v>
      </c>
      <c r="BS260" s="58" t="e">
        <f ca="1">'Historical - Raw data'!BC255</f>
        <v>#N/A</v>
      </c>
      <c r="BT260" s="58" t="e">
        <f ca="1">'Historical - Raw data'!BD255</f>
        <v>#N/A</v>
      </c>
      <c r="BU260" s="58" t="e">
        <f ca="1">'Historical - Raw data'!BE255</f>
        <v>#N/A</v>
      </c>
      <c r="BV260" s="58" t="e">
        <f ca="1">'Historical - Raw data'!BF255</f>
        <v>#N/A</v>
      </c>
      <c r="BW260" s="58" t="e">
        <f ca="1">'Historical - Raw data'!BG255</f>
        <v>#N/A</v>
      </c>
    </row>
    <row r="261" spans="63:75" ht="15" customHeight="1">
      <c r="BK261" s="97" t="e">
        <f>'Historical - Raw data'!AU256</f>
        <v>#N/A</v>
      </c>
      <c r="BL261" s="58" t="e">
        <f ca="1">'Historical - Raw data'!AV256</f>
        <v>#N/A</v>
      </c>
      <c r="BM261" s="58" t="e">
        <f ca="1">'Historical - Raw data'!AW256</f>
        <v>#N/A</v>
      </c>
      <c r="BN261" s="58" t="e">
        <f ca="1">'Historical - Raw data'!AX256</f>
        <v>#N/A</v>
      </c>
      <c r="BO261" s="58" t="e">
        <f ca="1">'Historical - Raw data'!AY256</f>
        <v>#N/A</v>
      </c>
      <c r="BP261" s="58" t="e">
        <f ca="1">'Historical - Raw data'!AZ256</f>
        <v>#N/A</v>
      </c>
      <c r="BQ261" s="58" t="e">
        <f ca="1">'Historical - Raw data'!BA256</f>
        <v>#N/A</v>
      </c>
      <c r="BR261" s="58" t="e">
        <f ca="1">'Historical - Raw data'!BB256</f>
        <v>#N/A</v>
      </c>
      <c r="BS261" s="58" t="e">
        <f ca="1">'Historical - Raw data'!BC256</f>
        <v>#N/A</v>
      </c>
      <c r="BT261" s="58" t="e">
        <f ca="1">'Historical - Raw data'!BD256</f>
        <v>#N/A</v>
      </c>
      <c r="BU261" s="58" t="e">
        <f ca="1">'Historical - Raw data'!BE256</f>
        <v>#N/A</v>
      </c>
      <c r="BV261" s="58" t="e">
        <f ca="1">'Historical - Raw data'!BF256</f>
        <v>#N/A</v>
      </c>
      <c r="BW261" s="58" t="e">
        <f ca="1">'Historical - Raw data'!BG256</f>
        <v>#N/A</v>
      </c>
    </row>
    <row r="262" spans="63:75" ht="15" customHeight="1">
      <c r="BK262" s="97" t="e">
        <f>'Historical - Raw data'!AU257</f>
        <v>#N/A</v>
      </c>
      <c r="BL262" s="58" t="e">
        <f ca="1">'Historical - Raw data'!AV257</f>
        <v>#N/A</v>
      </c>
      <c r="BM262" s="58" t="e">
        <f ca="1">'Historical - Raw data'!AW257</f>
        <v>#N/A</v>
      </c>
      <c r="BN262" s="58" t="e">
        <f ca="1">'Historical - Raw data'!AX257</f>
        <v>#N/A</v>
      </c>
      <c r="BO262" s="58" t="e">
        <f ca="1">'Historical - Raw data'!AY257</f>
        <v>#N/A</v>
      </c>
      <c r="BP262" s="58" t="e">
        <f ca="1">'Historical - Raw data'!AZ257</f>
        <v>#N/A</v>
      </c>
      <c r="BQ262" s="58" t="e">
        <f ca="1">'Historical - Raw data'!BA257</f>
        <v>#N/A</v>
      </c>
      <c r="BR262" s="58" t="e">
        <f ca="1">'Historical - Raw data'!BB257</f>
        <v>#N/A</v>
      </c>
      <c r="BS262" s="58" t="e">
        <f ca="1">'Historical - Raw data'!BC257</f>
        <v>#N/A</v>
      </c>
      <c r="BT262" s="58" t="e">
        <f ca="1">'Historical - Raw data'!BD257</f>
        <v>#N/A</v>
      </c>
      <c r="BU262" s="58" t="e">
        <f ca="1">'Historical - Raw data'!BE257</f>
        <v>#N/A</v>
      </c>
      <c r="BV262" s="58" t="e">
        <f ca="1">'Historical - Raw data'!BF257</f>
        <v>#N/A</v>
      </c>
      <c r="BW262" s="58" t="e">
        <f ca="1">'Historical - Raw data'!BG257</f>
        <v>#N/A</v>
      </c>
    </row>
    <row r="263" spans="63:75" ht="15" customHeight="1">
      <c r="BK263" s="97" t="e">
        <f>'Historical - Raw data'!AU258</f>
        <v>#N/A</v>
      </c>
      <c r="BL263" s="58" t="e">
        <f ca="1">'Historical - Raw data'!AV258</f>
        <v>#N/A</v>
      </c>
      <c r="BM263" s="58" t="e">
        <f ca="1">'Historical - Raw data'!AW258</f>
        <v>#N/A</v>
      </c>
      <c r="BN263" s="58" t="e">
        <f ca="1">'Historical - Raw data'!AX258</f>
        <v>#N/A</v>
      </c>
      <c r="BO263" s="58" t="e">
        <f ca="1">'Historical - Raw data'!AY258</f>
        <v>#N/A</v>
      </c>
      <c r="BP263" s="58" t="e">
        <f ca="1">'Historical - Raw data'!AZ258</f>
        <v>#N/A</v>
      </c>
      <c r="BQ263" s="58" t="e">
        <f ca="1">'Historical - Raw data'!BA258</f>
        <v>#N/A</v>
      </c>
      <c r="BR263" s="58" t="e">
        <f ca="1">'Historical - Raw data'!BB258</f>
        <v>#N/A</v>
      </c>
      <c r="BS263" s="58" t="e">
        <f ca="1">'Historical - Raw data'!BC258</f>
        <v>#N/A</v>
      </c>
      <c r="BT263" s="58" t="e">
        <f ca="1">'Historical - Raw data'!BD258</f>
        <v>#N/A</v>
      </c>
      <c r="BU263" s="58" t="e">
        <f ca="1">'Historical - Raw data'!BE258</f>
        <v>#N/A</v>
      </c>
      <c r="BV263" s="58" t="e">
        <f ca="1">'Historical - Raw data'!BF258</f>
        <v>#N/A</v>
      </c>
      <c r="BW263" s="58" t="e">
        <f ca="1">'Historical - Raw data'!BG258</f>
        <v>#N/A</v>
      </c>
    </row>
    <row r="264" spans="63:75" ht="15" customHeight="1">
      <c r="BK264" s="97" t="e">
        <f>'Historical - Raw data'!AU259</f>
        <v>#N/A</v>
      </c>
      <c r="BL264" s="58" t="e">
        <f ca="1">'Historical - Raw data'!AV259</f>
        <v>#N/A</v>
      </c>
      <c r="BM264" s="58" t="e">
        <f ca="1">'Historical - Raw data'!AW259</f>
        <v>#N/A</v>
      </c>
      <c r="BN264" s="58" t="e">
        <f ca="1">'Historical - Raw data'!AX259</f>
        <v>#N/A</v>
      </c>
      <c r="BO264" s="58" t="e">
        <f ca="1">'Historical - Raw data'!AY259</f>
        <v>#N/A</v>
      </c>
      <c r="BP264" s="58" t="e">
        <f ca="1">'Historical - Raw data'!AZ259</f>
        <v>#N/A</v>
      </c>
      <c r="BQ264" s="58" t="e">
        <f ca="1">'Historical - Raw data'!BA259</f>
        <v>#N/A</v>
      </c>
      <c r="BR264" s="58" t="e">
        <f ca="1">'Historical - Raw data'!BB259</f>
        <v>#N/A</v>
      </c>
      <c r="BS264" s="58" t="e">
        <f ca="1">'Historical - Raw data'!BC259</f>
        <v>#N/A</v>
      </c>
      <c r="BT264" s="58" t="e">
        <f ca="1">'Historical - Raw data'!BD259</f>
        <v>#N/A</v>
      </c>
      <c r="BU264" s="58" t="e">
        <f ca="1">'Historical - Raw data'!BE259</f>
        <v>#N/A</v>
      </c>
      <c r="BV264" s="58" t="e">
        <f ca="1">'Historical - Raw data'!BF259</f>
        <v>#N/A</v>
      </c>
      <c r="BW264" s="58" t="e">
        <f ca="1">'Historical - Raw data'!BG259</f>
        <v>#N/A</v>
      </c>
    </row>
    <row r="265" spans="63:75" ht="15" customHeight="1">
      <c r="BK265" s="97" t="e">
        <f>'Historical - Raw data'!AU260</f>
        <v>#N/A</v>
      </c>
      <c r="BL265" s="58" t="e">
        <f ca="1">'Historical - Raw data'!AV260</f>
        <v>#N/A</v>
      </c>
      <c r="BM265" s="58" t="e">
        <f ca="1">'Historical - Raw data'!AW260</f>
        <v>#N/A</v>
      </c>
      <c r="BN265" s="58" t="e">
        <f ca="1">'Historical - Raw data'!AX260</f>
        <v>#N/A</v>
      </c>
      <c r="BO265" s="58" t="e">
        <f ca="1">'Historical - Raw data'!AY260</f>
        <v>#N/A</v>
      </c>
      <c r="BP265" s="58" t="e">
        <f ca="1">'Historical - Raw data'!AZ260</f>
        <v>#N/A</v>
      </c>
      <c r="BQ265" s="58" t="e">
        <f ca="1">'Historical - Raw data'!BA260</f>
        <v>#N/A</v>
      </c>
      <c r="BR265" s="58" t="e">
        <f ca="1">'Historical - Raw data'!BB260</f>
        <v>#N/A</v>
      </c>
      <c r="BS265" s="58" t="e">
        <f ca="1">'Historical - Raw data'!BC260</f>
        <v>#N/A</v>
      </c>
      <c r="BT265" s="58" t="e">
        <f ca="1">'Historical - Raw data'!BD260</f>
        <v>#N/A</v>
      </c>
      <c r="BU265" s="58" t="e">
        <f ca="1">'Historical - Raw data'!BE260</f>
        <v>#N/A</v>
      </c>
      <c r="BV265" s="58" t="e">
        <f ca="1">'Historical - Raw data'!BF260</f>
        <v>#N/A</v>
      </c>
      <c r="BW265" s="58" t="e">
        <f ca="1">'Historical - Raw data'!BG260</f>
        <v>#N/A</v>
      </c>
    </row>
    <row r="266" spans="63:75" ht="15" customHeight="1">
      <c r="BK266" s="97" t="e">
        <f>'Historical - Raw data'!AU261</f>
        <v>#N/A</v>
      </c>
      <c r="BL266" s="58" t="e">
        <f ca="1">'Historical - Raw data'!AV261</f>
        <v>#N/A</v>
      </c>
      <c r="BM266" s="58" t="e">
        <f ca="1">'Historical - Raw data'!AW261</f>
        <v>#N/A</v>
      </c>
      <c r="BN266" s="58" t="e">
        <f ca="1">'Historical - Raw data'!AX261</f>
        <v>#N/A</v>
      </c>
      <c r="BO266" s="58" t="e">
        <f ca="1">'Historical - Raw data'!AY261</f>
        <v>#N/A</v>
      </c>
      <c r="BP266" s="58" t="e">
        <f ca="1">'Historical - Raw data'!AZ261</f>
        <v>#N/A</v>
      </c>
      <c r="BQ266" s="58" t="e">
        <f ca="1">'Historical - Raw data'!BA261</f>
        <v>#N/A</v>
      </c>
      <c r="BR266" s="58" t="e">
        <f ca="1">'Historical - Raw data'!BB261</f>
        <v>#N/A</v>
      </c>
      <c r="BS266" s="58" t="e">
        <f ca="1">'Historical - Raw data'!BC261</f>
        <v>#N/A</v>
      </c>
      <c r="BT266" s="58" t="e">
        <f ca="1">'Historical - Raw data'!BD261</f>
        <v>#N/A</v>
      </c>
      <c r="BU266" s="58" t="e">
        <f ca="1">'Historical - Raw data'!BE261</f>
        <v>#N/A</v>
      </c>
      <c r="BV266" s="58" t="e">
        <f ca="1">'Historical - Raw data'!BF261</f>
        <v>#N/A</v>
      </c>
      <c r="BW266" s="58" t="e">
        <f ca="1">'Historical - Raw data'!BG261</f>
        <v>#N/A</v>
      </c>
    </row>
    <row r="267" spans="63:75" ht="15" customHeight="1">
      <c r="BK267" s="97" t="e">
        <f>'Historical - Raw data'!AU262</f>
        <v>#N/A</v>
      </c>
      <c r="BL267" s="58" t="e">
        <f ca="1">'Historical - Raw data'!AV262</f>
        <v>#N/A</v>
      </c>
      <c r="BM267" s="58" t="e">
        <f ca="1">'Historical - Raw data'!AW262</f>
        <v>#N/A</v>
      </c>
      <c r="BN267" s="58" t="e">
        <f ca="1">'Historical - Raw data'!AX262</f>
        <v>#N/A</v>
      </c>
      <c r="BO267" s="58" t="e">
        <f ca="1">'Historical - Raw data'!AY262</f>
        <v>#N/A</v>
      </c>
      <c r="BP267" s="58" t="e">
        <f ca="1">'Historical - Raw data'!AZ262</f>
        <v>#N/A</v>
      </c>
      <c r="BQ267" s="58" t="e">
        <f ca="1">'Historical - Raw data'!BA262</f>
        <v>#N/A</v>
      </c>
      <c r="BR267" s="58" t="e">
        <f ca="1">'Historical - Raw data'!BB262</f>
        <v>#N/A</v>
      </c>
      <c r="BS267" s="58" t="e">
        <f ca="1">'Historical - Raw data'!BC262</f>
        <v>#N/A</v>
      </c>
      <c r="BT267" s="58" t="e">
        <f ca="1">'Historical - Raw data'!BD262</f>
        <v>#N/A</v>
      </c>
      <c r="BU267" s="58" t="e">
        <f ca="1">'Historical - Raw data'!BE262</f>
        <v>#N/A</v>
      </c>
      <c r="BV267" s="58" t="e">
        <f ca="1">'Historical - Raw data'!BF262</f>
        <v>#N/A</v>
      </c>
      <c r="BW267" s="58" t="e">
        <f ca="1">'Historical - Raw data'!BG262</f>
        <v>#N/A</v>
      </c>
    </row>
    <row r="268" spans="63:75" ht="15" customHeight="1">
      <c r="BK268" s="97" t="e">
        <f>'Historical - Raw data'!AU263</f>
        <v>#N/A</v>
      </c>
      <c r="BL268" s="58" t="e">
        <f ca="1">'Historical - Raw data'!AV263</f>
        <v>#N/A</v>
      </c>
      <c r="BM268" s="58" t="e">
        <f ca="1">'Historical - Raw data'!AW263</f>
        <v>#N/A</v>
      </c>
      <c r="BN268" s="58" t="e">
        <f ca="1">'Historical - Raw data'!AX263</f>
        <v>#N/A</v>
      </c>
      <c r="BO268" s="58" t="e">
        <f ca="1">'Historical - Raw data'!AY263</f>
        <v>#N/A</v>
      </c>
      <c r="BP268" s="58" t="e">
        <f ca="1">'Historical - Raw data'!AZ263</f>
        <v>#N/A</v>
      </c>
      <c r="BQ268" s="58" t="e">
        <f ca="1">'Historical - Raw data'!BA263</f>
        <v>#N/A</v>
      </c>
      <c r="BR268" s="58" t="e">
        <f ca="1">'Historical - Raw data'!BB263</f>
        <v>#N/A</v>
      </c>
      <c r="BS268" s="58" t="e">
        <f ca="1">'Historical - Raw data'!BC263</f>
        <v>#N/A</v>
      </c>
      <c r="BT268" s="58" t="e">
        <f ca="1">'Historical - Raw data'!BD263</f>
        <v>#N/A</v>
      </c>
      <c r="BU268" s="58" t="e">
        <f ca="1">'Historical - Raw data'!BE263</f>
        <v>#N/A</v>
      </c>
      <c r="BV268" s="58" t="e">
        <f ca="1">'Historical - Raw data'!BF263</f>
        <v>#N/A</v>
      </c>
      <c r="BW268" s="58" t="e">
        <f ca="1">'Historical - Raw data'!BG263</f>
        <v>#N/A</v>
      </c>
    </row>
    <row r="269" spans="63:75" ht="15" customHeight="1">
      <c r="BK269" s="97" t="e">
        <f>'Historical - Raw data'!AU264</f>
        <v>#N/A</v>
      </c>
      <c r="BL269" s="58" t="e">
        <f ca="1">'Historical - Raw data'!AV264</f>
        <v>#N/A</v>
      </c>
      <c r="BM269" s="58" t="e">
        <f ca="1">'Historical - Raw data'!AW264</f>
        <v>#N/A</v>
      </c>
      <c r="BN269" s="58" t="e">
        <f ca="1">'Historical - Raw data'!AX264</f>
        <v>#N/A</v>
      </c>
      <c r="BO269" s="58" t="e">
        <f ca="1">'Historical - Raw data'!AY264</f>
        <v>#N/A</v>
      </c>
      <c r="BP269" s="58" t="e">
        <f ca="1">'Historical - Raw data'!AZ264</f>
        <v>#N/A</v>
      </c>
      <c r="BQ269" s="58" t="e">
        <f ca="1">'Historical - Raw data'!BA264</f>
        <v>#N/A</v>
      </c>
      <c r="BR269" s="58" t="e">
        <f ca="1">'Historical - Raw data'!BB264</f>
        <v>#N/A</v>
      </c>
      <c r="BS269" s="58" t="e">
        <f ca="1">'Historical - Raw data'!BC264</f>
        <v>#N/A</v>
      </c>
      <c r="BT269" s="58" t="e">
        <f ca="1">'Historical - Raw data'!BD264</f>
        <v>#N/A</v>
      </c>
      <c r="BU269" s="58" t="e">
        <f ca="1">'Historical - Raw data'!BE264</f>
        <v>#N/A</v>
      </c>
      <c r="BV269" s="58" t="e">
        <f ca="1">'Historical - Raw data'!BF264</f>
        <v>#N/A</v>
      </c>
      <c r="BW269" s="58" t="e">
        <f ca="1">'Historical - Raw data'!BG264</f>
        <v>#N/A</v>
      </c>
    </row>
    <row r="270" spans="63:75" ht="15" customHeight="1">
      <c r="BK270" s="97" t="e">
        <f>'Historical - Raw data'!AU265</f>
        <v>#N/A</v>
      </c>
      <c r="BL270" s="58" t="e">
        <f ca="1">'Historical - Raw data'!AV265</f>
        <v>#N/A</v>
      </c>
      <c r="BM270" s="58" t="e">
        <f ca="1">'Historical - Raw data'!AW265</f>
        <v>#N/A</v>
      </c>
      <c r="BN270" s="58" t="e">
        <f ca="1">'Historical - Raw data'!AX265</f>
        <v>#N/A</v>
      </c>
      <c r="BO270" s="58" t="e">
        <f ca="1">'Historical - Raw data'!AY265</f>
        <v>#N/A</v>
      </c>
      <c r="BP270" s="58" t="e">
        <f ca="1">'Historical - Raw data'!AZ265</f>
        <v>#N/A</v>
      </c>
      <c r="BQ270" s="58" t="e">
        <f ca="1">'Historical - Raw data'!BA265</f>
        <v>#N/A</v>
      </c>
      <c r="BR270" s="58" t="e">
        <f ca="1">'Historical - Raw data'!BB265</f>
        <v>#N/A</v>
      </c>
      <c r="BS270" s="58" t="e">
        <f ca="1">'Historical - Raw data'!BC265</f>
        <v>#N/A</v>
      </c>
      <c r="BT270" s="58" t="e">
        <f ca="1">'Historical - Raw data'!BD265</f>
        <v>#N/A</v>
      </c>
      <c r="BU270" s="58" t="e">
        <f ca="1">'Historical - Raw data'!BE265</f>
        <v>#N/A</v>
      </c>
      <c r="BV270" s="58" t="e">
        <f ca="1">'Historical - Raw data'!BF265</f>
        <v>#N/A</v>
      </c>
      <c r="BW270" s="58" t="e">
        <f ca="1">'Historical - Raw data'!BG265</f>
        <v>#N/A</v>
      </c>
    </row>
    <row r="271" spans="63:75" ht="15" customHeight="1">
      <c r="BK271" s="97" t="e">
        <f>'Historical - Raw data'!AU266</f>
        <v>#N/A</v>
      </c>
      <c r="BL271" s="58" t="e">
        <f ca="1">'Historical - Raw data'!AV266</f>
        <v>#N/A</v>
      </c>
      <c r="BM271" s="58" t="e">
        <f ca="1">'Historical - Raw data'!AW266</f>
        <v>#N/A</v>
      </c>
      <c r="BN271" s="58" t="e">
        <f ca="1">'Historical - Raw data'!AX266</f>
        <v>#N/A</v>
      </c>
      <c r="BO271" s="58" t="e">
        <f ca="1">'Historical - Raw data'!AY266</f>
        <v>#N/A</v>
      </c>
      <c r="BP271" s="58" t="e">
        <f ca="1">'Historical - Raw data'!AZ266</f>
        <v>#N/A</v>
      </c>
      <c r="BQ271" s="58" t="e">
        <f ca="1">'Historical - Raw data'!BA266</f>
        <v>#N/A</v>
      </c>
      <c r="BR271" s="58" t="e">
        <f ca="1">'Historical - Raw data'!BB266</f>
        <v>#N/A</v>
      </c>
      <c r="BS271" s="58" t="e">
        <f ca="1">'Historical - Raw data'!BC266</f>
        <v>#N/A</v>
      </c>
      <c r="BT271" s="58" t="e">
        <f ca="1">'Historical - Raw data'!BD266</f>
        <v>#N/A</v>
      </c>
      <c r="BU271" s="58" t="e">
        <f ca="1">'Historical - Raw data'!BE266</f>
        <v>#N/A</v>
      </c>
      <c r="BV271" s="58" t="e">
        <f ca="1">'Historical - Raw data'!BF266</f>
        <v>#N/A</v>
      </c>
      <c r="BW271" s="58" t="e">
        <f ca="1">'Historical - Raw data'!BG266</f>
        <v>#N/A</v>
      </c>
    </row>
    <row r="272" spans="63:75" ht="15" customHeight="1">
      <c r="BK272" s="97" t="e">
        <f>'Historical - Raw data'!AU267</f>
        <v>#N/A</v>
      </c>
      <c r="BL272" s="58" t="e">
        <f ca="1">'Historical - Raw data'!AV267</f>
        <v>#N/A</v>
      </c>
      <c r="BM272" s="58" t="e">
        <f ca="1">'Historical - Raw data'!AW267</f>
        <v>#N/A</v>
      </c>
      <c r="BN272" s="58" t="e">
        <f ca="1">'Historical - Raw data'!AX267</f>
        <v>#N/A</v>
      </c>
      <c r="BO272" s="58" t="e">
        <f ca="1">'Historical - Raw data'!AY267</f>
        <v>#N/A</v>
      </c>
      <c r="BP272" s="58" t="e">
        <f ca="1">'Historical - Raw data'!AZ267</f>
        <v>#N/A</v>
      </c>
      <c r="BQ272" s="58" t="e">
        <f ca="1">'Historical - Raw data'!BA267</f>
        <v>#N/A</v>
      </c>
      <c r="BR272" s="58" t="e">
        <f ca="1">'Historical - Raw data'!BB267</f>
        <v>#N/A</v>
      </c>
      <c r="BS272" s="58" t="e">
        <f ca="1">'Historical - Raw data'!BC267</f>
        <v>#N/A</v>
      </c>
      <c r="BT272" s="58" t="e">
        <f ca="1">'Historical - Raw data'!BD267</f>
        <v>#N/A</v>
      </c>
      <c r="BU272" s="58" t="e">
        <f ca="1">'Historical - Raw data'!BE267</f>
        <v>#N/A</v>
      </c>
      <c r="BV272" s="58" t="e">
        <f ca="1">'Historical - Raw data'!BF267</f>
        <v>#N/A</v>
      </c>
      <c r="BW272" s="58" t="e">
        <f ca="1">'Historical - Raw data'!BG267</f>
        <v>#N/A</v>
      </c>
    </row>
    <row r="273" spans="63:75" ht="15" customHeight="1">
      <c r="BK273" s="97" t="e">
        <f>'Historical - Raw data'!AU268</f>
        <v>#N/A</v>
      </c>
      <c r="BL273" s="58" t="e">
        <f ca="1">'Historical - Raw data'!AV268</f>
        <v>#N/A</v>
      </c>
      <c r="BM273" s="58" t="e">
        <f ca="1">'Historical - Raw data'!AW268</f>
        <v>#N/A</v>
      </c>
      <c r="BN273" s="58" t="e">
        <f ca="1">'Historical - Raw data'!AX268</f>
        <v>#N/A</v>
      </c>
      <c r="BO273" s="58" t="e">
        <f ca="1">'Historical - Raw data'!AY268</f>
        <v>#N/A</v>
      </c>
      <c r="BP273" s="58" t="e">
        <f ca="1">'Historical - Raw data'!AZ268</f>
        <v>#N/A</v>
      </c>
      <c r="BQ273" s="58" t="e">
        <f ca="1">'Historical - Raw data'!BA268</f>
        <v>#N/A</v>
      </c>
      <c r="BR273" s="58" t="e">
        <f ca="1">'Historical - Raw data'!BB268</f>
        <v>#N/A</v>
      </c>
      <c r="BS273" s="58" t="e">
        <f ca="1">'Historical - Raw data'!BC268</f>
        <v>#N/A</v>
      </c>
      <c r="BT273" s="58" t="e">
        <f ca="1">'Historical - Raw data'!BD268</f>
        <v>#N/A</v>
      </c>
      <c r="BU273" s="58" t="e">
        <f ca="1">'Historical - Raw data'!BE268</f>
        <v>#N/A</v>
      </c>
      <c r="BV273" s="58" t="e">
        <f ca="1">'Historical - Raw data'!BF268</f>
        <v>#N/A</v>
      </c>
      <c r="BW273" s="58" t="e">
        <f ca="1">'Historical - Raw data'!BG268</f>
        <v>#N/A</v>
      </c>
    </row>
    <row r="274" spans="63:75" ht="15" customHeight="1">
      <c r="BK274" s="97" t="e">
        <f>'Historical - Raw data'!AU269</f>
        <v>#N/A</v>
      </c>
      <c r="BL274" s="58" t="e">
        <f ca="1">'Historical - Raw data'!AV269</f>
        <v>#N/A</v>
      </c>
      <c r="BM274" s="58" t="e">
        <f ca="1">'Historical - Raw data'!AW269</f>
        <v>#N/A</v>
      </c>
      <c r="BN274" s="58" t="e">
        <f ca="1">'Historical - Raw data'!AX269</f>
        <v>#N/A</v>
      </c>
      <c r="BO274" s="58" t="e">
        <f ca="1">'Historical - Raw data'!AY269</f>
        <v>#N/A</v>
      </c>
      <c r="BP274" s="58" t="e">
        <f ca="1">'Historical - Raw data'!AZ269</f>
        <v>#N/A</v>
      </c>
      <c r="BQ274" s="58" t="e">
        <f ca="1">'Historical - Raw data'!BA269</f>
        <v>#N/A</v>
      </c>
      <c r="BR274" s="58" t="e">
        <f ca="1">'Historical - Raw data'!BB269</f>
        <v>#N/A</v>
      </c>
      <c r="BS274" s="58" t="e">
        <f ca="1">'Historical - Raw data'!BC269</f>
        <v>#N/A</v>
      </c>
      <c r="BT274" s="58" t="e">
        <f ca="1">'Historical - Raw data'!BD269</f>
        <v>#N/A</v>
      </c>
      <c r="BU274" s="58" t="e">
        <f ca="1">'Historical - Raw data'!BE269</f>
        <v>#N/A</v>
      </c>
      <c r="BV274" s="58" t="e">
        <f ca="1">'Historical - Raw data'!BF269</f>
        <v>#N/A</v>
      </c>
      <c r="BW274" s="58" t="e">
        <f ca="1">'Historical - Raw data'!BG269</f>
        <v>#N/A</v>
      </c>
    </row>
    <row r="275" spans="63:75" ht="15" customHeight="1">
      <c r="BK275" s="97" t="e">
        <f>'Historical - Raw data'!AU270</f>
        <v>#N/A</v>
      </c>
      <c r="BL275" s="58" t="e">
        <f ca="1">'Historical - Raw data'!AV270</f>
        <v>#N/A</v>
      </c>
      <c r="BM275" s="58" t="e">
        <f ca="1">'Historical - Raw data'!AW270</f>
        <v>#N/A</v>
      </c>
      <c r="BN275" s="58" t="e">
        <f ca="1">'Historical - Raw data'!AX270</f>
        <v>#N/A</v>
      </c>
      <c r="BO275" s="58" t="e">
        <f ca="1">'Historical - Raw data'!AY270</f>
        <v>#N/A</v>
      </c>
      <c r="BP275" s="58" t="e">
        <f ca="1">'Historical - Raw data'!AZ270</f>
        <v>#N/A</v>
      </c>
      <c r="BQ275" s="58" t="e">
        <f ca="1">'Historical - Raw data'!BA270</f>
        <v>#N/A</v>
      </c>
      <c r="BR275" s="58" t="e">
        <f ca="1">'Historical - Raw data'!BB270</f>
        <v>#N/A</v>
      </c>
      <c r="BS275" s="58" t="e">
        <f ca="1">'Historical - Raw data'!BC270</f>
        <v>#N/A</v>
      </c>
      <c r="BT275" s="58" t="e">
        <f ca="1">'Historical - Raw data'!BD270</f>
        <v>#N/A</v>
      </c>
      <c r="BU275" s="58" t="e">
        <f ca="1">'Historical - Raw data'!BE270</f>
        <v>#N/A</v>
      </c>
      <c r="BV275" s="58" t="e">
        <f ca="1">'Historical - Raw data'!BF270</f>
        <v>#N/A</v>
      </c>
      <c r="BW275" s="58" t="e">
        <f ca="1">'Historical - Raw data'!BG270</f>
        <v>#N/A</v>
      </c>
    </row>
    <row r="276" spans="63:75" ht="15" customHeight="1">
      <c r="BK276" s="97" t="e">
        <f>'Historical - Raw data'!AU271</f>
        <v>#N/A</v>
      </c>
      <c r="BL276" s="58" t="e">
        <f ca="1">'Historical - Raw data'!AV271</f>
        <v>#N/A</v>
      </c>
      <c r="BM276" s="58" t="e">
        <f ca="1">'Historical - Raw data'!AW271</f>
        <v>#N/A</v>
      </c>
      <c r="BN276" s="58" t="e">
        <f ca="1">'Historical - Raw data'!AX271</f>
        <v>#N/A</v>
      </c>
      <c r="BO276" s="58" t="e">
        <f ca="1">'Historical - Raw data'!AY271</f>
        <v>#N/A</v>
      </c>
      <c r="BP276" s="58" t="e">
        <f ca="1">'Historical - Raw data'!AZ271</f>
        <v>#N/A</v>
      </c>
      <c r="BQ276" s="58" t="e">
        <f ca="1">'Historical - Raw data'!BA271</f>
        <v>#N/A</v>
      </c>
      <c r="BR276" s="58" t="e">
        <f ca="1">'Historical - Raw data'!BB271</f>
        <v>#N/A</v>
      </c>
      <c r="BS276" s="58" t="e">
        <f ca="1">'Historical - Raw data'!BC271</f>
        <v>#N/A</v>
      </c>
      <c r="BT276" s="58" t="e">
        <f ca="1">'Historical - Raw data'!BD271</f>
        <v>#N/A</v>
      </c>
      <c r="BU276" s="58" t="e">
        <f ca="1">'Historical - Raw data'!BE271</f>
        <v>#N/A</v>
      </c>
      <c r="BV276" s="58" t="e">
        <f ca="1">'Historical - Raw data'!BF271</f>
        <v>#N/A</v>
      </c>
      <c r="BW276" s="58" t="e">
        <f ca="1">'Historical - Raw data'!BG271</f>
        <v>#N/A</v>
      </c>
    </row>
    <row r="277" spans="63:75" ht="15" customHeight="1">
      <c r="BK277" s="97" t="e">
        <f>'Historical - Raw data'!AU272</f>
        <v>#N/A</v>
      </c>
      <c r="BL277" s="58" t="e">
        <f ca="1">'Historical - Raw data'!AV272</f>
        <v>#N/A</v>
      </c>
      <c r="BM277" s="58" t="e">
        <f ca="1">'Historical - Raw data'!AW272</f>
        <v>#N/A</v>
      </c>
      <c r="BN277" s="58" t="e">
        <f ca="1">'Historical - Raw data'!AX272</f>
        <v>#N/A</v>
      </c>
      <c r="BO277" s="58" t="e">
        <f ca="1">'Historical - Raw data'!AY272</f>
        <v>#N/A</v>
      </c>
      <c r="BP277" s="58" t="e">
        <f ca="1">'Historical - Raw data'!AZ272</f>
        <v>#N/A</v>
      </c>
      <c r="BQ277" s="58" t="e">
        <f ca="1">'Historical - Raw data'!BA272</f>
        <v>#N/A</v>
      </c>
      <c r="BR277" s="58" t="e">
        <f ca="1">'Historical - Raw data'!BB272</f>
        <v>#N/A</v>
      </c>
      <c r="BS277" s="58" t="e">
        <f ca="1">'Historical - Raw data'!BC272</f>
        <v>#N/A</v>
      </c>
      <c r="BT277" s="58" t="e">
        <f ca="1">'Historical - Raw data'!BD272</f>
        <v>#N/A</v>
      </c>
      <c r="BU277" s="58" t="e">
        <f ca="1">'Historical - Raw data'!BE272</f>
        <v>#N/A</v>
      </c>
      <c r="BV277" s="58" t="e">
        <f ca="1">'Historical - Raw data'!BF272</f>
        <v>#N/A</v>
      </c>
      <c r="BW277" s="58" t="e">
        <f ca="1">'Historical - Raw data'!BG272</f>
        <v>#N/A</v>
      </c>
    </row>
    <row r="278" spans="63:75" ht="15" customHeight="1">
      <c r="BK278" s="97" t="e">
        <f>'Historical - Raw data'!AU273</f>
        <v>#N/A</v>
      </c>
      <c r="BL278" s="58" t="e">
        <f ca="1">'Historical - Raw data'!AV273</f>
        <v>#N/A</v>
      </c>
      <c r="BM278" s="58" t="e">
        <f ca="1">'Historical - Raw data'!AW273</f>
        <v>#N/A</v>
      </c>
      <c r="BN278" s="58" t="e">
        <f ca="1">'Historical - Raw data'!AX273</f>
        <v>#N/A</v>
      </c>
      <c r="BO278" s="58" t="e">
        <f ca="1">'Historical - Raw data'!AY273</f>
        <v>#N/A</v>
      </c>
      <c r="BP278" s="58" t="e">
        <f ca="1">'Historical - Raw data'!AZ273</f>
        <v>#N/A</v>
      </c>
      <c r="BQ278" s="58" t="e">
        <f ca="1">'Historical - Raw data'!BA273</f>
        <v>#N/A</v>
      </c>
      <c r="BR278" s="58" t="e">
        <f ca="1">'Historical - Raw data'!BB273</f>
        <v>#N/A</v>
      </c>
      <c r="BS278" s="58" t="e">
        <f ca="1">'Historical - Raw data'!BC273</f>
        <v>#N/A</v>
      </c>
      <c r="BT278" s="58" t="e">
        <f ca="1">'Historical - Raw data'!BD273</f>
        <v>#N/A</v>
      </c>
      <c r="BU278" s="58" t="e">
        <f ca="1">'Historical - Raw data'!BE273</f>
        <v>#N/A</v>
      </c>
      <c r="BV278" s="58" t="e">
        <f ca="1">'Historical - Raw data'!BF273</f>
        <v>#N/A</v>
      </c>
      <c r="BW278" s="58" t="e">
        <f ca="1">'Historical - Raw data'!BG273</f>
        <v>#N/A</v>
      </c>
    </row>
  </sheetData>
  <mergeCells count="26">
    <mergeCell ref="AE12:AE14"/>
    <mergeCell ref="D8:E8"/>
    <mergeCell ref="G8:H8"/>
    <mergeCell ref="S8:T8"/>
    <mergeCell ref="J8:R8"/>
    <mergeCell ref="D12:D14"/>
    <mergeCell ref="I12:I14"/>
    <mergeCell ref="J12:J14"/>
    <mergeCell ref="R12:R14"/>
    <mergeCell ref="S12:S14"/>
    <mergeCell ref="D6:G6"/>
    <mergeCell ref="AC33:AQ33"/>
    <mergeCell ref="AF12:AF14"/>
    <mergeCell ref="AN12:AN14"/>
    <mergeCell ref="AO12:AO14"/>
    <mergeCell ref="AP12:AP14"/>
    <mergeCell ref="AQ12:AQ14"/>
    <mergeCell ref="D32:F32"/>
    <mergeCell ref="T12:T14"/>
    <mergeCell ref="D33:U33"/>
    <mergeCell ref="U12:U14"/>
    <mergeCell ref="H12:H14"/>
    <mergeCell ref="G12:G14"/>
    <mergeCell ref="AC6:AQ6"/>
    <mergeCell ref="AC12:AC14"/>
    <mergeCell ref="AD12:AD14"/>
  </mergeCells>
  <phoneticPr fontId="0" type="noConversion"/>
  <dataValidations count="3">
    <dataValidation type="list" allowBlank="1" showInputMessage="1" showErrorMessage="1" sqref="AD32 G32" xr:uid="{00000000-0002-0000-0000-000000000000}">
      <formula1>$CB$14:$CE$14</formula1>
    </dataValidation>
    <dataValidation type="list" allowBlank="1" showInputMessage="1" showErrorMessage="1" sqref="BF10 S10 H10 AD10 AO10" xr:uid="{00000000-0002-0000-0000-000001000000}">
      <formula1>$BZ$14:$BZ$33</formula1>
    </dataValidation>
    <dataValidation type="list" allowBlank="1" showInputMessage="1" showErrorMessage="1" sqref="S8" xr:uid="{00000000-0002-0000-0000-000002000000}">
      <formula1>"ATM Implied Vol., Realized Vol."</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170" r:id="rId4" name="btnCURV">
          <controlPr defaultSize="0" autoLine="0" r:id="rId5">
            <anchor moveWithCells="1">
              <from>
                <xdr:col>41</xdr:col>
                <xdr:colOff>323850</xdr:colOff>
                <xdr:row>6</xdr:row>
                <xdr:rowOff>19050</xdr:rowOff>
              </from>
              <to>
                <xdr:col>42</xdr:col>
                <xdr:colOff>241300</xdr:colOff>
                <xdr:row>7</xdr:row>
                <xdr:rowOff>107950</xdr:rowOff>
              </to>
            </anchor>
          </controlPr>
        </control>
      </mc:Choice>
      <mc:Fallback>
        <control shapeId="1170" r:id="rId4" name="btnCURV"/>
      </mc:Fallback>
    </mc:AlternateContent>
    <mc:AlternateContent xmlns:mc="http://schemas.openxmlformats.org/markup-compatibility/2006">
      <mc:Choice Requires="x14">
        <control shapeId="1134" r:id="rId6" name="btnOVDV">
          <controlPr defaultSize="0" autoLine="0" r:id="rId7">
            <anchor moveWithCells="1">
              <from>
                <xdr:col>40</xdr:col>
                <xdr:colOff>146050</xdr:colOff>
                <xdr:row>6</xdr:row>
                <xdr:rowOff>19050</xdr:rowOff>
              </from>
              <to>
                <xdr:col>41</xdr:col>
                <xdr:colOff>57150</xdr:colOff>
                <xdr:row>7</xdr:row>
                <xdr:rowOff>107950</xdr:rowOff>
              </to>
            </anchor>
          </controlPr>
        </control>
      </mc:Choice>
      <mc:Fallback>
        <control shapeId="1134" r:id="rId6" name="btnOVDV"/>
      </mc:Fallback>
    </mc:AlternateContent>
    <mc:AlternateContent xmlns:mc="http://schemas.openxmlformats.org/markup-compatibility/2006">
      <mc:Choice Requires="x14">
        <control shapeId="1133" r:id="rId8" name="btnXCRV">
          <controlPr defaultSize="0" autoLine="0" r:id="rId9">
            <anchor moveWithCells="1">
              <from>
                <xdr:col>38</xdr:col>
                <xdr:colOff>76200</xdr:colOff>
                <xdr:row>6</xdr:row>
                <xdr:rowOff>19050</xdr:rowOff>
              </from>
              <to>
                <xdr:col>39</xdr:col>
                <xdr:colOff>685800</xdr:colOff>
                <xdr:row>7</xdr:row>
                <xdr:rowOff>107950</xdr:rowOff>
              </to>
            </anchor>
          </controlPr>
        </control>
      </mc:Choice>
      <mc:Fallback>
        <control shapeId="1133" r:id="rId8" name="btnXCRV"/>
      </mc:Fallback>
    </mc:AlternateContent>
    <mc:AlternateContent xmlns:mc="http://schemas.openxmlformats.org/markup-compatibility/2006">
      <mc:Choice Requires="x14">
        <control shapeId="1132" r:id="rId10" name="btnVOLC">
          <controlPr defaultSize="0" autoLine="0" r:id="rId11">
            <anchor moveWithCells="1">
              <from>
                <xdr:col>30</xdr:col>
                <xdr:colOff>488950</xdr:colOff>
                <xdr:row>6</xdr:row>
                <xdr:rowOff>19050</xdr:rowOff>
              </from>
              <to>
                <xdr:col>31</xdr:col>
                <xdr:colOff>400050</xdr:colOff>
                <xdr:row>7</xdr:row>
                <xdr:rowOff>107950</xdr:rowOff>
              </to>
            </anchor>
          </controlPr>
        </control>
      </mc:Choice>
      <mc:Fallback>
        <control shapeId="1132" r:id="rId10" name="btnVOLC"/>
      </mc:Fallback>
    </mc:AlternateContent>
    <mc:AlternateContent xmlns:mc="http://schemas.openxmlformats.org/markup-compatibility/2006">
      <mc:Choice Requires="x14">
        <control shapeId="1131" r:id="rId12" name="btnXDSH">
          <controlPr defaultSize="0" autoLine="0" r:id="rId13">
            <anchor moveWithCells="1">
              <from>
                <xdr:col>29</xdr:col>
                <xdr:colOff>285750</xdr:colOff>
                <xdr:row>6</xdr:row>
                <xdr:rowOff>19050</xdr:rowOff>
              </from>
              <to>
                <xdr:col>30</xdr:col>
                <xdr:colOff>203200</xdr:colOff>
                <xdr:row>7</xdr:row>
                <xdr:rowOff>107950</xdr:rowOff>
              </to>
            </anchor>
          </controlPr>
        </control>
      </mc:Choice>
      <mc:Fallback>
        <control shapeId="1131" r:id="rId12" name="btnXDSH"/>
      </mc:Fallback>
    </mc:AlternateContent>
    <mc:AlternateContent xmlns:mc="http://schemas.openxmlformats.org/markup-compatibility/2006">
      <mc:Choice Requires="x14">
        <control shapeId="1124" r:id="rId14" name="btnWCRS">
          <controlPr defaultSize="0" autoLine="0" r:id="rId15">
            <anchor moveWithCells="1">
              <from>
                <xdr:col>28</xdr:col>
                <xdr:colOff>88900</xdr:colOff>
                <xdr:row>6</xdr:row>
                <xdr:rowOff>19050</xdr:rowOff>
              </from>
              <to>
                <xdr:col>29</xdr:col>
                <xdr:colOff>12700</xdr:colOff>
                <xdr:row>7</xdr:row>
                <xdr:rowOff>107950</xdr:rowOff>
              </to>
            </anchor>
          </controlPr>
        </control>
      </mc:Choice>
      <mc:Fallback>
        <control shapeId="1124" r:id="rId14" name="btnWCRS"/>
      </mc:Fallback>
    </mc:AlternateContent>
    <mc:AlternateContent xmlns:mc="http://schemas.openxmlformats.org/markup-compatibility/2006">
      <mc:Choice Requires="x14">
        <control shapeId="1122" r:id="rId16" name="btnRefresh">
          <controlPr defaultSize="0" autoLine="0" r:id="rId17">
            <anchor moveWithCells="1">
              <from>
                <xdr:col>9</xdr:col>
                <xdr:colOff>12700</xdr:colOff>
                <xdr:row>5</xdr:row>
                <xdr:rowOff>0</xdr:rowOff>
              </from>
              <to>
                <xdr:col>17</xdr:col>
                <xdr:colOff>50800</xdr:colOff>
                <xdr:row>6</xdr:row>
                <xdr:rowOff>127000</xdr:rowOff>
              </to>
            </anchor>
          </controlPr>
        </control>
      </mc:Choice>
      <mc:Fallback>
        <control shapeId="1122" r:id="rId16" name="btnRefresh"/>
      </mc:Fallback>
    </mc:AlternateContent>
    <mc:AlternateContent xmlns:mc="http://schemas.openxmlformats.org/markup-compatibility/2006">
      <mc:Choice Requires="x14">
        <control shapeId="1113" r:id="rId18" name="chkCCYPair12">
          <controlPr autoLine="0" r:id="rId19">
            <anchor moveWithCells="1">
              <from>
                <xdr:col>42</xdr:col>
                <xdr:colOff>0</xdr:colOff>
                <xdr:row>30</xdr:row>
                <xdr:rowOff>152400</xdr:rowOff>
              </from>
              <to>
                <xdr:col>42</xdr:col>
                <xdr:colOff>571500</xdr:colOff>
                <xdr:row>32</xdr:row>
                <xdr:rowOff>31750</xdr:rowOff>
              </to>
            </anchor>
          </controlPr>
        </control>
      </mc:Choice>
      <mc:Fallback>
        <control shapeId="1113" r:id="rId18" name="chkCCYPair12"/>
      </mc:Fallback>
    </mc:AlternateContent>
    <mc:AlternateContent xmlns:mc="http://schemas.openxmlformats.org/markup-compatibility/2006">
      <mc:Choice Requires="x14">
        <control shapeId="1112" r:id="rId20" name="chkCCYPair11">
          <controlPr autoLine="0" r:id="rId21">
            <anchor moveWithCells="1">
              <from>
                <xdr:col>41</xdr:col>
                <xdr:colOff>0</xdr:colOff>
                <xdr:row>30</xdr:row>
                <xdr:rowOff>152400</xdr:rowOff>
              </from>
              <to>
                <xdr:col>41</xdr:col>
                <xdr:colOff>571500</xdr:colOff>
                <xdr:row>32</xdr:row>
                <xdr:rowOff>31750</xdr:rowOff>
              </to>
            </anchor>
          </controlPr>
        </control>
      </mc:Choice>
      <mc:Fallback>
        <control shapeId="1112" r:id="rId20" name="chkCCYPair11"/>
      </mc:Fallback>
    </mc:AlternateContent>
    <mc:AlternateContent xmlns:mc="http://schemas.openxmlformats.org/markup-compatibility/2006">
      <mc:Choice Requires="x14">
        <control shapeId="1111" r:id="rId22" name="chkCCYPair10">
          <controlPr autoLine="0" r:id="rId23">
            <anchor moveWithCells="1">
              <from>
                <xdr:col>40</xdr:col>
                <xdr:colOff>0</xdr:colOff>
                <xdr:row>30</xdr:row>
                <xdr:rowOff>146050</xdr:rowOff>
              </from>
              <to>
                <xdr:col>40</xdr:col>
                <xdr:colOff>571500</xdr:colOff>
                <xdr:row>32</xdr:row>
                <xdr:rowOff>19050</xdr:rowOff>
              </to>
            </anchor>
          </controlPr>
        </control>
      </mc:Choice>
      <mc:Fallback>
        <control shapeId="1111" r:id="rId22" name="chkCCYPair10"/>
      </mc:Fallback>
    </mc:AlternateContent>
    <mc:AlternateContent xmlns:mc="http://schemas.openxmlformats.org/markup-compatibility/2006">
      <mc:Choice Requires="x14">
        <control shapeId="1110" r:id="rId24" name="chkCCYPair9">
          <controlPr autoLine="0" r:id="rId25">
            <anchor moveWithCells="1">
              <from>
                <xdr:col>39</xdr:col>
                <xdr:colOff>0</xdr:colOff>
                <xdr:row>30</xdr:row>
                <xdr:rowOff>146050</xdr:rowOff>
              </from>
              <to>
                <xdr:col>39</xdr:col>
                <xdr:colOff>571500</xdr:colOff>
                <xdr:row>32</xdr:row>
                <xdr:rowOff>19050</xdr:rowOff>
              </to>
            </anchor>
          </controlPr>
        </control>
      </mc:Choice>
      <mc:Fallback>
        <control shapeId="1110" r:id="rId24" name="chkCCYPair9"/>
      </mc:Fallback>
    </mc:AlternateContent>
    <mc:AlternateContent xmlns:mc="http://schemas.openxmlformats.org/markup-compatibility/2006">
      <mc:Choice Requires="x14">
        <control shapeId="1109" r:id="rId26" name="chkCCYPair8">
          <controlPr autoLine="0" r:id="rId27">
            <anchor moveWithCells="1">
              <from>
                <xdr:col>31</xdr:col>
                <xdr:colOff>114300</xdr:colOff>
                <xdr:row>30</xdr:row>
                <xdr:rowOff>133350</xdr:rowOff>
              </from>
              <to>
                <xdr:col>31</xdr:col>
                <xdr:colOff>685800</xdr:colOff>
                <xdr:row>32</xdr:row>
                <xdr:rowOff>12700</xdr:rowOff>
              </to>
            </anchor>
          </controlPr>
        </control>
      </mc:Choice>
      <mc:Fallback>
        <control shapeId="1109" r:id="rId26" name="chkCCYPair8"/>
      </mc:Fallback>
    </mc:AlternateContent>
    <mc:AlternateContent xmlns:mc="http://schemas.openxmlformats.org/markup-compatibility/2006">
      <mc:Choice Requires="x14">
        <control shapeId="1108" r:id="rId28" name="chkCCYPair7">
          <controlPr autoLine="0" r:id="rId29">
            <anchor moveWithCells="1">
              <from>
                <xdr:col>30</xdr:col>
                <xdr:colOff>107950</xdr:colOff>
                <xdr:row>30</xdr:row>
                <xdr:rowOff>133350</xdr:rowOff>
              </from>
              <to>
                <xdr:col>30</xdr:col>
                <xdr:colOff>679450</xdr:colOff>
                <xdr:row>32</xdr:row>
                <xdr:rowOff>12700</xdr:rowOff>
              </to>
            </anchor>
          </controlPr>
        </control>
      </mc:Choice>
      <mc:Fallback>
        <control shapeId="1108" r:id="rId28" name="chkCCYPair7"/>
      </mc:Fallback>
    </mc:AlternateContent>
    <mc:AlternateContent xmlns:mc="http://schemas.openxmlformats.org/markup-compatibility/2006">
      <mc:Choice Requires="x14">
        <control shapeId="1107" r:id="rId30" name="chkCCYPair6">
          <controlPr autoLine="0" r:id="rId31">
            <anchor moveWithCells="1">
              <from>
                <xdr:col>42</xdr:col>
                <xdr:colOff>0</xdr:colOff>
                <xdr:row>29</xdr:row>
                <xdr:rowOff>19050</xdr:rowOff>
              </from>
              <to>
                <xdr:col>42</xdr:col>
                <xdr:colOff>571500</xdr:colOff>
                <xdr:row>31</xdr:row>
                <xdr:rowOff>19050</xdr:rowOff>
              </to>
            </anchor>
          </controlPr>
        </control>
      </mc:Choice>
      <mc:Fallback>
        <control shapeId="1107" r:id="rId30" name="chkCCYPair6"/>
      </mc:Fallback>
    </mc:AlternateContent>
    <mc:AlternateContent xmlns:mc="http://schemas.openxmlformats.org/markup-compatibility/2006">
      <mc:Choice Requires="x14">
        <control shapeId="1106" r:id="rId32" name="chkCCYPair5">
          <controlPr autoLine="0" r:id="rId33">
            <anchor moveWithCells="1">
              <from>
                <xdr:col>41</xdr:col>
                <xdr:colOff>0</xdr:colOff>
                <xdr:row>29</xdr:row>
                <xdr:rowOff>19050</xdr:rowOff>
              </from>
              <to>
                <xdr:col>41</xdr:col>
                <xdr:colOff>571500</xdr:colOff>
                <xdr:row>31</xdr:row>
                <xdr:rowOff>19050</xdr:rowOff>
              </to>
            </anchor>
          </controlPr>
        </control>
      </mc:Choice>
      <mc:Fallback>
        <control shapeId="1106" r:id="rId32" name="chkCCYPair5"/>
      </mc:Fallback>
    </mc:AlternateContent>
    <mc:AlternateContent xmlns:mc="http://schemas.openxmlformats.org/markup-compatibility/2006">
      <mc:Choice Requires="x14">
        <control shapeId="1105" r:id="rId34" name="chkCCYPair4">
          <controlPr autoLine="0" r:id="rId35">
            <anchor moveWithCells="1">
              <from>
                <xdr:col>40</xdr:col>
                <xdr:colOff>0</xdr:colOff>
                <xdr:row>29</xdr:row>
                <xdr:rowOff>12700</xdr:rowOff>
              </from>
              <to>
                <xdr:col>40</xdr:col>
                <xdr:colOff>571500</xdr:colOff>
                <xdr:row>31</xdr:row>
                <xdr:rowOff>19050</xdr:rowOff>
              </to>
            </anchor>
          </controlPr>
        </control>
      </mc:Choice>
      <mc:Fallback>
        <control shapeId="1105" r:id="rId34" name="chkCCYPair4"/>
      </mc:Fallback>
    </mc:AlternateContent>
    <mc:AlternateContent xmlns:mc="http://schemas.openxmlformats.org/markup-compatibility/2006">
      <mc:Choice Requires="x14">
        <control shapeId="1104" r:id="rId36" name="chkCCYPair3">
          <controlPr autoLine="0" r:id="rId37">
            <anchor moveWithCells="1">
              <from>
                <xdr:col>39</xdr:col>
                <xdr:colOff>0</xdr:colOff>
                <xdr:row>29</xdr:row>
                <xdr:rowOff>12700</xdr:rowOff>
              </from>
              <to>
                <xdr:col>39</xdr:col>
                <xdr:colOff>571500</xdr:colOff>
                <xdr:row>31</xdr:row>
                <xdr:rowOff>19050</xdr:rowOff>
              </to>
            </anchor>
          </controlPr>
        </control>
      </mc:Choice>
      <mc:Fallback>
        <control shapeId="1104" r:id="rId36" name="chkCCYPair3"/>
      </mc:Fallback>
    </mc:AlternateContent>
    <mc:AlternateContent xmlns:mc="http://schemas.openxmlformats.org/markup-compatibility/2006">
      <mc:Choice Requires="x14">
        <control shapeId="1103" r:id="rId38" name="chkCCYPair2">
          <controlPr autoLine="0" r:id="rId39">
            <anchor moveWithCells="1">
              <from>
                <xdr:col>31</xdr:col>
                <xdr:colOff>114300</xdr:colOff>
                <xdr:row>29</xdr:row>
                <xdr:rowOff>0</xdr:rowOff>
              </from>
              <to>
                <xdr:col>31</xdr:col>
                <xdr:colOff>685800</xdr:colOff>
                <xdr:row>31</xdr:row>
                <xdr:rowOff>12700</xdr:rowOff>
              </to>
            </anchor>
          </controlPr>
        </control>
      </mc:Choice>
      <mc:Fallback>
        <control shapeId="1103" r:id="rId38" name="chkCCYPair2"/>
      </mc:Fallback>
    </mc:AlternateContent>
    <mc:AlternateContent xmlns:mc="http://schemas.openxmlformats.org/markup-compatibility/2006">
      <mc:Choice Requires="x14">
        <control shapeId="1102" r:id="rId40" name="chkCCYPair1">
          <controlPr autoLine="0" r:id="rId41">
            <anchor moveWithCells="1">
              <from>
                <xdr:col>30</xdr:col>
                <xdr:colOff>107950</xdr:colOff>
                <xdr:row>29</xdr:row>
                <xdr:rowOff>0</xdr:rowOff>
              </from>
              <to>
                <xdr:col>30</xdr:col>
                <xdr:colOff>679450</xdr:colOff>
                <xdr:row>31</xdr:row>
                <xdr:rowOff>12700</xdr:rowOff>
              </to>
            </anchor>
          </controlPr>
        </control>
      </mc:Choice>
      <mc:Fallback>
        <control shapeId="1102" r:id="rId40" name="chkCCYPair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Translation!$AA$2:$AA$3</xm:f>
          </x14:formula1>
          <xm:sqref>H6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G379"/>
  <sheetViews>
    <sheetView showGridLines="0" topLeftCell="AP138" workbookViewId="0">
      <selection activeCell="AX21" sqref="AX21"/>
    </sheetView>
  </sheetViews>
  <sheetFormatPr defaultRowHeight="15" customHeight="1"/>
  <cols>
    <col min="1" max="1" width="9.1796875" customWidth="1"/>
    <col min="2" max="2" width="49.81640625" bestFit="1" customWidth="1"/>
    <col min="3" max="3" width="8.7265625" customWidth="1"/>
    <col min="4" max="4" width="18.7265625" bestFit="1" customWidth="1"/>
    <col min="5" max="5" width="18.81640625" bestFit="1" customWidth="1"/>
    <col min="6" max="11" width="8.7265625" customWidth="1"/>
    <col min="12" max="12" width="16.7265625" customWidth="1"/>
    <col min="13" max="15" width="8.7265625" customWidth="1"/>
    <col min="17" max="17" width="15.26953125" bestFit="1" customWidth="1"/>
    <col min="18" max="29" width="11.453125" customWidth="1"/>
    <col min="30" max="30" width="12.453125" customWidth="1"/>
    <col min="32" max="32" width="12.1796875" customWidth="1"/>
    <col min="47" max="47" width="15.54296875" bestFit="1" customWidth="1"/>
    <col min="48" max="59" width="9.1796875" style="96"/>
  </cols>
  <sheetData>
    <row r="1" spans="2:59" ht="5.15" customHeight="1"/>
    <row r="5" spans="2:59" ht="5.15" customHeight="1"/>
    <row r="7" spans="2:59" ht="15" customHeight="1">
      <c r="B7" s="3"/>
      <c r="R7" s="93" t="s">
        <v>2213</v>
      </c>
      <c r="AG7" t="s">
        <v>74</v>
      </c>
    </row>
    <row r="8" spans="2:59" ht="15" customHeight="1">
      <c r="R8" t="str">
        <f>LEFT('Main Monitor'!E16,3)</f>
        <v>USD</v>
      </c>
      <c r="S8" t="str">
        <f>LEFT('Main Monitor'!E17,3)</f>
        <v>AUD</v>
      </c>
      <c r="T8" t="str">
        <f>LEFT('Main Monitor'!E18,3)</f>
        <v>USD</v>
      </c>
      <c r="U8" t="str">
        <f>LEFT('Main Monitor'!E19,3)</f>
        <v>USD</v>
      </c>
      <c r="V8" t="str">
        <f>LEFT('Main Monitor'!E20,3)</f>
        <v>USD</v>
      </c>
      <c r="W8" t="str">
        <f>LEFT('Main Monitor'!E21,3)</f>
        <v>GBP</v>
      </c>
      <c r="X8" t="str">
        <f>LEFT('Main Monitor'!E22,3)</f>
        <v>EUR</v>
      </c>
      <c r="Y8" t="str">
        <f>LEFT('Main Monitor'!E23,3)</f>
        <v>NZD</v>
      </c>
      <c r="Z8" t="str">
        <f>LEFT('Main Monitor'!E24,3)</f>
        <v>USD</v>
      </c>
      <c r="AA8" t="str">
        <f>LEFT('Main Monitor'!E25,3)</f>
        <v>USD</v>
      </c>
      <c r="AB8" t="str">
        <f>LEFT('Main Monitor'!E26,3)</f>
        <v>USD</v>
      </c>
      <c r="AC8" t="str">
        <f>LEFT('Main Monitor'!E27,3)</f>
        <v>USD</v>
      </c>
      <c r="AG8" t="str">
        <f>RIGHT('Main Monitor'!E16,3)</f>
        <v>SGD</v>
      </c>
      <c r="AH8" t="str">
        <f>RIGHT('Main Monitor'!E17,3)</f>
        <v>USD</v>
      </c>
      <c r="AI8" t="str">
        <f>RIGHT('Main Monitor'!E18,3)</f>
        <v>CAD</v>
      </c>
      <c r="AJ8" t="str">
        <f>RIGHT('Main Monitor'!E19,3)</f>
        <v>JPY</v>
      </c>
      <c r="AK8" t="str">
        <f>RIGHT('Main Monitor'!E20,3)</f>
        <v>CHF</v>
      </c>
      <c r="AL8" t="str">
        <f>RIGHT('Main Monitor'!E21,3)</f>
        <v>USD</v>
      </c>
      <c r="AM8" t="str">
        <f>RIGHT('Main Monitor'!E22,3)</f>
        <v>GBP</v>
      </c>
      <c r="AN8" t="str">
        <f>RIGHT('Main Monitor'!E23,3)</f>
        <v>USD</v>
      </c>
      <c r="AO8" t="str">
        <f>RIGHT('Main Monitor'!E24,3)</f>
        <v>HKD</v>
      </c>
      <c r="AP8" t="str">
        <f>RIGHT('Main Monitor'!E25,3)</f>
        <v>SEK</v>
      </c>
      <c r="AQ8" t="str">
        <f>RIGHT('Main Monitor'!E26,3)</f>
        <v>NOK</v>
      </c>
      <c r="AR8" t="str">
        <f>RIGHT('Main Monitor'!E27,3)</f>
        <v>DKK</v>
      </c>
    </row>
    <row r="9" spans="2:59" ht="15" customHeight="1">
      <c r="B9" s="2" t="e">
        <f ca="1">B10-365</f>
        <v>#NAME?</v>
      </c>
      <c r="C9" t="s">
        <v>70</v>
      </c>
      <c r="AU9" t="s">
        <v>77</v>
      </c>
    </row>
    <row r="10" spans="2:59" ht="15" customHeight="1">
      <c r="B10" s="2" t="e">
        <f ca="1">'Main Monitor'!G8</f>
        <v>#NAME?</v>
      </c>
      <c r="C10" t="s">
        <v>44</v>
      </c>
      <c r="Q10" s="93" t="s">
        <v>2212</v>
      </c>
      <c r="R10" t="e">
        <f ca="1">IF(AND(UPPER(R8)&lt;&gt;"BRL",RIGHT(R11,6)="Comdty"),"Y","N")</f>
        <v>#N/A</v>
      </c>
      <c r="S10" t="e">
        <f t="shared" ref="S10:AC10" ca="1" si="0">IF(AND(UPPER(S8)&lt;&gt;"BRL",RIGHT(S11,6)="Comdty"),"Y","N")</f>
        <v>#N/A</v>
      </c>
      <c r="T10" t="e">
        <f t="shared" ca="1" si="0"/>
        <v>#N/A</v>
      </c>
      <c r="U10" t="e">
        <f t="shared" ca="1" si="0"/>
        <v>#N/A</v>
      </c>
      <c r="V10" t="e">
        <f t="shared" ca="1" si="0"/>
        <v>#N/A</v>
      </c>
      <c r="W10" t="e">
        <f t="shared" ca="1" si="0"/>
        <v>#N/A</v>
      </c>
      <c r="X10" t="e">
        <f t="shared" ca="1" si="0"/>
        <v>#N/A</v>
      </c>
      <c r="Y10" t="e">
        <f t="shared" ca="1" si="0"/>
        <v>#N/A</v>
      </c>
      <c r="Z10" t="e">
        <f t="shared" ca="1" si="0"/>
        <v>#N/A</v>
      </c>
      <c r="AA10" t="e">
        <f t="shared" ca="1" si="0"/>
        <v>#N/A</v>
      </c>
      <c r="AB10" t="e">
        <f t="shared" ca="1" si="0"/>
        <v>#N/A</v>
      </c>
      <c r="AC10" t="e">
        <f t="shared" ca="1" si="0"/>
        <v>#N/A</v>
      </c>
      <c r="AF10" s="93" t="s">
        <v>2212</v>
      </c>
      <c r="AG10" t="e">
        <f ca="1">IF(AND(UPPER(AG8)&lt;&gt;"BRL",RIGHT(AG11,6)="Comdty"),"Y","N")</f>
        <v>#N/A</v>
      </c>
      <c r="AH10" t="e">
        <f t="shared" ref="AH10:AR10" ca="1" si="1">IF(AND(UPPER(AH8)&lt;&gt;"BRL",RIGHT(AH11,6)="Comdty"),"Y","N")</f>
        <v>#N/A</v>
      </c>
      <c r="AI10" t="e">
        <f t="shared" ca="1" si="1"/>
        <v>#N/A</v>
      </c>
      <c r="AJ10" t="e">
        <f t="shared" ca="1" si="1"/>
        <v>#N/A</v>
      </c>
      <c r="AK10" t="e">
        <f t="shared" ca="1" si="1"/>
        <v>#N/A</v>
      </c>
      <c r="AL10" t="e">
        <f t="shared" ca="1" si="1"/>
        <v>#N/A</v>
      </c>
      <c r="AM10" t="e">
        <f t="shared" ca="1" si="1"/>
        <v>#N/A</v>
      </c>
      <c r="AN10" t="e">
        <f t="shared" ca="1" si="1"/>
        <v>#N/A</v>
      </c>
      <c r="AO10" t="e">
        <f t="shared" ca="1" si="1"/>
        <v>#N/A</v>
      </c>
      <c r="AP10" t="e">
        <f t="shared" ca="1" si="1"/>
        <v>#N/A</v>
      </c>
      <c r="AQ10" t="e">
        <f t="shared" ca="1" si="1"/>
        <v>#N/A</v>
      </c>
      <c r="AR10" t="e">
        <f t="shared" ca="1" si="1"/>
        <v>#N/A</v>
      </c>
      <c r="AU10" s="93"/>
    </row>
    <row r="11" spans="2:59" ht="15" customHeight="1">
      <c r="B11" t="s">
        <v>75</v>
      </c>
      <c r="C11" t="str">
        <f>'Main Monitor'!AZ16</f>
        <v>USDSGDV2Y Curncy</v>
      </c>
      <c r="D11" t="str">
        <f>'Main Monitor'!AZ17</f>
        <v>AUDUSDV2Y Curncy</v>
      </c>
      <c r="E11" t="str">
        <f>'Main Monitor'!AZ18</f>
        <v>USDCADV2Y Curncy</v>
      </c>
      <c r="F11" t="str">
        <f>'Main Monitor'!AZ19</f>
        <v>USDJPYV2Y Curncy</v>
      </c>
      <c r="G11" t="str">
        <f>'Main Monitor'!AZ20</f>
        <v>USDCHFV2Y Curncy</v>
      </c>
      <c r="H11" t="str">
        <f>'Main Monitor'!AZ21</f>
        <v>GBPUSDV2Y Curncy</v>
      </c>
      <c r="I11" t="str">
        <f>'Main Monitor'!AZ22</f>
        <v>EURGBPV2Y Curncy</v>
      </c>
      <c r="J11" t="str">
        <f>'Main Monitor'!AZ23</f>
        <v>NZDUSDV2Y Curncy</v>
      </c>
      <c r="K11" t="str">
        <f>'Main Monitor'!AZ24</f>
        <v>USDHKDV2Y Curncy</v>
      </c>
      <c r="L11" t="str">
        <f>'Main Monitor'!AZ25</f>
        <v>USDSEKV2Y Curncy</v>
      </c>
      <c r="M11" t="str">
        <f>'Main Monitor'!AZ26</f>
        <v>USDNOKV2Y Curncy</v>
      </c>
      <c r="N11" t="str">
        <f>'Main Monitor'!AZ27</f>
        <v>USDDKKV2Y Curncy</v>
      </c>
      <c r="Q11" t="s">
        <v>75</v>
      </c>
      <c r="R11" t="e">
        <f ca="1">'Main Monitor'!BA16</f>
        <v>#N/A</v>
      </c>
      <c r="S11" t="e">
        <f ca="1">'Main Monitor'!BA17</f>
        <v>#N/A</v>
      </c>
      <c r="T11" t="e">
        <f ca="1">'Main Monitor'!BA18</f>
        <v>#N/A</v>
      </c>
      <c r="U11" t="e">
        <f ca="1">'Main Monitor'!BA19</f>
        <v>#N/A</v>
      </c>
      <c r="V11" t="e">
        <f ca="1">'Main Monitor'!BA20</f>
        <v>#N/A</v>
      </c>
      <c r="W11" t="e">
        <f ca="1">'Main Monitor'!BA21</f>
        <v>#N/A</v>
      </c>
      <c r="X11" t="e">
        <f ca="1">'Main Monitor'!BA22</f>
        <v>#N/A</v>
      </c>
      <c r="Y11" t="e">
        <f ca="1">'Main Monitor'!BA23</f>
        <v>#N/A</v>
      </c>
      <c r="Z11" t="e">
        <f ca="1">'Main Monitor'!BA24</f>
        <v>#N/A</v>
      </c>
      <c r="AA11" t="e">
        <f ca="1">'Main Monitor'!BA25</f>
        <v>#N/A</v>
      </c>
      <c r="AB11" t="e">
        <f ca="1">'Main Monitor'!BA26</f>
        <v>#N/A</v>
      </c>
      <c r="AC11" t="e">
        <f ca="1">'Main Monitor'!BA27</f>
        <v>#N/A</v>
      </c>
      <c r="AF11" t="s">
        <v>75</v>
      </c>
      <c r="AG11" t="e">
        <f ca="1">'Main Monitor'!BB16</f>
        <v>#N/A</v>
      </c>
      <c r="AH11" t="e">
        <f ca="1">'Main Monitor'!BB17</f>
        <v>#N/A</v>
      </c>
      <c r="AI11" t="e">
        <f ca="1">'Main Monitor'!BB18</f>
        <v>#N/A</v>
      </c>
      <c r="AJ11" t="e">
        <f ca="1">'Main Monitor'!BB19</f>
        <v>#N/A</v>
      </c>
      <c r="AK11" t="e">
        <f ca="1">'Main Monitor'!BB20</f>
        <v>#N/A</v>
      </c>
      <c r="AL11" t="e">
        <f ca="1">'Main Monitor'!BB21</f>
        <v>#N/A</v>
      </c>
      <c r="AM11" t="e">
        <f ca="1">'Main Monitor'!BB22</f>
        <v>#N/A</v>
      </c>
      <c r="AN11" t="e">
        <f ca="1">'Main Monitor'!BB23</f>
        <v>#N/A</v>
      </c>
      <c r="AO11" t="e">
        <f ca="1">'Main Monitor'!BB24</f>
        <v>#N/A</v>
      </c>
      <c r="AP11" t="e">
        <f ca="1">'Main Monitor'!BB25</f>
        <v>#N/A</v>
      </c>
      <c r="AQ11" t="e">
        <f ca="1">'Main Monitor'!BB26</f>
        <v>#N/A</v>
      </c>
      <c r="AR11" t="e">
        <f ca="1">'Main Monitor'!BB27</f>
        <v>#N/A</v>
      </c>
      <c r="AU11" t="s">
        <v>75</v>
      </c>
      <c r="AV11" s="96" t="str">
        <f>'Main Monitor'!AY16</f>
        <v>SGD</v>
      </c>
      <c r="AW11" s="96" t="str">
        <f>'Main Monitor'!AY17</f>
        <v>AUD</v>
      </c>
      <c r="AX11" s="96" t="str">
        <f>'Main Monitor'!AY18</f>
        <v>CAD</v>
      </c>
      <c r="AY11" s="96" t="str">
        <f>'Main Monitor'!AY19</f>
        <v>JPY</v>
      </c>
      <c r="AZ11" s="96" t="str">
        <f>'Main Monitor'!AY20</f>
        <v>CHF</v>
      </c>
      <c r="BA11" s="96" t="str">
        <f>'Main Monitor'!AY21</f>
        <v>GBP</v>
      </c>
      <c r="BB11" s="96" t="str">
        <f>'Main Monitor'!AY22</f>
        <v>EURGBP</v>
      </c>
      <c r="BC11" s="96" t="str">
        <f>'Main Monitor'!AY23</f>
        <v>NZD</v>
      </c>
      <c r="BD11" s="96" t="str">
        <f>'Main Monitor'!AY24</f>
        <v>HKD</v>
      </c>
      <c r="BE11" s="96" t="str">
        <f>'Main Monitor'!AY25</f>
        <v>SEK</v>
      </c>
      <c r="BF11" s="96" t="str">
        <f>'Main Monitor'!AY26</f>
        <v>NOK</v>
      </c>
      <c r="BG11" s="96" t="str">
        <f>'Main Monitor'!AY27</f>
        <v>DKK</v>
      </c>
    </row>
    <row r="12" spans="2:59" ht="15" customHeight="1">
      <c r="B12" s="2" t="e" cm="1">
        <f t="array" aca="1" ref="B12" ca="1">_xll.BDH(C11,$C$10,$B$9,$B$10,"Dts=S","Days=W","Fill=P")</f>
        <v>#NAME?</v>
      </c>
      <c r="D12" t="e" cm="1">
        <f t="array" aca="1" ref="D12" ca="1">_xll.BDH(D11,$C$10,$B$9,$B$10,"Dts=H","Days=W","Fill=P")</f>
        <v>#NAME?</v>
      </c>
      <c r="E12" t="e" cm="1">
        <f t="array" aca="1" ref="E12" ca="1">_xll.BDH(E11,$C$10,$B$9,$B$10,"Dts=H","Days=W","Fill=P")</f>
        <v>#NAME?</v>
      </c>
      <c r="F12" t="e" cm="1">
        <f t="array" aca="1" ref="F12" ca="1">_xll.BDH(F11,$C$10,$B$9,$B$10,"Dts=H","Days=W","Fill=P")</f>
        <v>#NAME?</v>
      </c>
      <c r="G12" t="e" cm="1">
        <f t="array" aca="1" ref="G12" ca="1">_xll.BDH(G11,$C$10,$B$9,$B$10,"Dts=H","Days=W","Fill=P")</f>
        <v>#NAME?</v>
      </c>
      <c r="H12" t="e" cm="1">
        <f t="array" aca="1" ref="H12" ca="1">_xll.BDH(H11,$C$10,$B$9,$B$10,"Dts=H","Days=W","Fill=P")</f>
        <v>#NAME?</v>
      </c>
      <c r="I12" t="e" cm="1">
        <f t="array" aca="1" ref="I12" ca="1">_xll.BDH(I11,$C$10,$B$9,$B$10,"Dts=H","Days=W","Fill=P")</f>
        <v>#NAME?</v>
      </c>
      <c r="J12" t="e" cm="1">
        <f t="array" aca="1" ref="J12" ca="1">_xll.BDH(J11,$C$10,$B$9,$B$10,"Dts=H","Days=W","Fill=P")</f>
        <v>#NAME?</v>
      </c>
      <c r="K12" t="e" cm="1">
        <f t="array" aca="1" ref="K12" ca="1">_xll.BDH(K11,$C$10,$B$9,$B$10,"Dts=H","Days=W","Fill=P")</f>
        <v>#NAME?</v>
      </c>
      <c r="L12" t="e" cm="1">
        <f t="array" aca="1" ref="L12" ca="1">_xll.BDH(L11,$C$10,$B$9,$B$10,"Dts=H","Days=W","Fill=P")</f>
        <v>#NAME?</v>
      </c>
      <c r="M12" t="e" cm="1">
        <f t="array" aca="1" ref="M12" ca="1">_xll.BDH(M11,$C$10,$B$9,$B$10,"Dts=H","Days=W","Fill=P")</f>
        <v>#NAME?</v>
      </c>
      <c r="N12" t="e" cm="1">
        <f t="array" aca="1" ref="N12" ca="1">_xll.BDH(N11,$C$10,$B$9,$B$10,"Dts=H","Days=W","Fill=P")</f>
        <v>#NAME?</v>
      </c>
      <c r="Q12" s="2" t="e" cm="1">
        <f t="array" aca="1" ref="Q12" ca="1">_xll.BDH(R11,$C$10,$B$9,$B$10,"Dts=S","Days=W","Fill=P")</f>
        <v>#NAME?</v>
      </c>
      <c r="S12" t="e" cm="1">
        <f t="array" aca="1" ref="S12" ca="1">_xll.BDH(S11,$C$10,$B$9,$B$10,"Dts=H","Days=W","Fill=P")</f>
        <v>#NAME?</v>
      </c>
      <c r="T12" t="e" cm="1">
        <f t="array" aca="1" ref="T12" ca="1">_xll.BDH(T11,$C$10,$B$9,$B$10,"Dts=H","Days=W","Fill=P")</f>
        <v>#NAME?</v>
      </c>
      <c r="U12" t="e" cm="1">
        <f t="array" aca="1" ref="U12" ca="1">_xll.BDH(U11,$C$10,$B$9,$B$10,"Dts=H","Days=W","Fill=P")</f>
        <v>#NAME?</v>
      </c>
      <c r="V12" t="e" cm="1">
        <f t="array" aca="1" ref="V12" ca="1">_xll.BDH(V11,$C$10,$B$9,$B$10,"Dts=H","Days=W","Fill=P")</f>
        <v>#NAME?</v>
      </c>
      <c r="W12" t="e" cm="1">
        <f t="array" aca="1" ref="W12" ca="1">_xll.BDH(W11,$C$10,$B$9,$B$10,"Dts=H","Days=W","Fill=P")</f>
        <v>#NAME?</v>
      </c>
      <c r="X12" t="e" cm="1">
        <f t="array" aca="1" ref="X12" ca="1">_xll.BDH(X11,$C$10,$B$9,$B$10,"Dts=H","Days=W","Fill=P")</f>
        <v>#NAME?</v>
      </c>
      <c r="Y12" t="e" cm="1">
        <f t="array" aca="1" ref="Y12" ca="1">_xll.BDH(Y11,$C$10,$B$9,$B$10,"Dts=H","Days=W","Fill=P")</f>
        <v>#NAME?</v>
      </c>
      <c r="Z12" t="e" cm="1">
        <f t="array" aca="1" ref="Z12" ca="1">_xll.BDH(Z11,$C$10,$B$9,$B$10,"Dts=H","Days=W","Fill=P")</f>
        <v>#NAME?</v>
      </c>
      <c r="AA12" t="e" cm="1">
        <f t="array" aca="1" ref="AA12" ca="1">_xll.BDH(AA11,$C$10,$B$9,$B$10,"Dts=H","Days=W","Fill=P")</f>
        <v>#NAME?</v>
      </c>
      <c r="AB12" t="e" cm="1">
        <f t="array" aca="1" ref="AB12" ca="1">_xll.BDH(AB11,$C$10,$B$9,$B$10,"Dts=H","Days=W","Fill=P")</f>
        <v>#NAME?</v>
      </c>
      <c r="AC12" t="e" cm="1">
        <f t="array" aca="1" ref="AC12" ca="1">_xll.BDH(AC11,$C$10,$B$9,$B$10,"Dts=H","Days=W","Fill=P")</f>
        <v>#NAME?</v>
      </c>
      <c r="AF12" s="2" t="e" cm="1">
        <f t="array" aca="1" ref="AF12" ca="1">_xll.BDH(AG11,$C$10,$B$9,$B$10,"Dts=S","Days=W","Fill=P")</f>
        <v>#NAME?</v>
      </c>
      <c r="AH12" t="e" cm="1">
        <f t="array" aca="1" ref="AH12" ca="1">_xll.BDH(AH11,$C$10,$B$9,$B$10,"Dts=H","Days=W","Fill=P")</f>
        <v>#NAME?</v>
      </c>
      <c r="AI12" t="e" cm="1">
        <f t="array" aca="1" ref="AI12" ca="1">_xll.BDH(AI11,$C$10,$B$9,$B$10,"Dts=H","Days=W","Fill=P")</f>
        <v>#NAME?</v>
      </c>
      <c r="AJ12" t="e" cm="1">
        <f t="array" aca="1" ref="AJ12" ca="1">_xll.BDH(AJ11,$C$10,$B$9,$B$10,"Dts=H","Days=W","Fill=P")</f>
        <v>#NAME?</v>
      </c>
      <c r="AK12" t="e" cm="1">
        <f t="array" aca="1" ref="AK12" ca="1">_xll.BDH(AK11,$C$10,$B$9,$B$10,"Dts=H","Days=W","Fill=P")</f>
        <v>#NAME?</v>
      </c>
      <c r="AL12" t="e" cm="1">
        <f t="array" aca="1" ref="AL12" ca="1">_xll.BDH(AL11,$C$10,$B$9,$B$10,"Dts=H","Days=W","Fill=P")</f>
        <v>#NAME?</v>
      </c>
      <c r="AM12" t="e" cm="1">
        <f t="array" aca="1" ref="AM12" ca="1">_xll.BDH(AM11,$C$10,$B$9,$B$10,"Dts=H","Days=W","Fill=P")</f>
        <v>#NAME?</v>
      </c>
      <c r="AN12" t="e" cm="1">
        <f t="array" aca="1" ref="AN12" ca="1">_xll.BDH(AN11,$C$10,$B$9,$B$10,"Dts=H","Days=W","Fill=P")</f>
        <v>#NAME?</v>
      </c>
      <c r="AO12" t="e" cm="1">
        <f t="array" aca="1" ref="AO12" ca="1">_xll.BDH(AO11,$C$10,$B$9,$B$10,"Dts=H","Days=W","Fill=P")</f>
        <v>#NAME?</v>
      </c>
      <c r="AP12" t="e" cm="1">
        <f t="array" aca="1" ref="AP12" ca="1">_xll.BDH(AP11,$C$10,$B$9,$B$10,"Dts=H","Days=W","Fill=P")</f>
        <v>#NAME?</v>
      </c>
      <c r="AQ12" t="e" cm="1">
        <f t="array" aca="1" ref="AQ12" ca="1">_xll.BDH(AQ11,$C$10,$B$9,$B$10,"Dts=H","Days=W","Fill=P")</f>
        <v>#NAME?</v>
      </c>
      <c r="AR12" t="e" cm="1">
        <f t="array" aca="1" ref="AR12" ca="1">_xll.BDH(AR11,$C$10,$B$9,$B$10,"Dts=H","Days=W","Fill=P")</f>
        <v>#NAME?</v>
      </c>
      <c r="AU12" s="2" t="e">
        <f ca="1">IF(TRIM(B12)&lt;&gt;"", B12, NA())</f>
        <v>#NAME?</v>
      </c>
      <c r="AV12" s="96" t="e">
        <f ca="1">IF(ISERROR(ABS(IF(AG$10="Y",100-AG12,AG12)-IF(R$10="Y",100-R12,R12))/C12), NA(), ABS(IF(AG$10="Y",100-AG12,AG12)-IF(R$10="Y",100-R12,R12))/C12)</f>
        <v>#N/A</v>
      </c>
      <c r="AW12" s="96" t="e">
        <f t="shared" ref="AW12:BG12" ca="1" si="2">IF(ISERROR(ABS(IF(AH$10="Y",100-AH12,AH12)-IF(S$10="Y",100-S12,S12))/D12), NA(), ABS(IF(AH$10="Y",100-AH12,AH12)-IF(S$10="Y",100-S12,S12))/D12)</f>
        <v>#N/A</v>
      </c>
      <c r="AX12" s="96" t="e">
        <f t="shared" ca="1" si="2"/>
        <v>#N/A</v>
      </c>
      <c r="AY12" s="96" t="e">
        <f t="shared" ca="1" si="2"/>
        <v>#N/A</v>
      </c>
      <c r="AZ12" s="96" t="e">
        <f t="shared" ca="1" si="2"/>
        <v>#N/A</v>
      </c>
      <c r="BA12" s="96" t="e">
        <f t="shared" ca="1" si="2"/>
        <v>#N/A</v>
      </c>
      <c r="BB12" s="96" t="e">
        <f t="shared" ca="1" si="2"/>
        <v>#N/A</v>
      </c>
      <c r="BC12" s="96" t="e">
        <f t="shared" ca="1" si="2"/>
        <v>#N/A</v>
      </c>
      <c r="BD12" s="96" t="e">
        <f t="shared" ca="1" si="2"/>
        <v>#N/A</v>
      </c>
      <c r="BE12" s="96" t="e">
        <f t="shared" ca="1" si="2"/>
        <v>#N/A</v>
      </c>
      <c r="BF12" s="96" t="e">
        <f t="shared" ca="1" si="2"/>
        <v>#N/A</v>
      </c>
      <c r="BG12" s="96" t="e">
        <f t="shared" ca="1" si="2"/>
        <v>#N/A</v>
      </c>
    </row>
    <row r="13" spans="2:59" ht="15" customHeight="1">
      <c r="B13" s="2"/>
      <c r="Q13" s="2"/>
      <c r="AF13" s="2"/>
      <c r="AU13" s="2" t="e">
        <f t="shared" ref="AU13:AU76" si="3">IF(TRIM(B13)&lt;&gt;"", B13, NA())</f>
        <v>#N/A</v>
      </c>
      <c r="AV13" s="96" t="e">
        <f t="shared" ref="AV13:AV76" ca="1" si="4">IF(ISERROR(ABS(IF(AG$10="Y",100-AG13,AG13)-IF(R$10="Y",100-R13,R13))/C13), NA(), ABS(IF(AG$10="Y",100-AG13,AG13)-IF(R$10="Y",100-R13,R13))/C13)</f>
        <v>#N/A</v>
      </c>
      <c r="AW13" s="96" t="e">
        <f t="shared" ref="AW13:AW76" ca="1" si="5">IF(ISERROR(ABS(IF(AH$10="Y",100-AH13,AH13)-IF(S$10="Y",100-S13,S13))/D13), NA(), ABS(IF(AH$10="Y",100-AH13,AH13)-IF(S$10="Y",100-S13,S13))/D13)</f>
        <v>#N/A</v>
      </c>
      <c r="AX13" s="96" t="e">
        <f t="shared" ref="AX13:AX76" ca="1" si="6">IF(ISERROR(ABS(IF(AI$10="Y",100-AI13,AI13)-IF(T$10="Y",100-T13,T13))/E13), NA(), ABS(IF(AI$10="Y",100-AI13,AI13)-IF(T$10="Y",100-T13,T13))/E13)</f>
        <v>#N/A</v>
      </c>
      <c r="AY13" s="96" t="e">
        <f t="shared" ref="AY13:AY76" ca="1" si="7">IF(ISERROR(ABS(IF(AJ$10="Y",100-AJ13,AJ13)-IF(U$10="Y",100-U13,U13))/F13), NA(), ABS(IF(AJ$10="Y",100-AJ13,AJ13)-IF(U$10="Y",100-U13,U13))/F13)</f>
        <v>#N/A</v>
      </c>
      <c r="AZ13" s="96" t="e">
        <f t="shared" ref="AZ13:AZ76" ca="1" si="8">IF(ISERROR(ABS(IF(AK$10="Y",100-AK13,AK13)-IF(V$10="Y",100-V13,V13))/G13), NA(), ABS(IF(AK$10="Y",100-AK13,AK13)-IF(V$10="Y",100-V13,V13))/G13)</f>
        <v>#N/A</v>
      </c>
      <c r="BA13" s="96" t="e">
        <f t="shared" ref="BA13:BA76" ca="1" si="9">IF(ISERROR(ABS(IF(AL$10="Y",100-AL13,AL13)-IF(W$10="Y",100-W13,W13))/H13), NA(), ABS(IF(AL$10="Y",100-AL13,AL13)-IF(W$10="Y",100-W13,W13))/H13)</f>
        <v>#N/A</v>
      </c>
      <c r="BB13" s="96" t="e">
        <f t="shared" ref="BB13:BB76" ca="1" si="10">IF(ISERROR(ABS(IF(AM$10="Y",100-AM13,AM13)-IF(X$10="Y",100-X13,X13))/I13), NA(), ABS(IF(AM$10="Y",100-AM13,AM13)-IF(X$10="Y",100-X13,X13))/I13)</f>
        <v>#N/A</v>
      </c>
      <c r="BC13" s="96" t="e">
        <f t="shared" ref="BC13:BC76" ca="1" si="11">IF(ISERROR(ABS(IF(AN$10="Y",100-AN13,AN13)-IF(Y$10="Y",100-Y13,Y13))/J13), NA(), ABS(IF(AN$10="Y",100-AN13,AN13)-IF(Y$10="Y",100-Y13,Y13))/J13)</f>
        <v>#N/A</v>
      </c>
      <c r="BD13" s="96" t="e">
        <f t="shared" ref="BD13:BD76" ca="1" si="12">IF(ISERROR(ABS(IF(AO$10="Y",100-AO13,AO13)-IF(Z$10="Y",100-Z13,Z13))/K13), NA(), ABS(IF(AO$10="Y",100-AO13,AO13)-IF(Z$10="Y",100-Z13,Z13))/K13)</f>
        <v>#N/A</v>
      </c>
      <c r="BE13" s="96" t="e">
        <f t="shared" ref="BE13:BE76" ca="1" si="13">IF(ISERROR(ABS(IF(AP$10="Y",100-AP13,AP13)-IF(AA$10="Y",100-AA13,AA13))/L13), NA(), ABS(IF(AP$10="Y",100-AP13,AP13)-IF(AA$10="Y",100-AA13,AA13))/L13)</f>
        <v>#N/A</v>
      </c>
      <c r="BF13" s="96" t="e">
        <f t="shared" ref="BF13:BF76" ca="1" si="14">IF(ISERROR(ABS(IF(AQ$10="Y",100-AQ13,AQ13)-IF(AB$10="Y",100-AB13,AB13))/M13), NA(), ABS(IF(AQ$10="Y",100-AQ13,AQ13)-IF(AB$10="Y",100-AB13,AB13))/M13)</f>
        <v>#N/A</v>
      </c>
      <c r="BG13" s="96" t="e">
        <f t="shared" ref="BG13:BG76" ca="1" si="15">IF(ISERROR(ABS(IF(AR$10="Y",100-AR13,AR13)-IF(AC$10="Y",100-AC13,AC13))/N13), NA(), ABS(IF(AR$10="Y",100-AR13,AR13)-IF(AC$10="Y",100-AC13,AC13))/N13)</f>
        <v>#N/A</v>
      </c>
    </row>
    <row r="14" spans="2:59" ht="15" customHeight="1">
      <c r="B14" s="2"/>
      <c r="Q14" s="2"/>
      <c r="AF14" s="2"/>
      <c r="AU14" s="2" t="e">
        <f t="shared" si="3"/>
        <v>#N/A</v>
      </c>
      <c r="AV14" s="96" t="e">
        <f ca="1">IF(ISERROR(ABS(IF(AG$10="Y",100-AG14,AG14)-IF(R$10="Y",100-R14,R14))/C14), NA(), ABS(IF(AG$10="Y",100-AG14,AG14)-IF(R$10="Y",100-R14,R14))/C14)</f>
        <v>#N/A</v>
      </c>
      <c r="AW14" s="96" t="e">
        <f t="shared" ca="1" si="5"/>
        <v>#N/A</v>
      </c>
      <c r="AX14" s="96" t="e">
        <f t="shared" ca="1" si="6"/>
        <v>#N/A</v>
      </c>
      <c r="AY14" s="96" t="e">
        <f t="shared" ca="1" si="7"/>
        <v>#N/A</v>
      </c>
      <c r="AZ14" s="96" t="e">
        <f t="shared" ca="1" si="8"/>
        <v>#N/A</v>
      </c>
      <c r="BA14" s="96" t="e">
        <f t="shared" ca="1" si="9"/>
        <v>#N/A</v>
      </c>
      <c r="BB14" s="96" t="e">
        <f t="shared" ca="1" si="10"/>
        <v>#N/A</v>
      </c>
      <c r="BC14" s="96" t="e">
        <f t="shared" ca="1" si="11"/>
        <v>#N/A</v>
      </c>
      <c r="BD14" s="96" t="e">
        <f t="shared" ca="1" si="12"/>
        <v>#N/A</v>
      </c>
      <c r="BE14" s="96" t="e">
        <f t="shared" ca="1" si="13"/>
        <v>#N/A</v>
      </c>
      <c r="BF14" s="96" t="e">
        <f t="shared" ca="1" si="14"/>
        <v>#N/A</v>
      </c>
      <c r="BG14" s="96" t="e">
        <f t="shared" ca="1" si="15"/>
        <v>#N/A</v>
      </c>
    </row>
    <row r="15" spans="2:59" ht="15" customHeight="1">
      <c r="B15" s="2"/>
      <c r="Q15" s="2"/>
      <c r="AF15" s="2"/>
      <c r="AU15" s="2" t="e">
        <f t="shared" si="3"/>
        <v>#N/A</v>
      </c>
      <c r="AV15" s="96" t="e">
        <f t="shared" ca="1" si="4"/>
        <v>#N/A</v>
      </c>
      <c r="AW15" s="96" t="e">
        <f t="shared" ca="1" si="5"/>
        <v>#N/A</v>
      </c>
      <c r="AX15" s="96" t="e">
        <f t="shared" ca="1" si="6"/>
        <v>#N/A</v>
      </c>
      <c r="AY15" s="96" t="e">
        <f t="shared" ca="1" si="7"/>
        <v>#N/A</v>
      </c>
      <c r="AZ15" s="96" t="e">
        <f t="shared" ca="1" si="8"/>
        <v>#N/A</v>
      </c>
      <c r="BA15" s="96" t="e">
        <f t="shared" ca="1" si="9"/>
        <v>#N/A</v>
      </c>
      <c r="BB15" s="96" t="e">
        <f t="shared" ca="1" si="10"/>
        <v>#N/A</v>
      </c>
      <c r="BC15" s="96" t="e">
        <f t="shared" ca="1" si="11"/>
        <v>#N/A</v>
      </c>
      <c r="BD15" s="96" t="e">
        <f t="shared" ca="1" si="12"/>
        <v>#N/A</v>
      </c>
      <c r="BE15" s="96" t="e">
        <f ca="1">IF(ISERROR(ABS(IF(AP$10="Y",100-AP15,AP15)-IF(AA$10="Y",100-AA15,AA15))/L15), NA(), ABS(IF(AP$10="Y",100-AP15,AP15)-IF(AA$10="Y",100-AA15,AA15))/L15)</f>
        <v>#N/A</v>
      </c>
      <c r="BF15" s="96" t="e">
        <f t="shared" ca="1" si="14"/>
        <v>#N/A</v>
      </c>
      <c r="BG15" s="96" t="e">
        <f t="shared" ca="1" si="15"/>
        <v>#N/A</v>
      </c>
    </row>
    <row r="16" spans="2:59" ht="15" customHeight="1">
      <c r="B16" s="2"/>
      <c r="Q16" s="2"/>
      <c r="AF16" s="2"/>
      <c r="AU16" s="2" t="e">
        <f t="shared" si="3"/>
        <v>#N/A</v>
      </c>
      <c r="AV16" s="96" t="e">
        <f t="shared" ca="1" si="4"/>
        <v>#N/A</v>
      </c>
      <c r="AW16" s="96" t="e">
        <f t="shared" ca="1" si="5"/>
        <v>#N/A</v>
      </c>
      <c r="AX16" s="96" t="e">
        <f t="shared" ca="1" si="6"/>
        <v>#N/A</v>
      </c>
      <c r="AY16" s="96" t="e">
        <f t="shared" ca="1" si="7"/>
        <v>#N/A</v>
      </c>
      <c r="AZ16" s="96" t="e">
        <f t="shared" ca="1" si="8"/>
        <v>#N/A</v>
      </c>
      <c r="BA16" s="96" t="e">
        <f t="shared" ca="1" si="9"/>
        <v>#N/A</v>
      </c>
      <c r="BB16" s="96" t="e">
        <f t="shared" ca="1" si="10"/>
        <v>#N/A</v>
      </c>
      <c r="BC16" s="96" t="e">
        <f t="shared" ca="1" si="11"/>
        <v>#N/A</v>
      </c>
      <c r="BD16" s="96" t="e">
        <f t="shared" ca="1" si="12"/>
        <v>#N/A</v>
      </c>
      <c r="BE16" s="96" t="e">
        <f t="shared" ca="1" si="13"/>
        <v>#N/A</v>
      </c>
      <c r="BF16" s="96" t="e">
        <f t="shared" ca="1" si="14"/>
        <v>#N/A</v>
      </c>
      <c r="BG16" s="96" t="e">
        <f t="shared" ca="1" si="15"/>
        <v>#N/A</v>
      </c>
    </row>
    <row r="17" spans="2:59" ht="15" customHeight="1">
      <c r="B17" s="2"/>
      <c r="Q17" s="2"/>
      <c r="AF17" s="2"/>
      <c r="AU17" s="2" t="e">
        <f t="shared" si="3"/>
        <v>#N/A</v>
      </c>
      <c r="AV17" s="96" t="e">
        <f t="shared" ca="1" si="4"/>
        <v>#N/A</v>
      </c>
      <c r="AW17" s="96" t="e">
        <f t="shared" ca="1" si="5"/>
        <v>#N/A</v>
      </c>
      <c r="AX17" s="96" t="e">
        <f t="shared" ca="1" si="6"/>
        <v>#N/A</v>
      </c>
      <c r="AY17" s="96" t="e">
        <f t="shared" ca="1" si="7"/>
        <v>#N/A</v>
      </c>
      <c r="AZ17" s="96" t="e">
        <f t="shared" ca="1" si="8"/>
        <v>#N/A</v>
      </c>
      <c r="BA17" s="96" t="e">
        <f t="shared" ca="1" si="9"/>
        <v>#N/A</v>
      </c>
      <c r="BB17" s="96" t="e">
        <f t="shared" ca="1" si="10"/>
        <v>#N/A</v>
      </c>
      <c r="BC17" s="96" t="e">
        <f t="shared" ca="1" si="11"/>
        <v>#N/A</v>
      </c>
      <c r="BD17" s="96" t="e">
        <f t="shared" ca="1" si="12"/>
        <v>#N/A</v>
      </c>
      <c r="BE17" s="96" t="e">
        <f t="shared" ca="1" si="13"/>
        <v>#N/A</v>
      </c>
      <c r="BF17" s="96" t="e">
        <f t="shared" ca="1" si="14"/>
        <v>#N/A</v>
      </c>
      <c r="BG17" s="96" t="e">
        <f t="shared" ca="1" si="15"/>
        <v>#N/A</v>
      </c>
    </row>
    <row r="18" spans="2:59" ht="15" customHeight="1">
      <c r="B18" s="2"/>
      <c r="Q18" s="2"/>
      <c r="AF18" s="2"/>
      <c r="AU18" s="2" t="e">
        <f t="shared" si="3"/>
        <v>#N/A</v>
      </c>
      <c r="AV18" s="96" t="e">
        <f t="shared" ca="1" si="4"/>
        <v>#N/A</v>
      </c>
      <c r="AW18" s="96" t="e">
        <f t="shared" ca="1" si="5"/>
        <v>#N/A</v>
      </c>
      <c r="AX18" s="96" t="e">
        <f t="shared" ca="1" si="6"/>
        <v>#N/A</v>
      </c>
      <c r="AY18" s="96" t="e">
        <f t="shared" ca="1" si="7"/>
        <v>#N/A</v>
      </c>
      <c r="AZ18" s="96" t="e">
        <f t="shared" ca="1" si="8"/>
        <v>#N/A</v>
      </c>
      <c r="BA18" s="96" t="e">
        <f t="shared" ca="1" si="9"/>
        <v>#N/A</v>
      </c>
      <c r="BB18" s="96" t="e">
        <f t="shared" ca="1" si="10"/>
        <v>#N/A</v>
      </c>
      <c r="BC18" s="96" t="e">
        <f t="shared" ca="1" si="11"/>
        <v>#N/A</v>
      </c>
      <c r="BD18" s="96" t="e">
        <f t="shared" ca="1" si="12"/>
        <v>#N/A</v>
      </c>
      <c r="BE18" s="96" t="e">
        <f t="shared" ca="1" si="13"/>
        <v>#N/A</v>
      </c>
      <c r="BF18" s="96" t="e">
        <f t="shared" ca="1" si="14"/>
        <v>#N/A</v>
      </c>
      <c r="BG18" s="96" t="e">
        <f t="shared" ca="1" si="15"/>
        <v>#N/A</v>
      </c>
    </row>
    <row r="19" spans="2:59" ht="15" customHeight="1">
      <c r="B19" s="2"/>
      <c r="Q19" s="2"/>
      <c r="AF19" s="2"/>
      <c r="AU19" s="2" t="e">
        <f t="shared" si="3"/>
        <v>#N/A</v>
      </c>
      <c r="AV19" s="96" t="e">
        <f ca="1">IF(ISERROR(ABS(IF(AG$10="Y",100-AG19,AG19)-IF(R$10="Y",100-R19,R19))/C19), NA(), ABS(IF(AG$10="Y",100-AG19,AG19)-IF(R$10="Y",100-R19,R19))/C19)</f>
        <v>#N/A</v>
      </c>
      <c r="AW19" s="96" t="e">
        <f t="shared" ca="1" si="5"/>
        <v>#N/A</v>
      </c>
      <c r="AX19" s="96" t="e">
        <f t="shared" ca="1" si="6"/>
        <v>#N/A</v>
      </c>
      <c r="AY19" s="96" t="e">
        <f t="shared" ca="1" si="7"/>
        <v>#N/A</v>
      </c>
      <c r="AZ19" s="96" t="e">
        <f t="shared" ca="1" si="8"/>
        <v>#N/A</v>
      </c>
      <c r="BA19" s="96" t="e">
        <f t="shared" ca="1" si="9"/>
        <v>#N/A</v>
      </c>
      <c r="BB19" s="96" t="e">
        <f t="shared" ca="1" si="10"/>
        <v>#N/A</v>
      </c>
      <c r="BC19" s="96" t="e">
        <f t="shared" ca="1" si="11"/>
        <v>#N/A</v>
      </c>
      <c r="BD19" s="96" t="e">
        <f t="shared" ca="1" si="12"/>
        <v>#N/A</v>
      </c>
      <c r="BE19" s="96" t="e">
        <f t="shared" ca="1" si="13"/>
        <v>#N/A</v>
      </c>
      <c r="BF19" s="96" t="e">
        <f t="shared" ca="1" si="14"/>
        <v>#N/A</v>
      </c>
      <c r="BG19" s="96" t="e">
        <f t="shared" ca="1" si="15"/>
        <v>#N/A</v>
      </c>
    </row>
    <row r="20" spans="2:59" ht="15" customHeight="1">
      <c r="B20" s="2"/>
      <c r="Q20" s="2"/>
      <c r="AF20" s="2"/>
      <c r="AU20" s="2" t="e">
        <f t="shared" si="3"/>
        <v>#N/A</v>
      </c>
      <c r="AV20" s="96" t="e">
        <f t="shared" ca="1" si="4"/>
        <v>#N/A</v>
      </c>
      <c r="AW20" s="96" t="e">
        <f t="shared" ca="1" si="5"/>
        <v>#N/A</v>
      </c>
      <c r="AX20" s="96" t="e">
        <f t="shared" ca="1" si="6"/>
        <v>#N/A</v>
      </c>
      <c r="AY20" s="96" t="e">
        <f t="shared" ca="1" si="7"/>
        <v>#N/A</v>
      </c>
      <c r="AZ20" s="96" t="e">
        <f t="shared" ca="1" si="8"/>
        <v>#N/A</v>
      </c>
      <c r="BA20" s="96" t="e">
        <f t="shared" ca="1" si="9"/>
        <v>#N/A</v>
      </c>
      <c r="BB20" s="96" t="e">
        <f t="shared" ca="1" si="10"/>
        <v>#N/A</v>
      </c>
      <c r="BC20" s="96" t="e">
        <f t="shared" ca="1" si="11"/>
        <v>#N/A</v>
      </c>
      <c r="BD20" s="96" t="e">
        <f t="shared" ca="1" si="12"/>
        <v>#N/A</v>
      </c>
      <c r="BE20" s="96" t="e">
        <f t="shared" ca="1" si="13"/>
        <v>#N/A</v>
      </c>
      <c r="BF20" s="96" t="e">
        <f t="shared" ca="1" si="14"/>
        <v>#N/A</v>
      </c>
      <c r="BG20" s="96" t="e">
        <f t="shared" ca="1" si="15"/>
        <v>#N/A</v>
      </c>
    </row>
    <row r="21" spans="2:59" ht="15" customHeight="1">
      <c r="B21" s="2"/>
      <c r="Q21" s="2"/>
      <c r="AF21" s="2"/>
      <c r="AU21" s="2" t="e">
        <f t="shared" si="3"/>
        <v>#N/A</v>
      </c>
      <c r="AV21" s="96" t="e">
        <f t="shared" ca="1" si="4"/>
        <v>#N/A</v>
      </c>
      <c r="AW21" s="96" t="e">
        <f t="shared" ca="1" si="5"/>
        <v>#N/A</v>
      </c>
      <c r="AX21" s="96" t="e">
        <f t="shared" ca="1" si="6"/>
        <v>#N/A</v>
      </c>
      <c r="AY21" s="96" t="e">
        <f t="shared" ca="1" si="7"/>
        <v>#N/A</v>
      </c>
      <c r="AZ21" s="96" t="e">
        <f t="shared" ca="1" si="8"/>
        <v>#N/A</v>
      </c>
      <c r="BA21" s="96" t="e">
        <f t="shared" ca="1" si="9"/>
        <v>#N/A</v>
      </c>
      <c r="BB21" s="96" t="e">
        <f t="shared" ca="1" si="10"/>
        <v>#N/A</v>
      </c>
      <c r="BC21" s="96" t="e">
        <f t="shared" ca="1" si="11"/>
        <v>#N/A</v>
      </c>
      <c r="BD21" s="96" t="e">
        <f t="shared" ca="1" si="12"/>
        <v>#N/A</v>
      </c>
      <c r="BE21" s="96" t="e">
        <f t="shared" ca="1" si="13"/>
        <v>#N/A</v>
      </c>
      <c r="BF21" s="96" t="e">
        <f t="shared" ca="1" si="14"/>
        <v>#N/A</v>
      </c>
      <c r="BG21" s="96" t="e">
        <f t="shared" ca="1" si="15"/>
        <v>#N/A</v>
      </c>
    </row>
    <row r="22" spans="2:59" ht="15" customHeight="1">
      <c r="B22" s="2"/>
      <c r="Q22" s="2"/>
      <c r="AF22" s="2"/>
      <c r="AU22" s="2" t="e">
        <f t="shared" si="3"/>
        <v>#N/A</v>
      </c>
      <c r="AV22" s="96" t="e">
        <f t="shared" ca="1" si="4"/>
        <v>#N/A</v>
      </c>
      <c r="AW22" s="96" t="e">
        <f t="shared" ca="1" si="5"/>
        <v>#N/A</v>
      </c>
      <c r="AX22" s="96" t="e">
        <f t="shared" ca="1" si="6"/>
        <v>#N/A</v>
      </c>
      <c r="AY22" s="96" t="e">
        <f t="shared" ca="1" si="7"/>
        <v>#N/A</v>
      </c>
      <c r="AZ22" s="96" t="e">
        <f t="shared" ca="1" si="8"/>
        <v>#N/A</v>
      </c>
      <c r="BA22" s="96" t="e">
        <f t="shared" ca="1" si="9"/>
        <v>#N/A</v>
      </c>
      <c r="BB22" s="96" t="e">
        <f t="shared" ca="1" si="10"/>
        <v>#N/A</v>
      </c>
      <c r="BC22" s="96" t="e">
        <f t="shared" ca="1" si="11"/>
        <v>#N/A</v>
      </c>
      <c r="BD22" s="96" t="e">
        <f t="shared" ca="1" si="12"/>
        <v>#N/A</v>
      </c>
      <c r="BE22" s="96" t="e">
        <f t="shared" ca="1" si="13"/>
        <v>#N/A</v>
      </c>
      <c r="BF22" s="96" t="e">
        <f t="shared" ca="1" si="14"/>
        <v>#N/A</v>
      </c>
      <c r="BG22" s="96" t="e">
        <f t="shared" ca="1" si="15"/>
        <v>#N/A</v>
      </c>
    </row>
    <row r="23" spans="2:59" ht="15" customHeight="1">
      <c r="B23" s="2"/>
      <c r="Q23" s="2"/>
      <c r="AF23" s="2"/>
      <c r="AU23" s="2" t="e">
        <f t="shared" si="3"/>
        <v>#N/A</v>
      </c>
      <c r="AV23" s="96" t="e">
        <f t="shared" ca="1" si="4"/>
        <v>#N/A</v>
      </c>
      <c r="AW23" s="96" t="e">
        <f t="shared" ca="1" si="5"/>
        <v>#N/A</v>
      </c>
      <c r="AX23" s="96" t="e">
        <f t="shared" ca="1" si="6"/>
        <v>#N/A</v>
      </c>
      <c r="AY23" s="96" t="e">
        <f t="shared" ca="1" si="7"/>
        <v>#N/A</v>
      </c>
      <c r="AZ23" s="96" t="e">
        <f t="shared" ca="1" si="8"/>
        <v>#N/A</v>
      </c>
      <c r="BA23" s="96" t="e">
        <f t="shared" ca="1" si="9"/>
        <v>#N/A</v>
      </c>
      <c r="BB23" s="96" t="e">
        <f t="shared" ca="1" si="10"/>
        <v>#N/A</v>
      </c>
      <c r="BC23" s="96" t="e">
        <f t="shared" ca="1" si="11"/>
        <v>#N/A</v>
      </c>
      <c r="BD23" s="96" t="e">
        <f t="shared" ca="1" si="12"/>
        <v>#N/A</v>
      </c>
      <c r="BE23" s="96" t="e">
        <f t="shared" ca="1" si="13"/>
        <v>#N/A</v>
      </c>
      <c r="BF23" s="96" t="e">
        <f t="shared" ca="1" si="14"/>
        <v>#N/A</v>
      </c>
      <c r="BG23" s="96" t="e">
        <f t="shared" ca="1" si="15"/>
        <v>#N/A</v>
      </c>
    </row>
    <row r="24" spans="2:59" ht="15" customHeight="1">
      <c r="B24" s="2"/>
      <c r="Q24" s="2"/>
      <c r="AF24" s="2"/>
      <c r="AU24" s="2" t="e">
        <f t="shared" si="3"/>
        <v>#N/A</v>
      </c>
      <c r="AV24" s="96" t="e">
        <f t="shared" ca="1" si="4"/>
        <v>#N/A</v>
      </c>
      <c r="AW24" s="96" t="e">
        <f t="shared" ca="1" si="5"/>
        <v>#N/A</v>
      </c>
      <c r="AX24" s="96" t="e">
        <f t="shared" ca="1" si="6"/>
        <v>#N/A</v>
      </c>
      <c r="AY24" s="96" t="e">
        <f t="shared" ca="1" si="7"/>
        <v>#N/A</v>
      </c>
      <c r="AZ24" s="96" t="e">
        <f t="shared" ca="1" si="8"/>
        <v>#N/A</v>
      </c>
      <c r="BA24" s="96" t="e">
        <f t="shared" ca="1" si="9"/>
        <v>#N/A</v>
      </c>
      <c r="BB24" s="96" t="e">
        <f t="shared" ca="1" si="10"/>
        <v>#N/A</v>
      </c>
      <c r="BC24" s="96" t="e">
        <f t="shared" ca="1" si="11"/>
        <v>#N/A</v>
      </c>
      <c r="BD24" s="96" t="e">
        <f t="shared" ca="1" si="12"/>
        <v>#N/A</v>
      </c>
      <c r="BE24" s="96" t="e">
        <f t="shared" ca="1" si="13"/>
        <v>#N/A</v>
      </c>
      <c r="BF24" s="96" t="e">
        <f t="shared" ca="1" si="14"/>
        <v>#N/A</v>
      </c>
      <c r="BG24" s="96" t="e">
        <f t="shared" ca="1" si="15"/>
        <v>#N/A</v>
      </c>
    </row>
    <row r="25" spans="2:59" ht="15" customHeight="1">
      <c r="B25" s="2"/>
      <c r="Q25" s="2"/>
      <c r="AF25" s="2"/>
      <c r="AU25" s="2" t="e">
        <f t="shared" si="3"/>
        <v>#N/A</v>
      </c>
      <c r="AV25" s="96" t="e">
        <f t="shared" ca="1" si="4"/>
        <v>#N/A</v>
      </c>
      <c r="AW25" s="96" t="e">
        <f t="shared" ca="1" si="5"/>
        <v>#N/A</v>
      </c>
      <c r="AX25" s="96" t="e">
        <f t="shared" ca="1" si="6"/>
        <v>#N/A</v>
      </c>
      <c r="AY25" s="96" t="e">
        <f t="shared" ca="1" si="7"/>
        <v>#N/A</v>
      </c>
      <c r="AZ25" s="96" t="e">
        <f t="shared" ca="1" si="8"/>
        <v>#N/A</v>
      </c>
      <c r="BA25" s="96" t="e">
        <f t="shared" ca="1" si="9"/>
        <v>#N/A</v>
      </c>
      <c r="BB25" s="96" t="e">
        <f t="shared" ca="1" si="10"/>
        <v>#N/A</v>
      </c>
      <c r="BC25" s="96" t="e">
        <f t="shared" ca="1" si="11"/>
        <v>#N/A</v>
      </c>
      <c r="BD25" s="96" t="e">
        <f t="shared" ca="1" si="12"/>
        <v>#N/A</v>
      </c>
      <c r="BE25" s="96" t="e">
        <f t="shared" ca="1" si="13"/>
        <v>#N/A</v>
      </c>
      <c r="BF25" s="96" t="e">
        <f t="shared" ca="1" si="14"/>
        <v>#N/A</v>
      </c>
      <c r="BG25" s="96" t="e">
        <f t="shared" ca="1" si="15"/>
        <v>#N/A</v>
      </c>
    </row>
    <row r="26" spans="2:59" ht="15" customHeight="1">
      <c r="B26" s="2"/>
      <c r="Q26" s="2"/>
      <c r="AF26" s="2"/>
      <c r="AU26" s="2" t="e">
        <f t="shared" si="3"/>
        <v>#N/A</v>
      </c>
      <c r="AV26" s="96" t="e">
        <f t="shared" ca="1" si="4"/>
        <v>#N/A</v>
      </c>
      <c r="AW26" s="96" t="e">
        <f t="shared" ca="1" si="5"/>
        <v>#N/A</v>
      </c>
      <c r="AX26" s="96" t="e">
        <f t="shared" ca="1" si="6"/>
        <v>#N/A</v>
      </c>
      <c r="AY26" s="96" t="e">
        <f t="shared" ca="1" si="7"/>
        <v>#N/A</v>
      </c>
      <c r="AZ26" s="96" t="e">
        <f t="shared" ca="1" si="8"/>
        <v>#N/A</v>
      </c>
      <c r="BA26" s="96" t="e">
        <f t="shared" ca="1" si="9"/>
        <v>#N/A</v>
      </c>
      <c r="BB26" s="96" t="e">
        <f t="shared" ca="1" si="10"/>
        <v>#N/A</v>
      </c>
      <c r="BC26" s="96" t="e">
        <f t="shared" ca="1" si="11"/>
        <v>#N/A</v>
      </c>
      <c r="BD26" s="96" t="e">
        <f t="shared" ca="1" si="12"/>
        <v>#N/A</v>
      </c>
      <c r="BE26" s="96" t="e">
        <f t="shared" ca="1" si="13"/>
        <v>#N/A</v>
      </c>
      <c r="BF26" s="96" t="e">
        <f t="shared" ca="1" si="14"/>
        <v>#N/A</v>
      </c>
      <c r="BG26" s="96" t="e">
        <f t="shared" ca="1" si="15"/>
        <v>#N/A</v>
      </c>
    </row>
    <row r="27" spans="2:59" ht="15" customHeight="1">
      <c r="B27" s="2"/>
      <c r="Q27" s="2"/>
      <c r="AF27" s="2"/>
      <c r="AU27" s="2" t="e">
        <f t="shared" si="3"/>
        <v>#N/A</v>
      </c>
      <c r="AV27" s="96" t="e">
        <f t="shared" ca="1" si="4"/>
        <v>#N/A</v>
      </c>
      <c r="AW27" s="96" t="e">
        <f t="shared" ca="1" si="5"/>
        <v>#N/A</v>
      </c>
      <c r="AX27" s="96" t="e">
        <f t="shared" ca="1" si="6"/>
        <v>#N/A</v>
      </c>
      <c r="AY27" s="96" t="e">
        <f t="shared" ca="1" si="7"/>
        <v>#N/A</v>
      </c>
      <c r="AZ27" s="96" t="e">
        <f t="shared" ca="1" si="8"/>
        <v>#N/A</v>
      </c>
      <c r="BA27" s="96" t="e">
        <f t="shared" ca="1" si="9"/>
        <v>#N/A</v>
      </c>
      <c r="BB27" s="96" t="e">
        <f t="shared" ca="1" si="10"/>
        <v>#N/A</v>
      </c>
      <c r="BC27" s="96" t="e">
        <f t="shared" ca="1" si="11"/>
        <v>#N/A</v>
      </c>
      <c r="BD27" s="96" t="e">
        <f t="shared" ca="1" si="12"/>
        <v>#N/A</v>
      </c>
      <c r="BE27" s="96" t="e">
        <f t="shared" ca="1" si="13"/>
        <v>#N/A</v>
      </c>
      <c r="BF27" s="96" t="e">
        <f t="shared" ca="1" si="14"/>
        <v>#N/A</v>
      </c>
      <c r="BG27" s="96" t="e">
        <f t="shared" ca="1" si="15"/>
        <v>#N/A</v>
      </c>
    </row>
    <row r="28" spans="2:59" ht="15" customHeight="1">
      <c r="B28" s="2"/>
      <c r="Q28" s="2"/>
      <c r="AF28" s="2"/>
      <c r="AU28" s="2" t="e">
        <f t="shared" si="3"/>
        <v>#N/A</v>
      </c>
      <c r="AV28" s="96" t="e">
        <f t="shared" ca="1" si="4"/>
        <v>#N/A</v>
      </c>
      <c r="AW28" s="96" t="e">
        <f t="shared" ca="1" si="5"/>
        <v>#N/A</v>
      </c>
      <c r="AX28" s="96" t="e">
        <f t="shared" ca="1" si="6"/>
        <v>#N/A</v>
      </c>
      <c r="AY28" s="96" t="e">
        <f t="shared" ca="1" si="7"/>
        <v>#N/A</v>
      </c>
      <c r="AZ28" s="96" t="e">
        <f t="shared" ca="1" si="8"/>
        <v>#N/A</v>
      </c>
      <c r="BA28" s="96" t="e">
        <f t="shared" ca="1" si="9"/>
        <v>#N/A</v>
      </c>
      <c r="BB28" s="96" t="e">
        <f t="shared" ca="1" si="10"/>
        <v>#N/A</v>
      </c>
      <c r="BC28" s="96" t="e">
        <f t="shared" ca="1" si="11"/>
        <v>#N/A</v>
      </c>
      <c r="BD28" s="96" t="e">
        <f t="shared" ca="1" si="12"/>
        <v>#N/A</v>
      </c>
      <c r="BE28" s="96" t="e">
        <f t="shared" ca="1" si="13"/>
        <v>#N/A</v>
      </c>
      <c r="BF28" s="96" t="e">
        <f t="shared" ca="1" si="14"/>
        <v>#N/A</v>
      </c>
      <c r="BG28" s="96" t="e">
        <f t="shared" ca="1" si="15"/>
        <v>#N/A</v>
      </c>
    </row>
    <row r="29" spans="2:59" ht="15" customHeight="1">
      <c r="B29" s="2"/>
      <c r="Q29" s="2"/>
      <c r="AF29" s="2"/>
      <c r="AU29" s="2" t="e">
        <f t="shared" si="3"/>
        <v>#N/A</v>
      </c>
      <c r="AV29" s="96" t="e">
        <f t="shared" ca="1" si="4"/>
        <v>#N/A</v>
      </c>
      <c r="AW29" s="96" t="e">
        <f t="shared" ca="1" si="5"/>
        <v>#N/A</v>
      </c>
      <c r="AX29" s="96" t="e">
        <f t="shared" ca="1" si="6"/>
        <v>#N/A</v>
      </c>
      <c r="AY29" s="96" t="e">
        <f t="shared" ca="1" si="7"/>
        <v>#N/A</v>
      </c>
      <c r="AZ29" s="96" t="e">
        <f t="shared" ca="1" si="8"/>
        <v>#N/A</v>
      </c>
      <c r="BA29" s="96" t="e">
        <f t="shared" ca="1" si="9"/>
        <v>#N/A</v>
      </c>
      <c r="BB29" s="96" t="e">
        <f t="shared" ca="1" si="10"/>
        <v>#N/A</v>
      </c>
      <c r="BC29" s="96" t="e">
        <f t="shared" ca="1" si="11"/>
        <v>#N/A</v>
      </c>
      <c r="BD29" s="96" t="e">
        <f t="shared" ca="1" si="12"/>
        <v>#N/A</v>
      </c>
      <c r="BE29" s="96" t="e">
        <f t="shared" ca="1" si="13"/>
        <v>#N/A</v>
      </c>
      <c r="BF29" s="96" t="e">
        <f t="shared" ca="1" si="14"/>
        <v>#N/A</v>
      </c>
      <c r="BG29" s="96" t="e">
        <f t="shared" ca="1" si="15"/>
        <v>#N/A</v>
      </c>
    </row>
    <row r="30" spans="2:59" ht="15" customHeight="1">
      <c r="B30" s="2"/>
      <c r="Q30" s="2"/>
      <c r="AF30" s="2"/>
      <c r="AU30" s="2" t="e">
        <f t="shared" si="3"/>
        <v>#N/A</v>
      </c>
      <c r="AV30" s="96" t="e">
        <f t="shared" ca="1" si="4"/>
        <v>#N/A</v>
      </c>
      <c r="AW30" s="96" t="e">
        <f t="shared" ca="1" si="5"/>
        <v>#N/A</v>
      </c>
      <c r="AX30" s="96" t="e">
        <f t="shared" ca="1" si="6"/>
        <v>#N/A</v>
      </c>
      <c r="AY30" s="96" t="e">
        <f t="shared" ca="1" si="7"/>
        <v>#N/A</v>
      </c>
      <c r="AZ30" s="96" t="e">
        <f t="shared" ca="1" si="8"/>
        <v>#N/A</v>
      </c>
      <c r="BA30" s="96" t="e">
        <f t="shared" ca="1" si="9"/>
        <v>#N/A</v>
      </c>
      <c r="BB30" s="96" t="e">
        <f t="shared" ca="1" si="10"/>
        <v>#N/A</v>
      </c>
      <c r="BC30" s="96" t="e">
        <f t="shared" ca="1" si="11"/>
        <v>#N/A</v>
      </c>
      <c r="BD30" s="96" t="e">
        <f t="shared" ca="1" si="12"/>
        <v>#N/A</v>
      </c>
      <c r="BE30" s="96" t="e">
        <f t="shared" ca="1" si="13"/>
        <v>#N/A</v>
      </c>
      <c r="BF30" s="96" t="e">
        <f t="shared" ca="1" si="14"/>
        <v>#N/A</v>
      </c>
      <c r="BG30" s="96" t="e">
        <f t="shared" ca="1" si="15"/>
        <v>#N/A</v>
      </c>
    </row>
    <row r="31" spans="2:59" ht="15" customHeight="1">
      <c r="B31" s="2"/>
      <c r="Q31" s="2"/>
      <c r="AF31" s="2"/>
      <c r="AU31" s="2" t="e">
        <f t="shared" si="3"/>
        <v>#N/A</v>
      </c>
      <c r="AV31" s="96" t="e">
        <f t="shared" ca="1" si="4"/>
        <v>#N/A</v>
      </c>
      <c r="AW31" s="96" t="e">
        <f t="shared" ca="1" si="5"/>
        <v>#N/A</v>
      </c>
      <c r="AX31" s="96" t="e">
        <f t="shared" ca="1" si="6"/>
        <v>#N/A</v>
      </c>
      <c r="AY31" s="96" t="e">
        <f t="shared" ca="1" si="7"/>
        <v>#N/A</v>
      </c>
      <c r="AZ31" s="96" t="e">
        <f t="shared" ca="1" si="8"/>
        <v>#N/A</v>
      </c>
      <c r="BA31" s="96" t="e">
        <f t="shared" ca="1" si="9"/>
        <v>#N/A</v>
      </c>
      <c r="BB31" s="96" t="e">
        <f t="shared" ca="1" si="10"/>
        <v>#N/A</v>
      </c>
      <c r="BC31" s="96" t="e">
        <f t="shared" ca="1" si="11"/>
        <v>#N/A</v>
      </c>
      <c r="BD31" s="96" t="e">
        <f t="shared" ca="1" si="12"/>
        <v>#N/A</v>
      </c>
      <c r="BE31" s="96" t="e">
        <f t="shared" ca="1" si="13"/>
        <v>#N/A</v>
      </c>
      <c r="BF31" s="96" t="e">
        <f t="shared" ca="1" si="14"/>
        <v>#N/A</v>
      </c>
      <c r="BG31" s="96" t="e">
        <f t="shared" ca="1" si="15"/>
        <v>#N/A</v>
      </c>
    </row>
    <row r="32" spans="2:59" ht="15" customHeight="1">
      <c r="B32" s="2"/>
      <c r="Q32" s="2"/>
      <c r="AF32" s="2"/>
      <c r="AU32" s="2" t="e">
        <f t="shared" si="3"/>
        <v>#N/A</v>
      </c>
      <c r="AV32" s="96" t="e">
        <f t="shared" ca="1" si="4"/>
        <v>#N/A</v>
      </c>
      <c r="AW32" s="96" t="e">
        <f t="shared" ca="1" si="5"/>
        <v>#N/A</v>
      </c>
      <c r="AX32" s="96" t="e">
        <f t="shared" ca="1" si="6"/>
        <v>#N/A</v>
      </c>
      <c r="AY32" s="96" t="e">
        <f t="shared" ca="1" si="7"/>
        <v>#N/A</v>
      </c>
      <c r="AZ32" s="96" t="e">
        <f t="shared" ca="1" si="8"/>
        <v>#N/A</v>
      </c>
      <c r="BA32" s="96" t="e">
        <f t="shared" ca="1" si="9"/>
        <v>#N/A</v>
      </c>
      <c r="BB32" s="96" t="e">
        <f t="shared" ca="1" si="10"/>
        <v>#N/A</v>
      </c>
      <c r="BC32" s="96" t="e">
        <f t="shared" ca="1" si="11"/>
        <v>#N/A</v>
      </c>
      <c r="BD32" s="96" t="e">
        <f t="shared" ca="1" si="12"/>
        <v>#N/A</v>
      </c>
      <c r="BE32" s="96" t="e">
        <f t="shared" ca="1" si="13"/>
        <v>#N/A</v>
      </c>
      <c r="BF32" s="96" t="e">
        <f t="shared" ca="1" si="14"/>
        <v>#N/A</v>
      </c>
      <c r="BG32" s="96" t="e">
        <f t="shared" ca="1" si="15"/>
        <v>#N/A</v>
      </c>
    </row>
    <row r="33" spans="2:59" ht="15" customHeight="1">
      <c r="B33" s="2"/>
      <c r="Q33" s="2"/>
      <c r="AF33" s="2"/>
      <c r="AU33" s="2" t="e">
        <f t="shared" si="3"/>
        <v>#N/A</v>
      </c>
      <c r="AV33" s="96" t="e">
        <f t="shared" ca="1" si="4"/>
        <v>#N/A</v>
      </c>
      <c r="AW33" s="96" t="e">
        <f t="shared" ca="1" si="5"/>
        <v>#N/A</v>
      </c>
      <c r="AX33" s="96" t="e">
        <f t="shared" ca="1" si="6"/>
        <v>#N/A</v>
      </c>
      <c r="AY33" s="96" t="e">
        <f t="shared" ca="1" si="7"/>
        <v>#N/A</v>
      </c>
      <c r="AZ33" s="96" t="e">
        <f t="shared" ca="1" si="8"/>
        <v>#N/A</v>
      </c>
      <c r="BA33" s="96" t="e">
        <f t="shared" ca="1" si="9"/>
        <v>#N/A</v>
      </c>
      <c r="BB33" s="96" t="e">
        <f t="shared" ca="1" si="10"/>
        <v>#N/A</v>
      </c>
      <c r="BC33" s="96" t="e">
        <f t="shared" ca="1" si="11"/>
        <v>#N/A</v>
      </c>
      <c r="BD33" s="96" t="e">
        <f t="shared" ca="1" si="12"/>
        <v>#N/A</v>
      </c>
      <c r="BE33" s="96" t="e">
        <f t="shared" ca="1" si="13"/>
        <v>#N/A</v>
      </c>
      <c r="BF33" s="96" t="e">
        <f t="shared" ca="1" si="14"/>
        <v>#N/A</v>
      </c>
      <c r="BG33" s="96" t="e">
        <f t="shared" ca="1" si="15"/>
        <v>#N/A</v>
      </c>
    </row>
    <row r="34" spans="2:59" ht="15" customHeight="1">
      <c r="B34" s="2"/>
      <c r="Q34" s="2"/>
      <c r="AF34" s="2"/>
      <c r="AU34" s="2" t="e">
        <f t="shared" si="3"/>
        <v>#N/A</v>
      </c>
      <c r="AV34" s="96" t="e">
        <f t="shared" ca="1" si="4"/>
        <v>#N/A</v>
      </c>
      <c r="AW34" s="96" t="e">
        <f t="shared" ca="1" si="5"/>
        <v>#N/A</v>
      </c>
      <c r="AX34" s="96" t="e">
        <f t="shared" ca="1" si="6"/>
        <v>#N/A</v>
      </c>
      <c r="AY34" s="96" t="e">
        <f t="shared" ca="1" si="7"/>
        <v>#N/A</v>
      </c>
      <c r="AZ34" s="96" t="e">
        <f t="shared" ca="1" si="8"/>
        <v>#N/A</v>
      </c>
      <c r="BA34" s="96" t="e">
        <f t="shared" ca="1" si="9"/>
        <v>#N/A</v>
      </c>
      <c r="BB34" s="96" t="e">
        <f t="shared" ca="1" si="10"/>
        <v>#N/A</v>
      </c>
      <c r="BC34" s="96" t="e">
        <f t="shared" ca="1" si="11"/>
        <v>#N/A</v>
      </c>
      <c r="BD34" s="96" t="e">
        <f t="shared" ca="1" si="12"/>
        <v>#N/A</v>
      </c>
      <c r="BE34" s="96" t="e">
        <f t="shared" ca="1" si="13"/>
        <v>#N/A</v>
      </c>
      <c r="BF34" s="96" t="e">
        <f t="shared" ca="1" si="14"/>
        <v>#N/A</v>
      </c>
      <c r="BG34" s="96" t="e">
        <f t="shared" ca="1" si="15"/>
        <v>#N/A</v>
      </c>
    </row>
    <row r="35" spans="2:59" ht="15" customHeight="1">
      <c r="B35" s="2"/>
      <c r="Q35" s="2"/>
      <c r="AF35" s="2"/>
      <c r="AU35" s="2" t="e">
        <f t="shared" si="3"/>
        <v>#N/A</v>
      </c>
      <c r="AV35" s="96" t="e">
        <f t="shared" ca="1" si="4"/>
        <v>#N/A</v>
      </c>
      <c r="AW35" s="96" t="e">
        <f t="shared" ca="1" si="5"/>
        <v>#N/A</v>
      </c>
      <c r="AX35" s="96" t="e">
        <f t="shared" ca="1" si="6"/>
        <v>#N/A</v>
      </c>
      <c r="AY35" s="96" t="e">
        <f t="shared" ca="1" si="7"/>
        <v>#N/A</v>
      </c>
      <c r="AZ35" s="96" t="e">
        <f t="shared" ca="1" si="8"/>
        <v>#N/A</v>
      </c>
      <c r="BA35" s="96" t="e">
        <f t="shared" ca="1" si="9"/>
        <v>#N/A</v>
      </c>
      <c r="BB35" s="96" t="e">
        <f t="shared" ca="1" si="10"/>
        <v>#N/A</v>
      </c>
      <c r="BC35" s="96" t="e">
        <f t="shared" ca="1" si="11"/>
        <v>#N/A</v>
      </c>
      <c r="BD35" s="96" t="e">
        <f t="shared" ca="1" si="12"/>
        <v>#N/A</v>
      </c>
      <c r="BE35" s="96" t="e">
        <f t="shared" ca="1" si="13"/>
        <v>#N/A</v>
      </c>
      <c r="BF35" s="96" t="e">
        <f t="shared" ca="1" si="14"/>
        <v>#N/A</v>
      </c>
      <c r="BG35" s="96" t="e">
        <f t="shared" ca="1" si="15"/>
        <v>#N/A</v>
      </c>
    </row>
    <row r="36" spans="2:59" ht="15" customHeight="1">
      <c r="B36" s="2"/>
      <c r="Q36" s="2"/>
      <c r="AF36" s="2"/>
      <c r="AU36" s="2" t="e">
        <f t="shared" si="3"/>
        <v>#N/A</v>
      </c>
      <c r="AV36" s="96" t="e">
        <f t="shared" ca="1" si="4"/>
        <v>#N/A</v>
      </c>
      <c r="AW36" s="96" t="e">
        <f t="shared" ca="1" si="5"/>
        <v>#N/A</v>
      </c>
      <c r="AX36" s="96" t="e">
        <f t="shared" ca="1" si="6"/>
        <v>#N/A</v>
      </c>
      <c r="AY36" s="96" t="e">
        <f t="shared" ca="1" si="7"/>
        <v>#N/A</v>
      </c>
      <c r="AZ36" s="96" t="e">
        <f t="shared" ca="1" si="8"/>
        <v>#N/A</v>
      </c>
      <c r="BA36" s="96" t="e">
        <f t="shared" ca="1" si="9"/>
        <v>#N/A</v>
      </c>
      <c r="BB36" s="96" t="e">
        <f t="shared" ca="1" si="10"/>
        <v>#N/A</v>
      </c>
      <c r="BC36" s="96" t="e">
        <f t="shared" ca="1" si="11"/>
        <v>#N/A</v>
      </c>
      <c r="BD36" s="96" t="e">
        <f t="shared" ca="1" si="12"/>
        <v>#N/A</v>
      </c>
      <c r="BE36" s="96" t="e">
        <f t="shared" ca="1" si="13"/>
        <v>#N/A</v>
      </c>
      <c r="BF36" s="96" t="e">
        <f t="shared" ca="1" si="14"/>
        <v>#N/A</v>
      </c>
      <c r="BG36" s="96" t="e">
        <f t="shared" ca="1" si="15"/>
        <v>#N/A</v>
      </c>
    </row>
    <row r="37" spans="2:59" ht="15" customHeight="1">
      <c r="B37" s="2"/>
      <c r="Q37" s="2"/>
      <c r="AF37" s="2"/>
      <c r="AU37" s="2" t="e">
        <f t="shared" si="3"/>
        <v>#N/A</v>
      </c>
      <c r="AV37" s="96" t="e">
        <f t="shared" ca="1" si="4"/>
        <v>#N/A</v>
      </c>
      <c r="AW37" s="96" t="e">
        <f t="shared" ca="1" si="5"/>
        <v>#N/A</v>
      </c>
      <c r="AX37" s="96" t="e">
        <f t="shared" ca="1" si="6"/>
        <v>#N/A</v>
      </c>
      <c r="AY37" s="96" t="e">
        <f t="shared" ca="1" si="7"/>
        <v>#N/A</v>
      </c>
      <c r="AZ37" s="96" t="e">
        <f t="shared" ca="1" si="8"/>
        <v>#N/A</v>
      </c>
      <c r="BA37" s="96" t="e">
        <f t="shared" ca="1" si="9"/>
        <v>#N/A</v>
      </c>
      <c r="BB37" s="96" t="e">
        <f t="shared" ca="1" si="10"/>
        <v>#N/A</v>
      </c>
      <c r="BC37" s="96" t="e">
        <f t="shared" ca="1" si="11"/>
        <v>#N/A</v>
      </c>
      <c r="BD37" s="96" t="e">
        <f t="shared" ca="1" si="12"/>
        <v>#N/A</v>
      </c>
      <c r="BE37" s="96" t="e">
        <f t="shared" ca="1" si="13"/>
        <v>#N/A</v>
      </c>
      <c r="BF37" s="96" t="e">
        <f t="shared" ca="1" si="14"/>
        <v>#N/A</v>
      </c>
      <c r="BG37" s="96" t="e">
        <f t="shared" ca="1" si="15"/>
        <v>#N/A</v>
      </c>
    </row>
    <row r="38" spans="2:59" ht="15" customHeight="1">
      <c r="B38" s="2"/>
      <c r="Q38" s="2"/>
      <c r="AF38" s="2"/>
      <c r="AU38" s="2" t="e">
        <f t="shared" si="3"/>
        <v>#N/A</v>
      </c>
      <c r="AV38" s="96" t="e">
        <f t="shared" ca="1" si="4"/>
        <v>#N/A</v>
      </c>
      <c r="AW38" s="96" t="e">
        <f t="shared" ca="1" si="5"/>
        <v>#N/A</v>
      </c>
      <c r="AX38" s="96" t="e">
        <f t="shared" ca="1" si="6"/>
        <v>#N/A</v>
      </c>
      <c r="AY38" s="96" t="e">
        <f t="shared" ca="1" si="7"/>
        <v>#N/A</v>
      </c>
      <c r="AZ38" s="96" t="e">
        <f t="shared" ca="1" si="8"/>
        <v>#N/A</v>
      </c>
      <c r="BA38" s="96" t="e">
        <f t="shared" ca="1" si="9"/>
        <v>#N/A</v>
      </c>
      <c r="BB38" s="96" t="e">
        <f t="shared" ca="1" si="10"/>
        <v>#N/A</v>
      </c>
      <c r="BC38" s="96" t="e">
        <f t="shared" ca="1" si="11"/>
        <v>#N/A</v>
      </c>
      <c r="BD38" s="96" t="e">
        <f t="shared" ca="1" si="12"/>
        <v>#N/A</v>
      </c>
      <c r="BE38" s="96" t="e">
        <f t="shared" ca="1" si="13"/>
        <v>#N/A</v>
      </c>
      <c r="BF38" s="96" t="e">
        <f t="shared" ca="1" si="14"/>
        <v>#N/A</v>
      </c>
      <c r="BG38" s="96" t="e">
        <f t="shared" ca="1" si="15"/>
        <v>#N/A</v>
      </c>
    </row>
    <row r="39" spans="2:59" ht="15" customHeight="1">
      <c r="B39" s="2"/>
      <c r="Q39" s="2"/>
      <c r="AF39" s="2"/>
      <c r="AU39" s="2" t="e">
        <f t="shared" si="3"/>
        <v>#N/A</v>
      </c>
      <c r="AV39" s="96" t="e">
        <f t="shared" ca="1" si="4"/>
        <v>#N/A</v>
      </c>
      <c r="AW39" s="96" t="e">
        <f t="shared" ca="1" si="5"/>
        <v>#N/A</v>
      </c>
      <c r="AX39" s="96" t="e">
        <f t="shared" ca="1" si="6"/>
        <v>#N/A</v>
      </c>
      <c r="AY39" s="96" t="e">
        <f t="shared" ca="1" si="7"/>
        <v>#N/A</v>
      </c>
      <c r="AZ39" s="96" t="e">
        <f t="shared" ca="1" si="8"/>
        <v>#N/A</v>
      </c>
      <c r="BA39" s="96" t="e">
        <f t="shared" ca="1" si="9"/>
        <v>#N/A</v>
      </c>
      <c r="BB39" s="96" t="e">
        <f t="shared" ca="1" si="10"/>
        <v>#N/A</v>
      </c>
      <c r="BC39" s="96" t="e">
        <f t="shared" ca="1" si="11"/>
        <v>#N/A</v>
      </c>
      <c r="BD39" s="96" t="e">
        <f t="shared" ca="1" si="12"/>
        <v>#N/A</v>
      </c>
      <c r="BE39" s="96" t="e">
        <f t="shared" ca="1" si="13"/>
        <v>#N/A</v>
      </c>
      <c r="BF39" s="96" t="e">
        <f t="shared" ca="1" si="14"/>
        <v>#N/A</v>
      </c>
      <c r="BG39" s="96" t="e">
        <f t="shared" ca="1" si="15"/>
        <v>#N/A</v>
      </c>
    </row>
    <row r="40" spans="2:59" ht="15" customHeight="1">
      <c r="B40" s="2"/>
      <c r="Q40" s="2"/>
      <c r="AF40" s="2"/>
      <c r="AU40" s="2" t="e">
        <f t="shared" si="3"/>
        <v>#N/A</v>
      </c>
      <c r="AV40" s="96" t="e">
        <f t="shared" ca="1" si="4"/>
        <v>#N/A</v>
      </c>
      <c r="AW40" s="96" t="e">
        <f t="shared" ca="1" si="5"/>
        <v>#N/A</v>
      </c>
      <c r="AX40" s="96" t="e">
        <f t="shared" ca="1" si="6"/>
        <v>#N/A</v>
      </c>
      <c r="AY40" s="96" t="e">
        <f t="shared" ca="1" si="7"/>
        <v>#N/A</v>
      </c>
      <c r="AZ40" s="96" t="e">
        <f t="shared" ca="1" si="8"/>
        <v>#N/A</v>
      </c>
      <c r="BA40" s="96" t="e">
        <f t="shared" ca="1" si="9"/>
        <v>#N/A</v>
      </c>
      <c r="BB40" s="96" t="e">
        <f t="shared" ca="1" si="10"/>
        <v>#N/A</v>
      </c>
      <c r="BC40" s="96" t="e">
        <f t="shared" ca="1" si="11"/>
        <v>#N/A</v>
      </c>
      <c r="BD40" s="96" t="e">
        <f t="shared" ca="1" si="12"/>
        <v>#N/A</v>
      </c>
      <c r="BE40" s="96" t="e">
        <f t="shared" ca="1" si="13"/>
        <v>#N/A</v>
      </c>
      <c r="BF40" s="96" t="e">
        <f t="shared" ca="1" si="14"/>
        <v>#N/A</v>
      </c>
      <c r="BG40" s="96" t="e">
        <f t="shared" ca="1" si="15"/>
        <v>#N/A</v>
      </c>
    </row>
    <row r="41" spans="2:59" ht="15" customHeight="1">
      <c r="B41" s="2"/>
      <c r="Q41" s="2"/>
      <c r="AF41" s="2"/>
      <c r="AU41" s="2" t="e">
        <f t="shared" si="3"/>
        <v>#N/A</v>
      </c>
      <c r="AV41" s="96" t="e">
        <f t="shared" ca="1" si="4"/>
        <v>#N/A</v>
      </c>
      <c r="AW41" s="96" t="e">
        <f t="shared" ca="1" si="5"/>
        <v>#N/A</v>
      </c>
      <c r="AX41" s="96" t="e">
        <f t="shared" ca="1" si="6"/>
        <v>#N/A</v>
      </c>
      <c r="AY41" s="96" t="e">
        <f t="shared" ca="1" si="7"/>
        <v>#N/A</v>
      </c>
      <c r="AZ41" s="96" t="e">
        <f t="shared" ca="1" si="8"/>
        <v>#N/A</v>
      </c>
      <c r="BA41" s="96" t="e">
        <f t="shared" ca="1" si="9"/>
        <v>#N/A</v>
      </c>
      <c r="BB41" s="96" t="e">
        <f t="shared" ca="1" si="10"/>
        <v>#N/A</v>
      </c>
      <c r="BC41" s="96" t="e">
        <f t="shared" ca="1" si="11"/>
        <v>#N/A</v>
      </c>
      <c r="BD41" s="96" t="e">
        <f t="shared" ca="1" si="12"/>
        <v>#N/A</v>
      </c>
      <c r="BE41" s="96" t="e">
        <f t="shared" ca="1" si="13"/>
        <v>#N/A</v>
      </c>
      <c r="BF41" s="96" t="e">
        <f t="shared" ca="1" si="14"/>
        <v>#N/A</v>
      </c>
      <c r="BG41" s="96" t="e">
        <f t="shared" ca="1" si="15"/>
        <v>#N/A</v>
      </c>
    </row>
    <row r="42" spans="2:59" ht="15" customHeight="1">
      <c r="B42" s="2"/>
      <c r="Q42" s="2"/>
      <c r="AF42" s="2"/>
      <c r="AU42" s="2" t="e">
        <f t="shared" si="3"/>
        <v>#N/A</v>
      </c>
      <c r="AV42" s="96" t="e">
        <f t="shared" ca="1" si="4"/>
        <v>#N/A</v>
      </c>
      <c r="AW42" s="96" t="e">
        <f t="shared" ca="1" si="5"/>
        <v>#N/A</v>
      </c>
      <c r="AX42" s="96" t="e">
        <f t="shared" ca="1" si="6"/>
        <v>#N/A</v>
      </c>
      <c r="AY42" s="96" t="e">
        <f t="shared" ca="1" si="7"/>
        <v>#N/A</v>
      </c>
      <c r="AZ42" s="96" t="e">
        <f t="shared" ca="1" si="8"/>
        <v>#N/A</v>
      </c>
      <c r="BA42" s="96" t="e">
        <f t="shared" ca="1" si="9"/>
        <v>#N/A</v>
      </c>
      <c r="BB42" s="96" t="e">
        <f t="shared" ca="1" si="10"/>
        <v>#N/A</v>
      </c>
      <c r="BC42" s="96" t="e">
        <f t="shared" ca="1" si="11"/>
        <v>#N/A</v>
      </c>
      <c r="BD42" s="96" t="e">
        <f t="shared" ca="1" si="12"/>
        <v>#N/A</v>
      </c>
      <c r="BE42" s="96" t="e">
        <f t="shared" ca="1" si="13"/>
        <v>#N/A</v>
      </c>
      <c r="BF42" s="96" t="e">
        <f t="shared" ca="1" si="14"/>
        <v>#N/A</v>
      </c>
      <c r="BG42" s="96" t="e">
        <f t="shared" ca="1" si="15"/>
        <v>#N/A</v>
      </c>
    </row>
    <row r="43" spans="2:59" ht="15" customHeight="1">
      <c r="B43" s="2"/>
      <c r="Q43" s="2"/>
      <c r="AF43" s="2"/>
      <c r="AU43" s="2" t="e">
        <f t="shared" si="3"/>
        <v>#N/A</v>
      </c>
      <c r="AV43" s="96" t="e">
        <f t="shared" ca="1" si="4"/>
        <v>#N/A</v>
      </c>
      <c r="AW43" s="96" t="e">
        <f t="shared" ca="1" si="5"/>
        <v>#N/A</v>
      </c>
      <c r="AX43" s="96" t="e">
        <f t="shared" ca="1" si="6"/>
        <v>#N/A</v>
      </c>
      <c r="AY43" s="96" t="e">
        <f t="shared" ca="1" si="7"/>
        <v>#N/A</v>
      </c>
      <c r="AZ43" s="96" t="e">
        <f t="shared" ca="1" si="8"/>
        <v>#N/A</v>
      </c>
      <c r="BA43" s="96" t="e">
        <f t="shared" ca="1" si="9"/>
        <v>#N/A</v>
      </c>
      <c r="BB43" s="96" t="e">
        <f t="shared" ca="1" si="10"/>
        <v>#N/A</v>
      </c>
      <c r="BC43" s="96" t="e">
        <f t="shared" ca="1" si="11"/>
        <v>#N/A</v>
      </c>
      <c r="BD43" s="96" t="e">
        <f t="shared" ca="1" si="12"/>
        <v>#N/A</v>
      </c>
      <c r="BE43" s="96" t="e">
        <f t="shared" ca="1" si="13"/>
        <v>#N/A</v>
      </c>
      <c r="BF43" s="96" t="e">
        <f t="shared" ca="1" si="14"/>
        <v>#N/A</v>
      </c>
      <c r="BG43" s="96" t="e">
        <f t="shared" ca="1" si="15"/>
        <v>#N/A</v>
      </c>
    </row>
    <row r="44" spans="2:59" ht="15" customHeight="1">
      <c r="B44" s="2"/>
      <c r="Q44" s="2"/>
      <c r="AF44" s="2"/>
      <c r="AU44" s="2" t="e">
        <f t="shared" si="3"/>
        <v>#N/A</v>
      </c>
      <c r="AV44" s="96" t="e">
        <f t="shared" ca="1" si="4"/>
        <v>#N/A</v>
      </c>
      <c r="AW44" s="96" t="e">
        <f t="shared" ca="1" si="5"/>
        <v>#N/A</v>
      </c>
      <c r="AX44" s="96" t="e">
        <f t="shared" ca="1" si="6"/>
        <v>#N/A</v>
      </c>
      <c r="AY44" s="96" t="e">
        <f t="shared" ca="1" si="7"/>
        <v>#N/A</v>
      </c>
      <c r="AZ44" s="96" t="e">
        <f t="shared" ca="1" si="8"/>
        <v>#N/A</v>
      </c>
      <c r="BA44" s="96" t="e">
        <f t="shared" ca="1" si="9"/>
        <v>#N/A</v>
      </c>
      <c r="BB44" s="96" t="e">
        <f t="shared" ca="1" si="10"/>
        <v>#N/A</v>
      </c>
      <c r="BC44" s="96" t="e">
        <f t="shared" ca="1" si="11"/>
        <v>#N/A</v>
      </c>
      <c r="BD44" s="96" t="e">
        <f t="shared" ca="1" si="12"/>
        <v>#N/A</v>
      </c>
      <c r="BE44" s="96" t="e">
        <f t="shared" ca="1" si="13"/>
        <v>#N/A</v>
      </c>
      <c r="BF44" s="96" t="e">
        <f t="shared" ca="1" si="14"/>
        <v>#N/A</v>
      </c>
      <c r="BG44" s="96" t="e">
        <f t="shared" ca="1" si="15"/>
        <v>#N/A</v>
      </c>
    </row>
    <row r="45" spans="2:59" ht="15" customHeight="1">
      <c r="B45" s="2"/>
      <c r="Q45" s="2"/>
      <c r="AF45" s="2"/>
      <c r="AU45" s="2" t="e">
        <f t="shared" si="3"/>
        <v>#N/A</v>
      </c>
      <c r="AV45" s="96" t="e">
        <f t="shared" ca="1" si="4"/>
        <v>#N/A</v>
      </c>
      <c r="AW45" s="96" t="e">
        <f t="shared" ca="1" si="5"/>
        <v>#N/A</v>
      </c>
      <c r="AX45" s="96" t="e">
        <f t="shared" ca="1" si="6"/>
        <v>#N/A</v>
      </c>
      <c r="AY45" s="96" t="e">
        <f t="shared" ca="1" si="7"/>
        <v>#N/A</v>
      </c>
      <c r="AZ45" s="96" t="e">
        <f t="shared" ca="1" si="8"/>
        <v>#N/A</v>
      </c>
      <c r="BA45" s="96" t="e">
        <f t="shared" ca="1" si="9"/>
        <v>#N/A</v>
      </c>
      <c r="BB45" s="96" t="e">
        <f t="shared" ca="1" si="10"/>
        <v>#N/A</v>
      </c>
      <c r="BC45" s="96" t="e">
        <f t="shared" ca="1" si="11"/>
        <v>#N/A</v>
      </c>
      <c r="BD45" s="96" t="e">
        <f t="shared" ca="1" si="12"/>
        <v>#N/A</v>
      </c>
      <c r="BE45" s="96" t="e">
        <f t="shared" ca="1" si="13"/>
        <v>#N/A</v>
      </c>
      <c r="BF45" s="96" t="e">
        <f t="shared" ca="1" si="14"/>
        <v>#N/A</v>
      </c>
      <c r="BG45" s="96" t="e">
        <f t="shared" ca="1" si="15"/>
        <v>#N/A</v>
      </c>
    </row>
    <row r="46" spans="2:59" ht="15" customHeight="1">
      <c r="B46" s="2"/>
      <c r="Q46" s="2"/>
      <c r="AF46" s="2"/>
      <c r="AU46" s="2" t="e">
        <f t="shared" si="3"/>
        <v>#N/A</v>
      </c>
      <c r="AV46" s="96" t="e">
        <f t="shared" ca="1" si="4"/>
        <v>#N/A</v>
      </c>
      <c r="AW46" s="96" t="e">
        <f t="shared" ca="1" si="5"/>
        <v>#N/A</v>
      </c>
      <c r="AX46" s="96" t="e">
        <f t="shared" ca="1" si="6"/>
        <v>#N/A</v>
      </c>
      <c r="AY46" s="96" t="e">
        <f t="shared" ca="1" si="7"/>
        <v>#N/A</v>
      </c>
      <c r="AZ46" s="96" t="e">
        <f t="shared" ca="1" si="8"/>
        <v>#N/A</v>
      </c>
      <c r="BA46" s="96" t="e">
        <f t="shared" ca="1" si="9"/>
        <v>#N/A</v>
      </c>
      <c r="BB46" s="96" t="e">
        <f t="shared" ca="1" si="10"/>
        <v>#N/A</v>
      </c>
      <c r="BC46" s="96" t="e">
        <f t="shared" ca="1" si="11"/>
        <v>#N/A</v>
      </c>
      <c r="BD46" s="96" t="e">
        <f t="shared" ca="1" si="12"/>
        <v>#N/A</v>
      </c>
      <c r="BE46" s="96" t="e">
        <f t="shared" ca="1" si="13"/>
        <v>#N/A</v>
      </c>
      <c r="BF46" s="96" t="e">
        <f t="shared" ca="1" si="14"/>
        <v>#N/A</v>
      </c>
      <c r="BG46" s="96" t="e">
        <f t="shared" ca="1" si="15"/>
        <v>#N/A</v>
      </c>
    </row>
    <row r="47" spans="2:59" ht="15" customHeight="1">
      <c r="B47" s="2"/>
      <c r="Q47" s="2"/>
      <c r="AF47" s="2"/>
      <c r="AU47" s="2" t="e">
        <f t="shared" si="3"/>
        <v>#N/A</v>
      </c>
      <c r="AV47" s="96" t="e">
        <f t="shared" ca="1" si="4"/>
        <v>#N/A</v>
      </c>
      <c r="AW47" s="96" t="e">
        <f t="shared" ca="1" si="5"/>
        <v>#N/A</v>
      </c>
      <c r="AX47" s="96" t="e">
        <f t="shared" ca="1" si="6"/>
        <v>#N/A</v>
      </c>
      <c r="AY47" s="96" t="e">
        <f t="shared" ca="1" si="7"/>
        <v>#N/A</v>
      </c>
      <c r="AZ47" s="96" t="e">
        <f t="shared" ca="1" si="8"/>
        <v>#N/A</v>
      </c>
      <c r="BA47" s="96" t="e">
        <f t="shared" ca="1" si="9"/>
        <v>#N/A</v>
      </c>
      <c r="BB47" s="96" t="e">
        <f t="shared" ca="1" si="10"/>
        <v>#N/A</v>
      </c>
      <c r="BC47" s="96" t="e">
        <f t="shared" ca="1" si="11"/>
        <v>#N/A</v>
      </c>
      <c r="BD47" s="96" t="e">
        <f t="shared" ca="1" si="12"/>
        <v>#N/A</v>
      </c>
      <c r="BE47" s="96" t="e">
        <f t="shared" ca="1" si="13"/>
        <v>#N/A</v>
      </c>
      <c r="BF47" s="96" t="e">
        <f t="shared" ca="1" si="14"/>
        <v>#N/A</v>
      </c>
      <c r="BG47" s="96" t="e">
        <f t="shared" ca="1" si="15"/>
        <v>#N/A</v>
      </c>
    </row>
    <row r="48" spans="2:59" ht="15" customHeight="1">
      <c r="B48" s="2"/>
      <c r="Q48" s="2"/>
      <c r="AF48" s="2"/>
      <c r="AU48" s="2" t="e">
        <f t="shared" si="3"/>
        <v>#N/A</v>
      </c>
      <c r="AV48" s="96" t="e">
        <f t="shared" ca="1" si="4"/>
        <v>#N/A</v>
      </c>
      <c r="AW48" s="96" t="e">
        <f t="shared" ca="1" si="5"/>
        <v>#N/A</v>
      </c>
      <c r="AX48" s="96" t="e">
        <f t="shared" ca="1" si="6"/>
        <v>#N/A</v>
      </c>
      <c r="AY48" s="96" t="e">
        <f t="shared" ca="1" si="7"/>
        <v>#N/A</v>
      </c>
      <c r="AZ48" s="96" t="e">
        <f t="shared" ca="1" si="8"/>
        <v>#N/A</v>
      </c>
      <c r="BA48" s="96" t="e">
        <f t="shared" ca="1" si="9"/>
        <v>#N/A</v>
      </c>
      <c r="BB48" s="96" t="e">
        <f t="shared" ca="1" si="10"/>
        <v>#N/A</v>
      </c>
      <c r="BC48" s="96" t="e">
        <f t="shared" ca="1" si="11"/>
        <v>#N/A</v>
      </c>
      <c r="BD48" s="96" t="e">
        <f t="shared" ca="1" si="12"/>
        <v>#N/A</v>
      </c>
      <c r="BE48" s="96" t="e">
        <f t="shared" ca="1" si="13"/>
        <v>#N/A</v>
      </c>
      <c r="BF48" s="96" t="e">
        <f t="shared" ca="1" si="14"/>
        <v>#N/A</v>
      </c>
      <c r="BG48" s="96" t="e">
        <f t="shared" ca="1" si="15"/>
        <v>#N/A</v>
      </c>
    </row>
    <row r="49" spans="2:59" ht="15" customHeight="1">
      <c r="B49" s="2"/>
      <c r="Q49" s="2"/>
      <c r="AF49" s="2"/>
      <c r="AU49" s="2" t="e">
        <f t="shared" si="3"/>
        <v>#N/A</v>
      </c>
      <c r="AV49" s="96" t="e">
        <f t="shared" ca="1" si="4"/>
        <v>#N/A</v>
      </c>
      <c r="AW49" s="96" t="e">
        <f t="shared" ca="1" si="5"/>
        <v>#N/A</v>
      </c>
      <c r="AX49" s="96" t="e">
        <f t="shared" ca="1" si="6"/>
        <v>#N/A</v>
      </c>
      <c r="AY49" s="96" t="e">
        <f t="shared" ca="1" si="7"/>
        <v>#N/A</v>
      </c>
      <c r="AZ49" s="96" t="e">
        <f t="shared" ca="1" si="8"/>
        <v>#N/A</v>
      </c>
      <c r="BA49" s="96" t="e">
        <f t="shared" ca="1" si="9"/>
        <v>#N/A</v>
      </c>
      <c r="BB49" s="96" t="e">
        <f t="shared" ca="1" si="10"/>
        <v>#N/A</v>
      </c>
      <c r="BC49" s="96" t="e">
        <f t="shared" ca="1" si="11"/>
        <v>#N/A</v>
      </c>
      <c r="BD49" s="96" t="e">
        <f t="shared" ca="1" si="12"/>
        <v>#N/A</v>
      </c>
      <c r="BE49" s="96" t="e">
        <f t="shared" ca="1" si="13"/>
        <v>#N/A</v>
      </c>
      <c r="BF49" s="96" t="e">
        <f t="shared" ca="1" si="14"/>
        <v>#N/A</v>
      </c>
      <c r="BG49" s="96" t="e">
        <f t="shared" ca="1" si="15"/>
        <v>#N/A</v>
      </c>
    </row>
    <row r="50" spans="2:59" ht="15" customHeight="1">
      <c r="B50" s="2"/>
      <c r="Q50" s="2"/>
      <c r="AF50" s="2"/>
      <c r="AU50" s="2" t="e">
        <f t="shared" si="3"/>
        <v>#N/A</v>
      </c>
      <c r="AV50" s="96" t="e">
        <f t="shared" ca="1" si="4"/>
        <v>#N/A</v>
      </c>
      <c r="AW50" s="96" t="e">
        <f t="shared" ca="1" si="5"/>
        <v>#N/A</v>
      </c>
      <c r="AX50" s="96" t="e">
        <f t="shared" ca="1" si="6"/>
        <v>#N/A</v>
      </c>
      <c r="AY50" s="96" t="e">
        <f t="shared" ca="1" si="7"/>
        <v>#N/A</v>
      </c>
      <c r="AZ50" s="96" t="e">
        <f t="shared" ca="1" si="8"/>
        <v>#N/A</v>
      </c>
      <c r="BA50" s="96" t="e">
        <f t="shared" ca="1" si="9"/>
        <v>#N/A</v>
      </c>
      <c r="BB50" s="96" t="e">
        <f t="shared" ca="1" si="10"/>
        <v>#N/A</v>
      </c>
      <c r="BC50" s="96" t="e">
        <f t="shared" ca="1" si="11"/>
        <v>#N/A</v>
      </c>
      <c r="BD50" s="96" t="e">
        <f t="shared" ca="1" si="12"/>
        <v>#N/A</v>
      </c>
      <c r="BE50" s="96" t="e">
        <f t="shared" ca="1" si="13"/>
        <v>#N/A</v>
      </c>
      <c r="BF50" s="96" t="e">
        <f t="shared" ca="1" si="14"/>
        <v>#N/A</v>
      </c>
      <c r="BG50" s="96" t="e">
        <f t="shared" ca="1" si="15"/>
        <v>#N/A</v>
      </c>
    </row>
    <row r="51" spans="2:59" ht="15" customHeight="1">
      <c r="B51" s="2"/>
      <c r="Q51" s="2"/>
      <c r="AF51" s="2"/>
      <c r="AU51" s="2" t="e">
        <f t="shared" si="3"/>
        <v>#N/A</v>
      </c>
      <c r="AV51" s="96" t="e">
        <f t="shared" ca="1" si="4"/>
        <v>#N/A</v>
      </c>
      <c r="AW51" s="96" t="e">
        <f t="shared" ca="1" si="5"/>
        <v>#N/A</v>
      </c>
      <c r="AX51" s="96" t="e">
        <f t="shared" ca="1" si="6"/>
        <v>#N/A</v>
      </c>
      <c r="AY51" s="96" t="e">
        <f t="shared" ca="1" si="7"/>
        <v>#N/A</v>
      </c>
      <c r="AZ51" s="96" t="e">
        <f t="shared" ca="1" si="8"/>
        <v>#N/A</v>
      </c>
      <c r="BA51" s="96" t="e">
        <f t="shared" ca="1" si="9"/>
        <v>#N/A</v>
      </c>
      <c r="BB51" s="96" t="e">
        <f t="shared" ca="1" si="10"/>
        <v>#N/A</v>
      </c>
      <c r="BC51" s="96" t="e">
        <f t="shared" ca="1" si="11"/>
        <v>#N/A</v>
      </c>
      <c r="BD51" s="96" t="e">
        <f t="shared" ca="1" si="12"/>
        <v>#N/A</v>
      </c>
      <c r="BE51" s="96" t="e">
        <f t="shared" ca="1" si="13"/>
        <v>#N/A</v>
      </c>
      <c r="BF51" s="96" t="e">
        <f t="shared" ca="1" si="14"/>
        <v>#N/A</v>
      </c>
      <c r="BG51" s="96" t="e">
        <f t="shared" ca="1" si="15"/>
        <v>#N/A</v>
      </c>
    </row>
    <row r="52" spans="2:59" ht="15" customHeight="1">
      <c r="B52" s="2"/>
      <c r="Q52" s="2"/>
      <c r="AF52" s="2"/>
      <c r="AU52" s="2" t="e">
        <f t="shared" si="3"/>
        <v>#N/A</v>
      </c>
      <c r="AV52" s="96" t="e">
        <f t="shared" ca="1" si="4"/>
        <v>#N/A</v>
      </c>
      <c r="AW52" s="96" t="e">
        <f t="shared" ca="1" si="5"/>
        <v>#N/A</v>
      </c>
      <c r="AX52" s="96" t="e">
        <f t="shared" ca="1" si="6"/>
        <v>#N/A</v>
      </c>
      <c r="AY52" s="96" t="e">
        <f t="shared" ca="1" si="7"/>
        <v>#N/A</v>
      </c>
      <c r="AZ52" s="96" t="e">
        <f t="shared" ca="1" si="8"/>
        <v>#N/A</v>
      </c>
      <c r="BA52" s="96" t="e">
        <f t="shared" ca="1" si="9"/>
        <v>#N/A</v>
      </c>
      <c r="BB52" s="96" t="e">
        <f t="shared" ca="1" si="10"/>
        <v>#N/A</v>
      </c>
      <c r="BC52" s="96" t="e">
        <f t="shared" ca="1" si="11"/>
        <v>#N/A</v>
      </c>
      <c r="BD52" s="96" t="e">
        <f t="shared" ca="1" si="12"/>
        <v>#N/A</v>
      </c>
      <c r="BE52" s="96" t="e">
        <f t="shared" ca="1" si="13"/>
        <v>#N/A</v>
      </c>
      <c r="BF52" s="96" t="e">
        <f t="shared" ca="1" si="14"/>
        <v>#N/A</v>
      </c>
      <c r="BG52" s="96" t="e">
        <f t="shared" ca="1" si="15"/>
        <v>#N/A</v>
      </c>
    </row>
    <row r="53" spans="2:59" ht="15" customHeight="1">
      <c r="B53" s="2"/>
      <c r="Q53" s="2"/>
      <c r="AF53" s="2"/>
      <c r="AU53" s="2" t="e">
        <f t="shared" si="3"/>
        <v>#N/A</v>
      </c>
      <c r="AV53" s="96" t="e">
        <f t="shared" ca="1" si="4"/>
        <v>#N/A</v>
      </c>
      <c r="AW53" s="96" t="e">
        <f t="shared" ca="1" si="5"/>
        <v>#N/A</v>
      </c>
      <c r="AX53" s="96" t="e">
        <f t="shared" ca="1" si="6"/>
        <v>#N/A</v>
      </c>
      <c r="AY53" s="96" t="e">
        <f t="shared" ca="1" si="7"/>
        <v>#N/A</v>
      </c>
      <c r="AZ53" s="96" t="e">
        <f t="shared" ca="1" si="8"/>
        <v>#N/A</v>
      </c>
      <c r="BA53" s="96" t="e">
        <f t="shared" ca="1" si="9"/>
        <v>#N/A</v>
      </c>
      <c r="BB53" s="96" t="e">
        <f t="shared" ca="1" si="10"/>
        <v>#N/A</v>
      </c>
      <c r="BC53" s="96" t="e">
        <f t="shared" ca="1" si="11"/>
        <v>#N/A</v>
      </c>
      <c r="BD53" s="96" t="e">
        <f t="shared" ca="1" si="12"/>
        <v>#N/A</v>
      </c>
      <c r="BE53" s="96" t="e">
        <f t="shared" ca="1" si="13"/>
        <v>#N/A</v>
      </c>
      <c r="BF53" s="96" t="e">
        <f t="shared" ca="1" si="14"/>
        <v>#N/A</v>
      </c>
      <c r="BG53" s="96" t="e">
        <f t="shared" ca="1" si="15"/>
        <v>#N/A</v>
      </c>
    </row>
    <row r="54" spans="2:59" ht="15" customHeight="1">
      <c r="B54" s="2"/>
      <c r="Q54" s="2"/>
      <c r="AF54" s="2"/>
      <c r="AU54" s="2" t="e">
        <f t="shared" si="3"/>
        <v>#N/A</v>
      </c>
      <c r="AV54" s="96" t="e">
        <f t="shared" ca="1" si="4"/>
        <v>#N/A</v>
      </c>
      <c r="AW54" s="96" t="e">
        <f t="shared" ca="1" si="5"/>
        <v>#N/A</v>
      </c>
      <c r="AX54" s="96" t="e">
        <f t="shared" ca="1" si="6"/>
        <v>#N/A</v>
      </c>
      <c r="AY54" s="96" t="e">
        <f t="shared" ca="1" si="7"/>
        <v>#N/A</v>
      </c>
      <c r="AZ54" s="96" t="e">
        <f t="shared" ca="1" si="8"/>
        <v>#N/A</v>
      </c>
      <c r="BA54" s="96" t="e">
        <f t="shared" ca="1" si="9"/>
        <v>#N/A</v>
      </c>
      <c r="BB54" s="96" t="e">
        <f t="shared" ca="1" si="10"/>
        <v>#N/A</v>
      </c>
      <c r="BC54" s="96" t="e">
        <f t="shared" ca="1" si="11"/>
        <v>#N/A</v>
      </c>
      <c r="BD54" s="96" t="e">
        <f t="shared" ca="1" si="12"/>
        <v>#N/A</v>
      </c>
      <c r="BE54" s="96" t="e">
        <f t="shared" ca="1" si="13"/>
        <v>#N/A</v>
      </c>
      <c r="BF54" s="96" t="e">
        <f t="shared" ca="1" si="14"/>
        <v>#N/A</v>
      </c>
      <c r="BG54" s="96" t="e">
        <f t="shared" ca="1" si="15"/>
        <v>#N/A</v>
      </c>
    </row>
    <row r="55" spans="2:59" ht="15" customHeight="1">
      <c r="B55" s="2"/>
      <c r="Q55" s="2"/>
      <c r="AF55" s="2"/>
      <c r="AU55" s="2" t="e">
        <f t="shared" si="3"/>
        <v>#N/A</v>
      </c>
      <c r="AV55" s="96" t="e">
        <f t="shared" ca="1" si="4"/>
        <v>#N/A</v>
      </c>
      <c r="AW55" s="96" t="e">
        <f t="shared" ca="1" si="5"/>
        <v>#N/A</v>
      </c>
      <c r="AX55" s="96" t="e">
        <f t="shared" ca="1" si="6"/>
        <v>#N/A</v>
      </c>
      <c r="AY55" s="96" t="e">
        <f t="shared" ca="1" si="7"/>
        <v>#N/A</v>
      </c>
      <c r="AZ55" s="96" t="e">
        <f t="shared" ca="1" si="8"/>
        <v>#N/A</v>
      </c>
      <c r="BA55" s="96" t="e">
        <f t="shared" ca="1" si="9"/>
        <v>#N/A</v>
      </c>
      <c r="BB55" s="96" t="e">
        <f t="shared" ca="1" si="10"/>
        <v>#N/A</v>
      </c>
      <c r="BC55" s="96" t="e">
        <f t="shared" ca="1" si="11"/>
        <v>#N/A</v>
      </c>
      <c r="BD55" s="96" t="e">
        <f t="shared" ca="1" si="12"/>
        <v>#N/A</v>
      </c>
      <c r="BE55" s="96" t="e">
        <f t="shared" ca="1" si="13"/>
        <v>#N/A</v>
      </c>
      <c r="BF55" s="96" t="e">
        <f t="shared" ca="1" si="14"/>
        <v>#N/A</v>
      </c>
      <c r="BG55" s="96" t="e">
        <f t="shared" ca="1" si="15"/>
        <v>#N/A</v>
      </c>
    </row>
    <row r="56" spans="2:59" ht="15" customHeight="1">
      <c r="B56" s="2"/>
      <c r="Q56" s="2"/>
      <c r="AF56" s="2"/>
      <c r="AU56" s="2" t="e">
        <f t="shared" si="3"/>
        <v>#N/A</v>
      </c>
      <c r="AV56" s="96" t="e">
        <f t="shared" ca="1" si="4"/>
        <v>#N/A</v>
      </c>
      <c r="AW56" s="96" t="e">
        <f t="shared" ca="1" si="5"/>
        <v>#N/A</v>
      </c>
      <c r="AX56" s="96" t="e">
        <f t="shared" ca="1" si="6"/>
        <v>#N/A</v>
      </c>
      <c r="AY56" s="96" t="e">
        <f t="shared" ca="1" si="7"/>
        <v>#N/A</v>
      </c>
      <c r="AZ56" s="96" t="e">
        <f t="shared" ca="1" si="8"/>
        <v>#N/A</v>
      </c>
      <c r="BA56" s="96" t="e">
        <f t="shared" ca="1" si="9"/>
        <v>#N/A</v>
      </c>
      <c r="BB56" s="96" t="e">
        <f t="shared" ca="1" si="10"/>
        <v>#N/A</v>
      </c>
      <c r="BC56" s="96" t="e">
        <f t="shared" ca="1" si="11"/>
        <v>#N/A</v>
      </c>
      <c r="BD56" s="96" t="e">
        <f t="shared" ca="1" si="12"/>
        <v>#N/A</v>
      </c>
      <c r="BE56" s="96" t="e">
        <f t="shared" ca="1" si="13"/>
        <v>#N/A</v>
      </c>
      <c r="BF56" s="96" t="e">
        <f t="shared" ca="1" si="14"/>
        <v>#N/A</v>
      </c>
      <c r="BG56" s="96" t="e">
        <f t="shared" ca="1" si="15"/>
        <v>#N/A</v>
      </c>
    </row>
    <row r="57" spans="2:59" ht="15" customHeight="1">
      <c r="B57" s="2"/>
      <c r="Q57" s="2"/>
      <c r="AF57" s="2"/>
      <c r="AU57" s="2" t="e">
        <f t="shared" si="3"/>
        <v>#N/A</v>
      </c>
      <c r="AV57" s="96" t="e">
        <f t="shared" ca="1" si="4"/>
        <v>#N/A</v>
      </c>
      <c r="AW57" s="96" t="e">
        <f t="shared" ca="1" si="5"/>
        <v>#N/A</v>
      </c>
      <c r="AX57" s="96" t="e">
        <f t="shared" ca="1" si="6"/>
        <v>#N/A</v>
      </c>
      <c r="AY57" s="96" t="e">
        <f t="shared" ca="1" si="7"/>
        <v>#N/A</v>
      </c>
      <c r="AZ57" s="96" t="e">
        <f t="shared" ca="1" si="8"/>
        <v>#N/A</v>
      </c>
      <c r="BA57" s="96" t="e">
        <f t="shared" ca="1" si="9"/>
        <v>#N/A</v>
      </c>
      <c r="BB57" s="96" t="e">
        <f t="shared" ca="1" si="10"/>
        <v>#N/A</v>
      </c>
      <c r="BC57" s="96" t="e">
        <f t="shared" ca="1" si="11"/>
        <v>#N/A</v>
      </c>
      <c r="BD57" s="96" t="e">
        <f t="shared" ca="1" si="12"/>
        <v>#N/A</v>
      </c>
      <c r="BE57" s="96" t="e">
        <f t="shared" ca="1" si="13"/>
        <v>#N/A</v>
      </c>
      <c r="BF57" s="96" t="e">
        <f t="shared" ca="1" si="14"/>
        <v>#N/A</v>
      </c>
      <c r="BG57" s="96" t="e">
        <f t="shared" ca="1" si="15"/>
        <v>#N/A</v>
      </c>
    </row>
    <row r="58" spans="2:59" ht="15" customHeight="1">
      <c r="B58" s="2"/>
      <c r="Q58" s="2"/>
      <c r="AF58" s="2"/>
      <c r="AU58" s="2" t="e">
        <f t="shared" si="3"/>
        <v>#N/A</v>
      </c>
      <c r="AV58" s="96" t="e">
        <f t="shared" ca="1" si="4"/>
        <v>#N/A</v>
      </c>
      <c r="AW58" s="96" t="e">
        <f t="shared" ca="1" si="5"/>
        <v>#N/A</v>
      </c>
      <c r="AX58" s="96" t="e">
        <f t="shared" ca="1" si="6"/>
        <v>#N/A</v>
      </c>
      <c r="AY58" s="96" t="e">
        <f t="shared" ca="1" si="7"/>
        <v>#N/A</v>
      </c>
      <c r="AZ58" s="96" t="e">
        <f t="shared" ca="1" si="8"/>
        <v>#N/A</v>
      </c>
      <c r="BA58" s="96" t="e">
        <f t="shared" ca="1" si="9"/>
        <v>#N/A</v>
      </c>
      <c r="BB58" s="96" t="e">
        <f t="shared" ca="1" si="10"/>
        <v>#N/A</v>
      </c>
      <c r="BC58" s="96" t="e">
        <f t="shared" ca="1" si="11"/>
        <v>#N/A</v>
      </c>
      <c r="BD58" s="96" t="e">
        <f t="shared" ca="1" si="12"/>
        <v>#N/A</v>
      </c>
      <c r="BE58" s="96" t="e">
        <f t="shared" ca="1" si="13"/>
        <v>#N/A</v>
      </c>
      <c r="BF58" s="96" t="e">
        <f t="shared" ca="1" si="14"/>
        <v>#N/A</v>
      </c>
      <c r="BG58" s="96" t="e">
        <f t="shared" ca="1" si="15"/>
        <v>#N/A</v>
      </c>
    </row>
    <row r="59" spans="2:59" ht="15" customHeight="1">
      <c r="B59" s="2"/>
      <c r="Q59" s="2"/>
      <c r="AF59" s="2"/>
      <c r="AU59" s="2" t="e">
        <f t="shared" si="3"/>
        <v>#N/A</v>
      </c>
      <c r="AV59" s="96" t="e">
        <f t="shared" ca="1" si="4"/>
        <v>#N/A</v>
      </c>
      <c r="AW59" s="96" t="e">
        <f t="shared" ca="1" si="5"/>
        <v>#N/A</v>
      </c>
      <c r="AX59" s="96" t="e">
        <f t="shared" ca="1" si="6"/>
        <v>#N/A</v>
      </c>
      <c r="AY59" s="96" t="e">
        <f t="shared" ca="1" si="7"/>
        <v>#N/A</v>
      </c>
      <c r="AZ59" s="96" t="e">
        <f t="shared" ca="1" si="8"/>
        <v>#N/A</v>
      </c>
      <c r="BA59" s="96" t="e">
        <f t="shared" ca="1" si="9"/>
        <v>#N/A</v>
      </c>
      <c r="BB59" s="96" t="e">
        <f t="shared" ca="1" si="10"/>
        <v>#N/A</v>
      </c>
      <c r="BC59" s="96" t="e">
        <f t="shared" ca="1" si="11"/>
        <v>#N/A</v>
      </c>
      <c r="BD59" s="96" t="e">
        <f t="shared" ca="1" si="12"/>
        <v>#N/A</v>
      </c>
      <c r="BE59" s="96" t="e">
        <f t="shared" ca="1" si="13"/>
        <v>#N/A</v>
      </c>
      <c r="BF59" s="96" t="e">
        <f t="shared" ca="1" si="14"/>
        <v>#N/A</v>
      </c>
      <c r="BG59" s="96" t="e">
        <f t="shared" ca="1" si="15"/>
        <v>#N/A</v>
      </c>
    </row>
    <row r="60" spans="2:59" ht="15" customHeight="1">
      <c r="B60" s="2"/>
      <c r="Q60" s="2"/>
      <c r="AF60" s="2"/>
      <c r="AU60" s="2" t="e">
        <f t="shared" si="3"/>
        <v>#N/A</v>
      </c>
      <c r="AV60" s="96" t="e">
        <f t="shared" ca="1" si="4"/>
        <v>#N/A</v>
      </c>
      <c r="AW60" s="96" t="e">
        <f t="shared" ca="1" si="5"/>
        <v>#N/A</v>
      </c>
      <c r="AX60" s="96" t="e">
        <f t="shared" ca="1" si="6"/>
        <v>#N/A</v>
      </c>
      <c r="AY60" s="96" t="e">
        <f t="shared" ca="1" si="7"/>
        <v>#N/A</v>
      </c>
      <c r="AZ60" s="96" t="e">
        <f t="shared" ca="1" si="8"/>
        <v>#N/A</v>
      </c>
      <c r="BA60" s="96" t="e">
        <f t="shared" ca="1" si="9"/>
        <v>#N/A</v>
      </c>
      <c r="BB60" s="96" t="e">
        <f t="shared" ca="1" si="10"/>
        <v>#N/A</v>
      </c>
      <c r="BC60" s="96" t="e">
        <f t="shared" ca="1" si="11"/>
        <v>#N/A</v>
      </c>
      <c r="BD60" s="96" t="e">
        <f t="shared" ca="1" si="12"/>
        <v>#N/A</v>
      </c>
      <c r="BE60" s="96" t="e">
        <f t="shared" ca="1" si="13"/>
        <v>#N/A</v>
      </c>
      <c r="BF60" s="96" t="e">
        <f t="shared" ca="1" si="14"/>
        <v>#N/A</v>
      </c>
      <c r="BG60" s="96" t="e">
        <f t="shared" ca="1" si="15"/>
        <v>#N/A</v>
      </c>
    </row>
    <row r="61" spans="2:59" ht="15" customHeight="1">
      <c r="B61" s="2"/>
      <c r="Q61" s="2"/>
      <c r="AF61" s="2"/>
      <c r="AU61" s="2" t="e">
        <f t="shared" si="3"/>
        <v>#N/A</v>
      </c>
      <c r="AV61" s="96" t="e">
        <f t="shared" ca="1" si="4"/>
        <v>#N/A</v>
      </c>
      <c r="AW61" s="96" t="e">
        <f t="shared" ca="1" si="5"/>
        <v>#N/A</v>
      </c>
      <c r="AX61" s="96" t="e">
        <f t="shared" ca="1" si="6"/>
        <v>#N/A</v>
      </c>
      <c r="AY61" s="96" t="e">
        <f t="shared" ca="1" si="7"/>
        <v>#N/A</v>
      </c>
      <c r="AZ61" s="96" t="e">
        <f t="shared" ca="1" si="8"/>
        <v>#N/A</v>
      </c>
      <c r="BA61" s="96" t="e">
        <f t="shared" ca="1" si="9"/>
        <v>#N/A</v>
      </c>
      <c r="BB61" s="96" t="e">
        <f t="shared" ca="1" si="10"/>
        <v>#N/A</v>
      </c>
      <c r="BC61" s="96" t="e">
        <f t="shared" ca="1" si="11"/>
        <v>#N/A</v>
      </c>
      <c r="BD61" s="96" t="e">
        <f t="shared" ca="1" si="12"/>
        <v>#N/A</v>
      </c>
      <c r="BE61" s="96" t="e">
        <f t="shared" ca="1" si="13"/>
        <v>#N/A</v>
      </c>
      <c r="BF61" s="96" t="e">
        <f t="shared" ca="1" si="14"/>
        <v>#N/A</v>
      </c>
      <c r="BG61" s="96" t="e">
        <f t="shared" ca="1" si="15"/>
        <v>#N/A</v>
      </c>
    </row>
    <row r="62" spans="2:59" ht="15" customHeight="1">
      <c r="B62" s="2"/>
      <c r="Q62" s="2"/>
      <c r="AF62" s="2"/>
      <c r="AU62" s="2" t="e">
        <f t="shared" si="3"/>
        <v>#N/A</v>
      </c>
      <c r="AV62" s="96" t="e">
        <f t="shared" ca="1" si="4"/>
        <v>#N/A</v>
      </c>
      <c r="AW62" s="96" t="e">
        <f t="shared" ca="1" si="5"/>
        <v>#N/A</v>
      </c>
      <c r="AX62" s="96" t="e">
        <f t="shared" ca="1" si="6"/>
        <v>#N/A</v>
      </c>
      <c r="AY62" s="96" t="e">
        <f t="shared" ca="1" si="7"/>
        <v>#N/A</v>
      </c>
      <c r="AZ62" s="96" t="e">
        <f t="shared" ca="1" si="8"/>
        <v>#N/A</v>
      </c>
      <c r="BA62" s="96" t="e">
        <f t="shared" ca="1" si="9"/>
        <v>#N/A</v>
      </c>
      <c r="BB62" s="96" t="e">
        <f t="shared" ca="1" si="10"/>
        <v>#N/A</v>
      </c>
      <c r="BC62" s="96" t="e">
        <f t="shared" ca="1" si="11"/>
        <v>#N/A</v>
      </c>
      <c r="BD62" s="96" t="e">
        <f t="shared" ca="1" si="12"/>
        <v>#N/A</v>
      </c>
      <c r="BE62" s="96" t="e">
        <f t="shared" ca="1" si="13"/>
        <v>#N/A</v>
      </c>
      <c r="BF62" s="96" t="e">
        <f t="shared" ca="1" si="14"/>
        <v>#N/A</v>
      </c>
      <c r="BG62" s="96" t="e">
        <f t="shared" ca="1" si="15"/>
        <v>#N/A</v>
      </c>
    </row>
    <row r="63" spans="2:59" ht="15" customHeight="1">
      <c r="B63" s="2"/>
      <c r="Q63" s="2"/>
      <c r="AF63" s="2"/>
      <c r="AU63" s="2" t="e">
        <f t="shared" si="3"/>
        <v>#N/A</v>
      </c>
      <c r="AV63" s="96" t="e">
        <f t="shared" ca="1" si="4"/>
        <v>#N/A</v>
      </c>
      <c r="AW63" s="96" t="e">
        <f t="shared" ca="1" si="5"/>
        <v>#N/A</v>
      </c>
      <c r="AX63" s="96" t="e">
        <f t="shared" ca="1" si="6"/>
        <v>#N/A</v>
      </c>
      <c r="AY63" s="96" t="e">
        <f t="shared" ca="1" si="7"/>
        <v>#N/A</v>
      </c>
      <c r="AZ63" s="96" t="e">
        <f t="shared" ca="1" si="8"/>
        <v>#N/A</v>
      </c>
      <c r="BA63" s="96" t="e">
        <f t="shared" ca="1" si="9"/>
        <v>#N/A</v>
      </c>
      <c r="BB63" s="96" t="e">
        <f t="shared" ca="1" si="10"/>
        <v>#N/A</v>
      </c>
      <c r="BC63" s="96" t="e">
        <f t="shared" ca="1" si="11"/>
        <v>#N/A</v>
      </c>
      <c r="BD63" s="96" t="e">
        <f t="shared" ca="1" si="12"/>
        <v>#N/A</v>
      </c>
      <c r="BE63" s="96" t="e">
        <f t="shared" ca="1" si="13"/>
        <v>#N/A</v>
      </c>
      <c r="BF63" s="96" t="e">
        <f t="shared" ca="1" si="14"/>
        <v>#N/A</v>
      </c>
      <c r="BG63" s="96" t="e">
        <f t="shared" ca="1" si="15"/>
        <v>#N/A</v>
      </c>
    </row>
    <row r="64" spans="2:59" ht="15" customHeight="1">
      <c r="B64" s="2"/>
      <c r="Q64" s="2"/>
      <c r="AF64" s="2"/>
      <c r="AU64" s="2" t="e">
        <f t="shared" si="3"/>
        <v>#N/A</v>
      </c>
      <c r="AV64" s="96" t="e">
        <f t="shared" ca="1" si="4"/>
        <v>#N/A</v>
      </c>
      <c r="AW64" s="96" t="e">
        <f t="shared" ca="1" si="5"/>
        <v>#N/A</v>
      </c>
      <c r="AX64" s="96" t="e">
        <f t="shared" ca="1" si="6"/>
        <v>#N/A</v>
      </c>
      <c r="AY64" s="96" t="e">
        <f t="shared" ca="1" si="7"/>
        <v>#N/A</v>
      </c>
      <c r="AZ64" s="96" t="e">
        <f t="shared" ca="1" si="8"/>
        <v>#N/A</v>
      </c>
      <c r="BA64" s="96" t="e">
        <f t="shared" ca="1" si="9"/>
        <v>#N/A</v>
      </c>
      <c r="BB64" s="96" t="e">
        <f t="shared" ca="1" si="10"/>
        <v>#N/A</v>
      </c>
      <c r="BC64" s="96" t="e">
        <f t="shared" ca="1" si="11"/>
        <v>#N/A</v>
      </c>
      <c r="BD64" s="96" t="e">
        <f t="shared" ca="1" si="12"/>
        <v>#N/A</v>
      </c>
      <c r="BE64" s="96" t="e">
        <f t="shared" ca="1" si="13"/>
        <v>#N/A</v>
      </c>
      <c r="BF64" s="96" t="e">
        <f t="shared" ca="1" si="14"/>
        <v>#N/A</v>
      </c>
      <c r="BG64" s="96" t="e">
        <f t="shared" ca="1" si="15"/>
        <v>#N/A</v>
      </c>
    </row>
    <row r="65" spans="2:59" ht="15" customHeight="1">
      <c r="B65" s="2"/>
      <c r="Q65" s="2"/>
      <c r="AF65" s="2"/>
      <c r="AU65" s="2" t="e">
        <f t="shared" si="3"/>
        <v>#N/A</v>
      </c>
      <c r="AV65" s="96" t="e">
        <f t="shared" ca="1" si="4"/>
        <v>#N/A</v>
      </c>
      <c r="AW65" s="96" t="e">
        <f t="shared" ca="1" si="5"/>
        <v>#N/A</v>
      </c>
      <c r="AX65" s="96" t="e">
        <f t="shared" ca="1" si="6"/>
        <v>#N/A</v>
      </c>
      <c r="AY65" s="96" t="e">
        <f t="shared" ca="1" si="7"/>
        <v>#N/A</v>
      </c>
      <c r="AZ65" s="96" t="e">
        <f t="shared" ca="1" si="8"/>
        <v>#N/A</v>
      </c>
      <c r="BA65" s="96" t="e">
        <f t="shared" ca="1" si="9"/>
        <v>#N/A</v>
      </c>
      <c r="BB65" s="96" t="e">
        <f t="shared" ca="1" si="10"/>
        <v>#N/A</v>
      </c>
      <c r="BC65" s="96" t="e">
        <f t="shared" ca="1" si="11"/>
        <v>#N/A</v>
      </c>
      <c r="BD65" s="96" t="e">
        <f t="shared" ca="1" si="12"/>
        <v>#N/A</v>
      </c>
      <c r="BE65" s="96" t="e">
        <f t="shared" ca="1" si="13"/>
        <v>#N/A</v>
      </c>
      <c r="BF65" s="96" t="e">
        <f t="shared" ca="1" si="14"/>
        <v>#N/A</v>
      </c>
      <c r="BG65" s="96" t="e">
        <f t="shared" ca="1" si="15"/>
        <v>#N/A</v>
      </c>
    </row>
    <row r="66" spans="2:59" ht="15" customHeight="1">
      <c r="B66" s="2"/>
      <c r="Q66" s="2"/>
      <c r="AF66" s="2"/>
      <c r="AU66" s="2" t="e">
        <f t="shared" si="3"/>
        <v>#N/A</v>
      </c>
      <c r="AV66" s="96" t="e">
        <f t="shared" ca="1" si="4"/>
        <v>#N/A</v>
      </c>
      <c r="AW66" s="96" t="e">
        <f t="shared" ca="1" si="5"/>
        <v>#N/A</v>
      </c>
      <c r="AX66" s="96" t="e">
        <f t="shared" ca="1" si="6"/>
        <v>#N/A</v>
      </c>
      <c r="AY66" s="96" t="e">
        <f t="shared" ca="1" si="7"/>
        <v>#N/A</v>
      </c>
      <c r="AZ66" s="96" t="e">
        <f t="shared" ca="1" si="8"/>
        <v>#N/A</v>
      </c>
      <c r="BA66" s="96" t="e">
        <f t="shared" ca="1" si="9"/>
        <v>#N/A</v>
      </c>
      <c r="BB66" s="96" t="e">
        <f t="shared" ca="1" si="10"/>
        <v>#N/A</v>
      </c>
      <c r="BC66" s="96" t="e">
        <f t="shared" ca="1" si="11"/>
        <v>#N/A</v>
      </c>
      <c r="BD66" s="96" t="e">
        <f t="shared" ca="1" si="12"/>
        <v>#N/A</v>
      </c>
      <c r="BE66" s="96" t="e">
        <f t="shared" ca="1" si="13"/>
        <v>#N/A</v>
      </c>
      <c r="BF66" s="96" t="e">
        <f t="shared" ca="1" si="14"/>
        <v>#N/A</v>
      </c>
      <c r="BG66" s="96" t="e">
        <f t="shared" ca="1" si="15"/>
        <v>#N/A</v>
      </c>
    </row>
    <row r="67" spans="2:59" ht="15" customHeight="1">
      <c r="B67" s="2"/>
      <c r="Q67" s="2"/>
      <c r="AF67" s="2"/>
      <c r="AU67" s="2" t="e">
        <f t="shared" si="3"/>
        <v>#N/A</v>
      </c>
      <c r="AV67" s="96" t="e">
        <f t="shared" ca="1" si="4"/>
        <v>#N/A</v>
      </c>
      <c r="AW67" s="96" t="e">
        <f t="shared" ca="1" si="5"/>
        <v>#N/A</v>
      </c>
      <c r="AX67" s="96" t="e">
        <f t="shared" ca="1" si="6"/>
        <v>#N/A</v>
      </c>
      <c r="AY67" s="96" t="e">
        <f t="shared" ca="1" si="7"/>
        <v>#N/A</v>
      </c>
      <c r="AZ67" s="96" t="e">
        <f t="shared" ca="1" si="8"/>
        <v>#N/A</v>
      </c>
      <c r="BA67" s="96" t="e">
        <f t="shared" ca="1" si="9"/>
        <v>#N/A</v>
      </c>
      <c r="BB67" s="96" t="e">
        <f t="shared" ca="1" si="10"/>
        <v>#N/A</v>
      </c>
      <c r="BC67" s="96" t="e">
        <f t="shared" ca="1" si="11"/>
        <v>#N/A</v>
      </c>
      <c r="BD67" s="96" t="e">
        <f t="shared" ca="1" si="12"/>
        <v>#N/A</v>
      </c>
      <c r="BE67" s="96" t="e">
        <f t="shared" ca="1" si="13"/>
        <v>#N/A</v>
      </c>
      <c r="BF67" s="96" t="e">
        <f t="shared" ca="1" si="14"/>
        <v>#N/A</v>
      </c>
      <c r="BG67" s="96" t="e">
        <f t="shared" ca="1" si="15"/>
        <v>#N/A</v>
      </c>
    </row>
    <row r="68" spans="2:59" ht="15" customHeight="1">
      <c r="B68" s="2"/>
      <c r="Q68" s="2"/>
      <c r="AF68" s="2"/>
      <c r="AU68" s="2" t="e">
        <f t="shared" si="3"/>
        <v>#N/A</v>
      </c>
      <c r="AV68" s="96" t="e">
        <f t="shared" ca="1" si="4"/>
        <v>#N/A</v>
      </c>
      <c r="AW68" s="96" t="e">
        <f t="shared" ca="1" si="5"/>
        <v>#N/A</v>
      </c>
      <c r="AX68" s="96" t="e">
        <f t="shared" ca="1" si="6"/>
        <v>#N/A</v>
      </c>
      <c r="AY68" s="96" t="e">
        <f t="shared" ca="1" si="7"/>
        <v>#N/A</v>
      </c>
      <c r="AZ68" s="96" t="e">
        <f t="shared" ca="1" si="8"/>
        <v>#N/A</v>
      </c>
      <c r="BA68" s="96" t="e">
        <f t="shared" ca="1" si="9"/>
        <v>#N/A</v>
      </c>
      <c r="BB68" s="96" t="e">
        <f t="shared" ca="1" si="10"/>
        <v>#N/A</v>
      </c>
      <c r="BC68" s="96" t="e">
        <f t="shared" ca="1" si="11"/>
        <v>#N/A</v>
      </c>
      <c r="BD68" s="96" t="e">
        <f t="shared" ca="1" si="12"/>
        <v>#N/A</v>
      </c>
      <c r="BE68" s="96" t="e">
        <f t="shared" ca="1" si="13"/>
        <v>#N/A</v>
      </c>
      <c r="BF68" s="96" t="e">
        <f t="shared" ca="1" si="14"/>
        <v>#N/A</v>
      </c>
      <c r="BG68" s="96" t="e">
        <f t="shared" ca="1" si="15"/>
        <v>#N/A</v>
      </c>
    </row>
    <row r="69" spans="2:59" ht="15" customHeight="1">
      <c r="B69" s="2"/>
      <c r="Q69" s="2"/>
      <c r="AF69" s="2"/>
      <c r="AU69" s="2" t="e">
        <f t="shared" si="3"/>
        <v>#N/A</v>
      </c>
      <c r="AV69" s="96" t="e">
        <f t="shared" ca="1" si="4"/>
        <v>#N/A</v>
      </c>
      <c r="AW69" s="96" t="e">
        <f t="shared" ca="1" si="5"/>
        <v>#N/A</v>
      </c>
      <c r="AX69" s="96" t="e">
        <f t="shared" ca="1" si="6"/>
        <v>#N/A</v>
      </c>
      <c r="AY69" s="96" t="e">
        <f t="shared" ca="1" si="7"/>
        <v>#N/A</v>
      </c>
      <c r="AZ69" s="96" t="e">
        <f t="shared" ca="1" si="8"/>
        <v>#N/A</v>
      </c>
      <c r="BA69" s="96" t="e">
        <f t="shared" ca="1" si="9"/>
        <v>#N/A</v>
      </c>
      <c r="BB69" s="96" t="e">
        <f t="shared" ca="1" si="10"/>
        <v>#N/A</v>
      </c>
      <c r="BC69" s="96" t="e">
        <f t="shared" ca="1" si="11"/>
        <v>#N/A</v>
      </c>
      <c r="BD69" s="96" t="e">
        <f t="shared" ca="1" si="12"/>
        <v>#N/A</v>
      </c>
      <c r="BE69" s="96" t="e">
        <f t="shared" ca="1" si="13"/>
        <v>#N/A</v>
      </c>
      <c r="BF69" s="96" t="e">
        <f t="shared" ca="1" si="14"/>
        <v>#N/A</v>
      </c>
      <c r="BG69" s="96" t="e">
        <f t="shared" ca="1" si="15"/>
        <v>#N/A</v>
      </c>
    </row>
    <row r="70" spans="2:59" ht="15" customHeight="1">
      <c r="B70" s="2"/>
      <c r="Q70" s="2"/>
      <c r="AF70" s="2"/>
      <c r="AU70" s="2" t="e">
        <f t="shared" si="3"/>
        <v>#N/A</v>
      </c>
      <c r="AV70" s="96" t="e">
        <f t="shared" ca="1" si="4"/>
        <v>#N/A</v>
      </c>
      <c r="AW70" s="96" t="e">
        <f t="shared" ca="1" si="5"/>
        <v>#N/A</v>
      </c>
      <c r="AX70" s="96" t="e">
        <f t="shared" ca="1" si="6"/>
        <v>#N/A</v>
      </c>
      <c r="AY70" s="96" t="e">
        <f t="shared" ca="1" si="7"/>
        <v>#N/A</v>
      </c>
      <c r="AZ70" s="96" t="e">
        <f t="shared" ca="1" si="8"/>
        <v>#N/A</v>
      </c>
      <c r="BA70" s="96" t="e">
        <f t="shared" ca="1" si="9"/>
        <v>#N/A</v>
      </c>
      <c r="BB70" s="96" t="e">
        <f t="shared" ca="1" si="10"/>
        <v>#N/A</v>
      </c>
      <c r="BC70" s="96" t="e">
        <f t="shared" ca="1" si="11"/>
        <v>#N/A</v>
      </c>
      <c r="BD70" s="96" t="e">
        <f t="shared" ca="1" si="12"/>
        <v>#N/A</v>
      </c>
      <c r="BE70" s="96" t="e">
        <f t="shared" ca="1" si="13"/>
        <v>#N/A</v>
      </c>
      <c r="BF70" s="96" t="e">
        <f t="shared" ca="1" si="14"/>
        <v>#N/A</v>
      </c>
      <c r="BG70" s="96" t="e">
        <f t="shared" ca="1" si="15"/>
        <v>#N/A</v>
      </c>
    </row>
    <row r="71" spans="2:59" ht="15" customHeight="1">
      <c r="B71" s="2"/>
      <c r="Q71" s="2"/>
      <c r="AF71" s="2"/>
      <c r="AU71" s="2" t="e">
        <f t="shared" si="3"/>
        <v>#N/A</v>
      </c>
      <c r="AV71" s="96" t="e">
        <f t="shared" ca="1" si="4"/>
        <v>#N/A</v>
      </c>
      <c r="AW71" s="96" t="e">
        <f t="shared" ca="1" si="5"/>
        <v>#N/A</v>
      </c>
      <c r="AX71" s="96" t="e">
        <f t="shared" ca="1" si="6"/>
        <v>#N/A</v>
      </c>
      <c r="AY71" s="96" t="e">
        <f t="shared" ca="1" si="7"/>
        <v>#N/A</v>
      </c>
      <c r="AZ71" s="96" t="e">
        <f t="shared" ca="1" si="8"/>
        <v>#N/A</v>
      </c>
      <c r="BA71" s="96" t="e">
        <f t="shared" ca="1" si="9"/>
        <v>#N/A</v>
      </c>
      <c r="BB71" s="96" t="e">
        <f t="shared" ca="1" si="10"/>
        <v>#N/A</v>
      </c>
      <c r="BC71" s="96" t="e">
        <f t="shared" ca="1" si="11"/>
        <v>#N/A</v>
      </c>
      <c r="BD71" s="96" t="e">
        <f t="shared" ca="1" si="12"/>
        <v>#N/A</v>
      </c>
      <c r="BE71" s="96" t="e">
        <f t="shared" ca="1" si="13"/>
        <v>#N/A</v>
      </c>
      <c r="BF71" s="96" t="e">
        <f t="shared" ca="1" si="14"/>
        <v>#N/A</v>
      </c>
      <c r="BG71" s="96" t="e">
        <f t="shared" ca="1" si="15"/>
        <v>#N/A</v>
      </c>
    </row>
    <row r="72" spans="2:59" ht="15" customHeight="1">
      <c r="B72" s="2"/>
      <c r="Q72" s="2"/>
      <c r="AF72" s="2"/>
      <c r="AU72" s="2" t="e">
        <f t="shared" si="3"/>
        <v>#N/A</v>
      </c>
      <c r="AV72" s="96" t="e">
        <f t="shared" ca="1" si="4"/>
        <v>#N/A</v>
      </c>
      <c r="AW72" s="96" t="e">
        <f t="shared" ca="1" si="5"/>
        <v>#N/A</v>
      </c>
      <c r="AX72" s="96" t="e">
        <f t="shared" ca="1" si="6"/>
        <v>#N/A</v>
      </c>
      <c r="AY72" s="96" t="e">
        <f t="shared" ca="1" si="7"/>
        <v>#N/A</v>
      </c>
      <c r="AZ72" s="96" t="e">
        <f t="shared" ca="1" si="8"/>
        <v>#N/A</v>
      </c>
      <c r="BA72" s="96" t="e">
        <f t="shared" ca="1" si="9"/>
        <v>#N/A</v>
      </c>
      <c r="BB72" s="96" t="e">
        <f t="shared" ca="1" si="10"/>
        <v>#N/A</v>
      </c>
      <c r="BC72" s="96" t="e">
        <f t="shared" ca="1" si="11"/>
        <v>#N/A</v>
      </c>
      <c r="BD72" s="96" t="e">
        <f t="shared" ca="1" si="12"/>
        <v>#N/A</v>
      </c>
      <c r="BE72" s="96" t="e">
        <f t="shared" ca="1" si="13"/>
        <v>#N/A</v>
      </c>
      <c r="BF72" s="96" t="e">
        <f t="shared" ca="1" si="14"/>
        <v>#N/A</v>
      </c>
      <c r="BG72" s="96" t="e">
        <f t="shared" ca="1" si="15"/>
        <v>#N/A</v>
      </c>
    </row>
    <row r="73" spans="2:59" ht="15" customHeight="1">
      <c r="B73" s="2"/>
      <c r="Q73" s="2"/>
      <c r="AF73" s="2"/>
      <c r="AU73" s="2" t="e">
        <f t="shared" si="3"/>
        <v>#N/A</v>
      </c>
      <c r="AV73" s="96" t="e">
        <f t="shared" ca="1" si="4"/>
        <v>#N/A</v>
      </c>
      <c r="AW73" s="96" t="e">
        <f t="shared" ca="1" si="5"/>
        <v>#N/A</v>
      </c>
      <c r="AX73" s="96" t="e">
        <f t="shared" ca="1" si="6"/>
        <v>#N/A</v>
      </c>
      <c r="AY73" s="96" t="e">
        <f t="shared" ca="1" si="7"/>
        <v>#N/A</v>
      </c>
      <c r="AZ73" s="96" t="e">
        <f t="shared" ca="1" si="8"/>
        <v>#N/A</v>
      </c>
      <c r="BA73" s="96" t="e">
        <f t="shared" ca="1" si="9"/>
        <v>#N/A</v>
      </c>
      <c r="BB73" s="96" t="e">
        <f t="shared" ca="1" si="10"/>
        <v>#N/A</v>
      </c>
      <c r="BC73" s="96" t="e">
        <f t="shared" ca="1" si="11"/>
        <v>#N/A</v>
      </c>
      <c r="BD73" s="96" t="e">
        <f t="shared" ca="1" si="12"/>
        <v>#N/A</v>
      </c>
      <c r="BE73" s="96" t="e">
        <f t="shared" ca="1" si="13"/>
        <v>#N/A</v>
      </c>
      <c r="BF73" s="96" t="e">
        <f t="shared" ca="1" si="14"/>
        <v>#N/A</v>
      </c>
      <c r="BG73" s="96" t="e">
        <f t="shared" ca="1" si="15"/>
        <v>#N/A</v>
      </c>
    </row>
    <row r="74" spans="2:59" ht="15" customHeight="1">
      <c r="B74" s="2"/>
      <c r="Q74" s="2"/>
      <c r="AF74" s="2"/>
      <c r="AU74" s="2" t="e">
        <f t="shared" si="3"/>
        <v>#N/A</v>
      </c>
      <c r="AV74" s="96" t="e">
        <f t="shared" ca="1" si="4"/>
        <v>#N/A</v>
      </c>
      <c r="AW74" s="96" t="e">
        <f t="shared" ca="1" si="5"/>
        <v>#N/A</v>
      </c>
      <c r="AX74" s="96" t="e">
        <f t="shared" ca="1" si="6"/>
        <v>#N/A</v>
      </c>
      <c r="AY74" s="96" t="e">
        <f t="shared" ca="1" si="7"/>
        <v>#N/A</v>
      </c>
      <c r="AZ74" s="96" t="e">
        <f t="shared" ca="1" si="8"/>
        <v>#N/A</v>
      </c>
      <c r="BA74" s="96" t="e">
        <f t="shared" ca="1" si="9"/>
        <v>#N/A</v>
      </c>
      <c r="BB74" s="96" t="e">
        <f t="shared" ca="1" si="10"/>
        <v>#N/A</v>
      </c>
      <c r="BC74" s="96" t="e">
        <f t="shared" ca="1" si="11"/>
        <v>#N/A</v>
      </c>
      <c r="BD74" s="96" t="e">
        <f t="shared" ca="1" si="12"/>
        <v>#N/A</v>
      </c>
      <c r="BE74" s="96" t="e">
        <f t="shared" ca="1" si="13"/>
        <v>#N/A</v>
      </c>
      <c r="BF74" s="96" t="e">
        <f t="shared" ca="1" si="14"/>
        <v>#N/A</v>
      </c>
      <c r="BG74" s="96" t="e">
        <f t="shared" ca="1" si="15"/>
        <v>#N/A</v>
      </c>
    </row>
    <row r="75" spans="2:59" ht="15" customHeight="1">
      <c r="B75" s="2"/>
      <c r="Q75" s="2"/>
      <c r="AF75" s="2"/>
      <c r="AU75" s="2" t="e">
        <f t="shared" si="3"/>
        <v>#N/A</v>
      </c>
      <c r="AV75" s="96" t="e">
        <f t="shared" ca="1" si="4"/>
        <v>#N/A</v>
      </c>
      <c r="AW75" s="96" t="e">
        <f t="shared" ca="1" si="5"/>
        <v>#N/A</v>
      </c>
      <c r="AX75" s="96" t="e">
        <f t="shared" ca="1" si="6"/>
        <v>#N/A</v>
      </c>
      <c r="AY75" s="96" t="e">
        <f t="shared" ca="1" si="7"/>
        <v>#N/A</v>
      </c>
      <c r="AZ75" s="96" t="e">
        <f t="shared" ca="1" si="8"/>
        <v>#N/A</v>
      </c>
      <c r="BA75" s="96" t="e">
        <f t="shared" ca="1" si="9"/>
        <v>#N/A</v>
      </c>
      <c r="BB75" s="96" t="e">
        <f t="shared" ca="1" si="10"/>
        <v>#N/A</v>
      </c>
      <c r="BC75" s="96" t="e">
        <f t="shared" ca="1" si="11"/>
        <v>#N/A</v>
      </c>
      <c r="BD75" s="96" t="e">
        <f t="shared" ca="1" si="12"/>
        <v>#N/A</v>
      </c>
      <c r="BE75" s="96" t="e">
        <f t="shared" ca="1" si="13"/>
        <v>#N/A</v>
      </c>
      <c r="BF75" s="96" t="e">
        <f t="shared" ca="1" si="14"/>
        <v>#N/A</v>
      </c>
      <c r="BG75" s="96" t="e">
        <f t="shared" ca="1" si="15"/>
        <v>#N/A</v>
      </c>
    </row>
    <row r="76" spans="2:59" ht="15" customHeight="1">
      <c r="B76" s="2"/>
      <c r="Q76" s="2"/>
      <c r="AF76" s="2"/>
      <c r="AU76" s="2" t="e">
        <f t="shared" si="3"/>
        <v>#N/A</v>
      </c>
      <c r="AV76" s="96" t="e">
        <f t="shared" ca="1" si="4"/>
        <v>#N/A</v>
      </c>
      <c r="AW76" s="96" t="e">
        <f t="shared" ca="1" si="5"/>
        <v>#N/A</v>
      </c>
      <c r="AX76" s="96" t="e">
        <f t="shared" ca="1" si="6"/>
        <v>#N/A</v>
      </c>
      <c r="AY76" s="96" t="e">
        <f t="shared" ca="1" si="7"/>
        <v>#N/A</v>
      </c>
      <c r="AZ76" s="96" t="e">
        <f t="shared" ca="1" si="8"/>
        <v>#N/A</v>
      </c>
      <c r="BA76" s="96" t="e">
        <f t="shared" ca="1" si="9"/>
        <v>#N/A</v>
      </c>
      <c r="BB76" s="96" t="e">
        <f t="shared" ca="1" si="10"/>
        <v>#N/A</v>
      </c>
      <c r="BC76" s="96" t="e">
        <f t="shared" ca="1" si="11"/>
        <v>#N/A</v>
      </c>
      <c r="BD76" s="96" t="e">
        <f t="shared" ca="1" si="12"/>
        <v>#N/A</v>
      </c>
      <c r="BE76" s="96" t="e">
        <f t="shared" ca="1" si="13"/>
        <v>#N/A</v>
      </c>
      <c r="BF76" s="96" t="e">
        <f t="shared" ca="1" si="14"/>
        <v>#N/A</v>
      </c>
      <c r="BG76" s="96" t="e">
        <f t="shared" ca="1" si="15"/>
        <v>#N/A</v>
      </c>
    </row>
    <row r="77" spans="2:59" ht="15" customHeight="1">
      <c r="B77" s="2"/>
      <c r="Q77" s="2"/>
      <c r="AF77" s="2"/>
      <c r="AU77" s="2" t="e">
        <f t="shared" ref="AU77:AU140" si="16">IF(TRIM(B77)&lt;&gt;"", B77, NA())</f>
        <v>#N/A</v>
      </c>
      <c r="AV77" s="96" t="e">
        <f t="shared" ref="AV77:AV140" ca="1" si="17">IF(ISERROR(ABS(IF(AG$10="Y",100-AG77,AG77)-IF(R$10="Y",100-R77,R77))/C77), NA(), ABS(IF(AG$10="Y",100-AG77,AG77)-IF(R$10="Y",100-R77,R77))/C77)</f>
        <v>#N/A</v>
      </c>
      <c r="AW77" s="96" t="e">
        <f t="shared" ref="AW77:AW140" ca="1" si="18">IF(ISERROR(ABS(IF(AH$10="Y",100-AH77,AH77)-IF(S$10="Y",100-S77,S77))/D77), NA(), ABS(IF(AH$10="Y",100-AH77,AH77)-IF(S$10="Y",100-S77,S77))/D77)</f>
        <v>#N/A</v>
      </c>
      <c r="AX77" s="96" t="e">
        <f t="shared" ref="AX77:AX140" ca="1" si="19">IF(ISERROR(ABS(IF(AI$10="Y",100-AI77,AI77)-IF(T$10="Y",100-T77,T77))/E77), NA(), ABS(IF(AI$10="Y",100-AI77,AI77)-IF(T$10="Y",100-T77,T77))/E77)</f>
        <v>#N/A</v>
      </c>
      <c r="AY77" s="96" t="e">
        <f t="shared" ref="AY77:AY140" ca="1" si="20">IF(ISERROR(ABS(IF(AJ$10="Y",100-AJ77,AJ77)-IF(U$10="Y",100-U77,U77))/F77), NA(), ABS(IF(AJ$10="Y",100-AJ77,AJ77)-IF(U$10="Y",100-U77,U77))/F77)</f>
        <v>#N/A</v>
      </c>
      <c r="AZ77" s="96" t="e">
        <f t="shared" ref="AZ77:AZ140" ca="1" si="21">IF(ISERROR(ABS(IF(AK$10="Y",100-AK77,AK77)-IF(V$10="Y",100-V77,V77))/G77), NA(), ABS(IF(AK$10="Y",100-AK77,AK77)-IF(V$10="Y",100-V77,V77))/G77)</f>
        <v>#N/A</v>
      </c>
      <c r="BA77" s="96" t="e">
        <f t="shared" ref="BA77:BA140" ca="1" si="22">IF(ISERROR(ABS(IF(AL$10="Y",100-AL77,AL77)-IF(W$10="Y",100-W77,W77))/H77), NA(), ABS(IF(AL$10="Y",100-AL77,AL77)-IF(W$10="Y",100-W77,W77))/H77)</f>
        <v>#N/A</v>
      </c>
      <c r="BB77" s="96" t="e">
        <f t="shared" ref="BB77:BB140" ca="1" si="23">IF(ISERROR(ABS(IF(AM$10="Y",100-AM77,AM77)-IF(X$10="Y",100-X77,X77))/I77), NA(), ABS(IF(AM$10="Y",100-AM77,AM77)-IF(X$10="Y",100-X77,X77))/I77)</f>
        <v>#N/A</v>
      </c>
      <c r="BC77" s="96" t="e">
        <f t="shared" ref="BC77:BC140" ca="1" si="24">IF(ISERROR(ABS(IF(AN$10="Y",100-AN77,AN77)-IF(Y$10="Y",100-Y77,Y77))/J77), NA(), ABS(IF(AN$10="Y",100-AN77,AN77)-IF(Y$10="Y",100-Y77,Y77))/J77)</f>
        <v>#N/A</v>
      </c>
      <c r="BD77" s="96" t="e">
        <f t="shared" ref="BD77:BD140" ca="1" si="25">IF(ISERROR(ABS(IF(AO$10="Y",100-AO77,AO77)-IF(Z$10="Y",100-Z77,Z77))/K77), NA(), ABS(IF(AO$10="Y",100-AO77,AO77)-IF(Z$10="Y",100-Z77,Z77))/K77)</f>
        <v>#N/A</v>
      </c>
      <c r="BE77" s="96" t="e">
        <f t="shared" ref="BE77:BE140" ca="1" si="26">IF(ISERROR(ABS(IF(AP$10="Y",100-AP77,AP77)-IF(AA$10="Y",100-AA77,AA77))/L77), NA(), ABS(IF(AP$10="Y",100-AP77,AP77)-IF(AA$10="Y",100-AA77,AA77))/L77)</f>
        <v>#N/A</v>
      </c>
      <c r="BF77" s="96" t="e">
        <f t="shared" ref="BF77:BF140" ca="1" si="27">IF(ISERROR(ABS(IF(AQ$10="Y",100-AQ77,AQ77)-IF(AB$10="Y",100-AB77,AB77))/M77), NA(), ABS(IF(AQ$10="Y",100-AQ77,AQ77)-IF(AB$10="Y",100-AB77,AB77))/M77)</f>
        <v>#N/A</v>
      </c>
      <c r="BG77" s="96" t="e">
        <f t="shared" ref="BG77:BG140" ca="1" si="28">IF(ISERROR(ABS(IF(AR$10="Y",100-AR77,AR77)-IF(AC$10="Y",100-AC77,AC77))/N77), NA(), ABS(IF(AR$10="Y",100-AR77,AR77)-IF(AC$10="Y",100-AC77,AC77))/N77)</f>
        <v>#N/A</v>
      </c>
    </row>
    <row r="78" spans="2:59" ht="15" customHeight="1">
      <c r="B78" s="2"/>
      <c r="Q78" s="2"/>
      <c r="AF78" s="2"/>
      <c r="AU78" s="2" t="e">
        <f t="shared" si="16"/>
        <v>#N/A</v>
      </c>
      <c r="AV78" s="96" t="e">
        <f t="shared" ca="1" si="17"/>
        <v>#N/A</v>
      </c>
      <c r="AW78" s="96" t="e">
        <f t="shared" ca="1" si="18"/>
        <v>#N/A</v>
      </c>
      <c r="AX78" s="96" t="e">
        <f t="shared" ca="1" si="19"/>
        <v>#N/A</v>
      </c>
      <c r="AY78" s="96" t="e">
        <f t="shared" ca="1" si="20"/>
        <v>#N/A</v>
      </c>
      <c r="AZ78" s="96" t="e">
        <f t="shared" ca="1" si="21"/>
        <v>#N/A</v>
      </c>
      <c r="BA78" s="96" t="e">
        <f t="shared" ca="1" si="22"/>
        <v>#N/A</v>
      </c>
      <c r="BB78" s="96" t="e">
        <f t="shared" ca="1" si="23"/>
        <v>#N/A</v>
      </c>
      <c r="BC78" s="96" t="e">
        <f t="shared" ca="1" si="24"/>
        <v>#N/A</v>
      </c>
      <c r="BD78" s="96" t="e">
        <f t="shared" ca="1" si="25"/>
        <v>#N/A</v>
      </c>
      <c r="BE78" s="96" t="e">
        <f t="shared" ca="1" si="26"/>
        <v>#N/A</v>
      </c>
      <c r="BF78" s="96" t="e">
        <f t="shared" ca="1" si="27"/>
        <v>#N/A</v>
      </c>
      <c r="BG78" s="96" t="e">
        <f t="shared" ca="1" si="28"/>
        <v>#N/A</v>
      </c>
    </row>
    <row r="79" spans="2:59" ht="15" customHeight="1">
      <c r="B79" s="2"/>
      <c r="Q79" s="2"/>
      <c r="AF79" s="2"/>
      <c r="AU79" s="2" t="e">
        <f t="shared" si="16"/>
        <v>#N/A</v>
      </c>
      <c r="AV79" s="96" t="e">
        <f t="shared" ca="1" si="17"/>
        <v>#N/A</v>
      </c>
      <c r="AW79" s="96" t="e">
        <f t="shared" ca="1" si="18"/>
        <v>#N/A</v>
      </c>
      <c r="AX79" s="96" t="e">
        <f t="shared" ca="1" si="19"/>
        <v>#N/A</v>
      </c>
      <c r="AY79" s="96" t="e">
        <f t="shared" ca="1" si="20"/>
        <v>#N/A</v>
      </c>
      <c r="AZ79" s="96" t="e">
        <f t="shared" ca="1" si="21"/>
        <v>#N/A</v>
      </c>
      <c r="BA79" s="96" t="e">
        <f t="shared" ca="1" si="22"/>
        <v>#N/A</v>
      </c>
      <c r="BB79" s="96" t="e">
        <f t="shared" ca="1" si="23"/>
        <v>#N/A</v>
      </c>
      <c r="BC79" s="96" t="e">
        <f t="shared" ca="1" si="24"/>
        <v>#N/A</v>
      </c>
      <c r="BD79" s="96" t="e">
        <f t="shared" ca="1" si="25"/>
        <v>#N/A</v>
      </c>
      <c r="BE79" s="96" t="e">
        <f t="shared" ca="1" si="26"/>
        <v>#N/A</v>
      </c>
      <c r="BF79" s="96" t="e">
        <f t="shared" ca="1" si="27"/>
        <v>#N/A</v>
      </c>
      <c r="BG79" s="96" t="e">
        <f t="shared" ca="1" si="28"/>
        <v>#N/A</v>
      </c>
    </row>
    <row r="80" spans="2:59" ht="15" customHeight="1">
      <c r="B80" s="2"/>
      <c r="Q80" s="2"/>
      <c r="AF80" s="2"/>
      <c r="AU80" s="2" t="e">
        <f t="shared" si="16"/>
        <v>#N/A</v>
      </c>
      <c r="AV80" s="96" t="e">
        <f t="shared" ca="1" si="17"/>
        <v>#N/A</v>
      </c>
      <c r="AW80" s="96" t="e">
        <f t="shared" ca="1" si="18"/>
        <v>#N/A</v>
      </c>
      <c r="AX80" s="96" t="e">
        <f t="shared" ca="1" si="19"/>
        <v>#N/A</v>
      </c>
      <c r="AY80" s="96" t="e">
        <f t="shared" ca="1" si="20"/>
        <v>#N/A</v>
      </c>
      <c r="AZ80" s="96" t="e">
        <f t="shared" ca="1" si="21"/>
        <v>#N/A</v>
      </c>
      <c r="BA80" s="96" t="e">
        <f t="shared" ca="1" si="22"/>
        <v>#N/A</v>
      </c>
      <c r="BB80" s="96" t="e">
        <f t="shared" ca="1" si="23"/>
        <v>#N/A</v>
      </c>
      <c r="BC80" s="96" t="e">
        <f t="shared" ca="1" si="24"/>
        <v>#N/A</v>
      </c>
      <c r="BD80" s="96" t="e">
        <f t="shared" ca="1" si="25"/>
        <v>#N/A</v>
      </c>
      <c r="BE80" s="96" t="e">
        <f t="shared" ca="1" si="26"/>
        <v>#N/A</v>
      </c>
      <c r="BF80" s="96" t="e">
        <f t="shared" ca="1" si="27"/>
        <v>#N/A</v>
      </c>
      <c r="BG80" s="96" t="e">
        <f t="shared" ca="1" si="28"/>
        <v>#N/A</v>
      </c>
    </row>
    <row r="81" spans="2:59" ht="15" customHeight="1">
      <c r="B81" s="2"/>
      <c r="Q81" s="2"/>
      <c r="AF81" s="2"/>
      <c r="AU81" s="2" t="e">
        <f t="shared" si="16"/>
        <v>#N/A</v>
      </c>
      <c r="AV81" s="96" t="e">
        <f t="shared" ca="1" si="17"/>
        <v>#N/A</v>
      </c>
      <c r="AW81" s="96" t="e">
        <f t="shared" ca="1" si="18"/>
        <v>#N/A</v>
      </c>
      <c r="AX81" s="96" t="e">
        <f t="shared" ca="1" si="19"/>
        <v>#N/A</v>
      </c>
      <c r="AY81" s="96" t="e">
        <f t="shared" ca="1" si="20"/>
        <v>#N/A</v>
      </c>
      <c r="AZ81" s="96" t="e">
        <f t="shared" ca="1" si="21"/>
        <v>#N/A</v>
      </c>
      <c r="BA81" s="96" t="e">
        <f t="shared" ca="1" si="22"/>
        <v>#N/A</v>
      </c>
      <c r="BB81" s="96" t="e">
        <f t="shared" ca="1" si="23"/>
        <v>#N/A</v>
      </c>
      <c r="BC81" s="96" t="e">
        <f t="shared" ca="1" si="24"/>
        <v>#N/A</v>
      </c>
      <c r="BD81" s="96" t="e">
        <f t="shared" ca="1" si="25"/>
        <v>#N/A</v>
      </c>
      <c r="BE81" s="96" t="e">
        <f t="shared" ca="1" si="26"/>
        <v>#N/A</v>
      </c>
      <c r="BF81" s="96" t="e">
        <f t="shared" ca="1" si="27"/>
        <v>#N/A</v>
      </c>
      <c r="BG81" s="96" t="e">
        <f t="shared" ca="1" si="28"/>
        <v>#N/A</v>
      </c>
    </row>
    <row r="82" spans="2:59" ht="15" customHeight="1">
      <c r="B82" s="2"/>
      <c r="Q82" s="2"/>
      <c r="AF82" s="2"/>
      <c r="AU82" s="2" t="e">
        <f t="shared" si="16"/>
        <v>#N/A</v>
      </c>
      <c r="AV82" s="96" t="e">
        <f t="shared" ca="1" si="17"/>
        <v>#N/A</v>
      </c>
      <c r="AW82" s="96" t="e">
        <f t="shared" ca="1" si="18"/>
        <v>#N/A</v>
      </c>
      <c r="AX82" s="96" t="e">
        <f t="shared" ca="1" si="19"/>
        <v>#N/A</v>
      </c>
      <c r="AY82" s="96" t="e">
        <f t="shared" ca="1" si="20"/>
        <v>#N/A</v>
      </c>
      <c r="AZ82" s="96" t="e">
        <f t="shared" ca="1" si="21"/>
        <v>#N/A</v>
      </c>
      <c r="BA82" s="96" t="e">
        <f t="shared" ca="1" si="22"/>
        <v>#N/A</v>
      </c>
      <c r="BB82" s="96" t="e">
        <f t="shared" ca="1" si="23"/>
        <v>#N/A</v>
      </c>
      <c r="BC82" s="96" t="e">
        <f t="shared" ca="1" si="24"/>
        <v>#N/A</v>
      </c>
      <c r="BD82" s="96" t="e">
        <f t="shared" ca="1" si="25"/>
        <v>#N/A</v>
      </c>
      <c r="BE82" s="96" t="e">
        <f t="shared" ca="1" si="26"/>
        <v>#N/A</v>
      </c>
      <c r="BF82" s="96" t="e">
        <f t="shared" ca="1" si="27"/>
        <v>#N/A</v>
      </c>
      <c r="BG82" s="96" t="e">
        <f t="shared" ca="1" si="28"/>
        <v>#N/A</v>
      </c>
    </row>
    <row r="83" spans="2:59" ht="15" customHeight="1">
      <c r="B83" s="2"/>
      <c r="Q83" s="2"/>
      <c r="AF83" s="2"/>
      <c r="AU83" s="2" t="e">
        <f t="shared" si="16"/>
        <v>#N/A</v>
      </c>
      <c r="AV83" s="96" t="e">
        <f t="shared" ca="1" si="17"/>
        <v>#N/A</v>
      </c>
      <c r="AW83" s="96" t="e">
        <f t="shared" ca="1" si="18"/>
        <v>#N/A</v>
      </c>
      <c r="AX83" s="96" t="e">
        <f t="shared" ca="1" si="19"/>
        <v>#N/A</v>
      </c>
      <c r="AY83" s="96" t="e">
        <f t="shared" ca="1" si="20"/>
        <v>#N/A</v>
      </c>
      <c r="AZ83" s="96" t="e">
        <f t="shared" ca="1" si="21"/>
        <v>#N/A</v>
      </c>
      <c r="BA83" s="96" t="e">
        <f t="shared" ca="1" si="22"/>
        <v>#N/A</v>
      </c>
      <c r="BB83" s="96" t="e">
        <f t="shared" ca="1" si="23"/>
        <v>#N/A</v>
      </c>
      <c r="BC83" s="96" t="e">
        <f t="shared" ca="1" si="24"/>
        <v>#N/A</v>
      </c>
      <c r="BD83" s="96" t="e">
        <f t="shared" ca="1" si="25"/>
        <v>#N/A</v>
      </c>
      <c r="BE83" s="96" t="e">
        <f t="shared" ca="1" si="26"/>
        <v>#N/A</v>
      </c>
      <c r="BF83" s="96" t="e">
        <f t="shared" ca="1" si="27"/>
        <v>#N/A</v>
      </c>
      <c r="BG83" s="96" t="e">
        <f t="shared" ca="1" si="28"/>
        <v>#N/A</v>
      </c>
    </row>
    <row r="84" spans="2:59" ht="15" customHeight="1">
      <c r="B84" s="2"/>
      <c r="Q84" s="2"/>
      <c r="AF84" s="2"/>
      <c r="AU84" s="2" t="e">
        <f t="shared" si="16"/>
        <v>#N/A</v>
      </c>
      <c r="AV84" s="96" t="e">
        <f t="shared" ca="1" si="17"/>
        <v>#N/A</v>
      </c>
      <c r="AW84" s="96" t="e">
        <f t="shared" ca="1" si="18"/>
        <v>#N/A</v>
      </c>
      <c r="AX84" s="96" t="e">
        <f t="shared" ca="1" si="19"/>
        <v>#N/A</v>
      </c>
      <c r="AY84" s="96" t="e">
        <f t="shared" ca="1" si="20"/>
        <v>#N/A</v>
      </c>
      <c r="AZ84" s="96" t="e">
        <f t="shared" ca="1" si="21"/>
        <v>#N/A</v>
      </c>
      <c r="BA84" s="96" t="e">
        <f t="shared" ca="1" si="22"/>
        <v>#N/A</v>
      </c>
      <c r="BB84" s="96" t="e">
        <f t="shared" ca="1" si="23"/>
        <v>#N/A</v>
      </c>
      <c r="BC84" s="96" t="e">
        <f t="shared" ca="1" si="24"/>
        <v>#N/A</v>
      </c>
      <c r="BD84" s="96" t="e">
        <f t="shared" ca="1" si="25"/>
        <v>#N/A</v>
      </c>
      <c r="BE84" s="96" t="e">
        <f t="shared" ca="1" si="26"/>
        <v>#N/A</v>
      </c>
      <c r="BF84" s="96" t="e">
        <f t="shared" ca="1" si="27"/>
        <v>#N/A</v>
      </c>
      <c r="BG84" s="96" t="e">
        <f t="shared" ca="1" si="28"/>
        <v>#N/A</v>
      </c>
    </row>
    <row r="85" spans="2:59" ht="15" customHeight="1">
      <c r="B85" s="2"/>
      <c r="Q85" s="2"/>
      <c r="AF85" s="2"/>
      <c r="AU85" s="2" t="e">
        <f t="shared" si="16"/>
        <v>#N/A</v>
      </c>
      <c r="AV85" s="96" t="e">
        <f t="shared" ca="1" si="17"/>
        <v>#N/A</v>
      </c>
      <c r="AW85" s="96" t="e">
        <f t="shared" ca="1" si="18"/>
        <v>#N/A</v>
      </c>
      <c r="AX85" s="96" t="e">
        <f t="shared" ca="1" si="19"/>
        <v>#N/A</v>
      </c>
      <c r="AY85" s="96" t="e">
        <f t="shared" ca="1" si="20"/>
        <v>#N/A</v>
      </c>
      <c r="AZ85" s="96" t="e">
        <f t="shared" ca="1" si="21"/>
        <v>#N/A</v>
      </c>
      <c r="BA85" s="96" t="e">
        <f t="shared" ca="1" si="22"/>
        <v>#N/A</v>
      </c>
      <c r="BB85" s="96" t="e">
        <f t="shared" ca="1" si="23"/>
        <v>#N/A</v>
      </c>
      <c r="BC85" s="96" t="e">
        <f t="shared" ca="1" si="24"/>
        <v>#N/A</v>
      </c>
      <c r="BD85" s="96" t="e">
        <f t="shared" ca="1" si="25"/>
        <v>#N/A</v>
      </c>
      <c r="BE85" s="96" t="e">
        <f t="shared" ca="1" si="26"/>
        <v>#N/A</v>
      </c>
      <c r="BF85" s="96" t="e">
        <f t="shared" ca="1" si="27"/>
        <v>#N/A</v>
      </c>
      <c r="BG85" s="96" t="e">
        <f t="shared" ca="1" si="28"/>
        <v>#N/A</v>
      </c>
    </row>
    <row r="86" spans="2:59" ht="15" customHeight="1">
      <c r="B86" s="2"/>
      <c r="Q86" s="2"/>
      <c r="AF86" s="2"/>
      <c r="AU86" s="2" t="e">
        <f t="shared" si="16"/>
        <v>#N/A</v>
      </c>
      <c r="AV86" s="96" t="e">
        <f t="shared" ca="1" si="17"/>
        <v>#N/A</v>
      </c>
      <c r="AW86" s="96" t="e">
        <f t="shared" ca="1" si="18"/>
        <v>#N/A</v>
      </c>
      <c r="AX86" s="96" t="e">
        <f t="shared" ca="1" si="19"/>
        <v>#N/A</v>
      </c>
      <c r="AY86" s="96" t="e">
        <f t="shared" ca="1" si="20"/>
        <v>#N/A</v>
      </c>
      <c r="AZ86" s="96" t="e">
        <f t="shared" ca="1" si="21"/>
        <v>#N/A</v>
      </c>
      <c r="BA86" s="96" t="e">
        <f t="shared" ca="1" si="22"/>
        <v>#N/A</v>
      </c>
      <c r="BB86" s="96" t="e">
        <f t="shared" ca="1" si="23"/>
        <v>#N/A</v>
      </c>
      <c r="BC86" s="96" t="e">
        <f t="shared" ca="1" si="24"/>
        <v>#N/A</v>
      </c>
      <c r="BD86" s="96" t="e">
        <f t="shared" ca="1" si="25"/>
        <v>#N/A</v>
      </c>
      <c r="BE86" s="96" t="e">
        <f t="shared" ca="1" si="26"/>
        <v>#N/A</v>
      </c>
      <c r="BF86" s="96" t="e">
        <f t="shared" ca="1" si="27"/>
        <v>#N/A</v>
      </c>
      <c r="BG86" s="96" t="e">
        <f t="shared" ca="1" si="28"/>
        <v>#N/A</v>
      </c>
    </row>
    <row r="87" spans="2:59" ht="15" customHeight="1">
      <c r="B87" s="2"/>
      <c r="Q87" s="2"/>
      <c r="AF87" s="2"/>
      <c r="AU87" s="2" t="e">
        <f t="shared" si="16"/>
        <v>#N/A</v>
      </c>
      <c r="AV87" s="96" t="e">
        <f t="shared" ca="1" si="17"/>
        <v>#N/A</v>
      </c>
      <c r="AW87" s="96" t="e">
        <f t="shared" ca="1" si="18"/>
        <v>#N/A</v>
      </c>
      <c r="AX87" s="96" t="e">
        <f t="shared" ca="1" si="19"/>
        <v>#N/A</v>
      </c>
      <c r="AY87" s="96" t="e">
        <f t="shared" ca="1" si="20"/>
        <v>#N/A</v>
      </c>
      <c r="AZ87" s="96" t="e">
        <f t="shared" ca="1" si="21"/>
        <v>#N/A</v>
      </c>
      <c r="BA87" s="96" t="e">
        <f t="shared" ca="1" si="22"/>
        <v>#N/A</v>
      </c>
      <c r="BB87" s="96" t="e">
        <f t="shared" ca="1" si="23"/>
        <v>#N/A</v>
      </c>
      <c r="BC87" s="96" t="e">
        <f t="shared" ca="1" si="24"/>
        <v>#N/A</v>
      </c>
      <c r="BD87" s="96" t="e">
        <f t="shared" ca="1" si="25"/>
        <v>#N/A</v>
      </c>
      <c r="BE87" s="96" t="e">
        <f t="shared" ca="1" si="26"/>
        <v>#N/A</v>
      </c>
      <c r="BF87" s="96" t="e">
        <f t="shared" ca="1" si="27"/>
        <v>#N/A</v>
      </c>
      <c r="BG87" s="96" t="e">
        <f t="shared" ca="1" si="28"/>
        <v>#N/A</v>
      </c>
    </row>
    <row r="88" spans="2:59" ht="15" customHeight="1">
      <c r="B88" s="2"/>
      <c r="Q88" s="2"/>
      <c r="AF88" s="2"/>
      <c r="AU88" s="2" t="e">
        <f t="shared" si="16"/>
        <v>#N/A</v>
      </c>
      <c r="AV88" s="96" t="e">
        <f t="shared" ca="1" si="17"/>
        <v>#N/A</v>
      </c>
      <c r="AW88" s="96" t="e">
        <f t="shared" ca="1" si="18"/>
        <v>#N/A</v>
      </c>
      <c r="AX88" s="96" t="e">
        <f t="shared" ca="1" si="19"/>
        <v>#N/A</v>
      </c>
      <c r="AY88" s="96" t="e">
        <f t="shared" ca="1" si="20"/>
        <v>#N/A</v>
      </c>
      <c r="AZ88" s="96" t="e">
        <f t="shared" ca="1" si="21"/>
        <v>#N/A</v>
      </c>
      <c r="BA88" s="96" t="e">
        <f t="shared" ca="1" si="22"/>
        <v>#N/A</v>
      </c>
      <c r="BB88" s="96" t="e">
        <f t="shared" ca="1" si="23"/>
        <v>#N/A</v>
      </c>
      <c r="BC88" s="96" t="e">
        <f t="shared" ca="1" si="24"/>
        <v>#N/A</v>
      </c>
      <c r="BD88" s="96" t="e">
        <f t="shared" ca="1" si="25"/>
        <v>#N/A</v>
      </c>
      <c r="BE88" s="96" t="e">
        <f t="shared" ca="1" si="26"/>
        <v>#N/A</v>
      </c>
      <c r="BF88" s="96" t="e">
        <f t="shared" ca="1" si="27"/>
        <v>#N/A</v>
      </c>
      <c r="BG88" s="96" t="e">
        <f t="shared" ca="1" si="28"/>
        <v>#N/A</v>
      </c>
    </row>
    <row r="89" spans="2:59" ht="15" customHeight="1">
      <c r="B89" s="2"/>
      <c r="Q89" s="2"/>
      <c r="AF89" s="2"/>
      <c r="AU89" s="2" t="e">
        <f t="shared" si="16"/>
        <v>#N/A</v>
      </c>
      <c r="AV89" s="96" t="e">
        <f t="shared" ca="1" si="17"/>
        <v>#N/A</v>
      </c>
      <c r="AW89" s="96" t="e">
        <f t="shared" ca="1" si="18"/>
        <v>#N/A</v>
      </c>
      <c r="AX89" s="96" t="e">
        <f t="shared" ca="1" si="19"/>
        <v>#N/A</v>
      </c>
      <c r="AY89" s="96" t="e">
        <f t="shared" ca="1" si="20"/>
        <v>#N/A</v>
      </c>
      <c r="AZ89" s="96" t="e">
        <f t="shared" ca="1" si="21"/>
        <v>#N/A</v>
      </c>
      <c r="BA89" s="96" t="e">
        <f t="shared" ca="1" si="22"/>
        <v>#N/A</v>
      </c>
      <c r="BB89" s="96" t="e">
        <f t="shared" ca="1" si="23"/>
        <v>#N/A</v>
      </c>
      <c r="BC89" s="96" t="e">
        <f t="shared" ca="1" si="24"/>
        <v>#N/A</v>
      </c>
      <c r="BD89" s="96" t="e">
        <f t="shared" ca="1" si="25"/>
        <v>#N/A</v>
      </c>
      <c r="BE89" s="96" t="e">
        <f t="shared" ca="1" si="26"/>
        <v>#N/A</v>
      </c>
      <c r="BF89" s="96" t="e">
        <f t="shared" ca="1" si="27"/>
        <v>#N/A</v>
      </c>
      <c r="BG89" s="96" t="e">
        <f t="shared" ca="1" si="28"/>
        <v>#N/A</v>
      </c>
    </row>
    <row r="90" spans="2:59" ht="15" customHeight="1">
      <c r="B90" s="2"/>
      <c r="Q90" s="2"/>
      <c r="AF90" s="2"/>
      <c r="AU90" s="2" t="e">
        <f t="shared" si="16"/>
        <v>#N/A</v>
      </c>
      <c r="AV90" s="96" t="e">
        <f t="shared" ca="1" si="17"/>
        <v>#N/A</v>
      </c>
      <c r="AW90" s="96" t="e">
        <f t="shared" ca="1" si="18"/>
        <v>#N/A</v>
      </c>
      <c r="AX90" s="96" t="e">
        <f t="shared" ca="1" si="19"/>
        <v>#N/A</v>
      </c>
      <c r="AY90" s="96" t="e">
        <f t="shared" ca="1" si="20"/>
        <v>#N/A</v>
      </c>
      <c r="AZ90" s="96" t="e">
        <f t="shared" ca="1" si="21"/>
        <v>#N/A</v>
      </c>
      <c r="BA90" s="96" t="e">
        <f t="shared" ca="1" si="22"/>
        <v>#N/A</v>
      </c>
      <c r="BB90" s="96" t="e">
        <f t="shared" ca="1" si="23"/>
        <v>#N/A</v>
      </c>
      <c r="BC90" s="96" t="e">
        <f t="shared" ca="1" si="24"/>
        <v>#N/A</v>
      </c>
      <c r="BD90" s="96" t="e">
        <f t="shared" ca="1" si="25"/>
        <v>#N/A</v>
      </c>
      <c r="BE90" s="96" t="e">
        <f t="shared" ca="1" si="26"/>
        <v>#N/A</v>
      </c>
      <c r="BF90" s="96" t="e">
        <f t="shared" ca="1" si="27"/>
        <v>#N/A</v>
      </c>
      <c r="BG90" s="96" t="e">
        <f t="shared" ca="1" si="28"/>
        <v>#N/A</v>
      </c>
    </row>
    <row r="91" spans="2:59" ht="15" customHeight="1">
      <c r="B91" s="2"/>
      <c r="Q91" s="2"/>
      <c r="AF91" s="2"/>
      <c r="AU91" s="2" t="e">
        <f t="shared" si="16"/>
        <v>#N/A</v>
      </c>
      <c r="AV91" s="96" t="e">
        <f t="shared" ca="1" si="17"/>
        <v>#N/A</v>
      </c>
      <c r="AW91" s="96" t="e">
        <f t="shared" ca="1" si="18"/>
        <v>#N/A</v>
      </c>
      <c r="AX91" s="96" t="e">
        <f t="shared" ca="1" si="19"/>
        <v>#N/A</v>
      </c>
      <c r="AY91" s="96" t="e">
        <f t="shared" ca="1" si="20"/>
        <v>#N/A</v>
      </c>
      <c r="AZ91" s="96" t="e">
        <f t="shared" ca="1" si="21"/>
        <v>#N/A</v>
      </c>
      <c r="BA91" s="96" t="e">
        <f t="shared" ca="1" si="22"/>
        <v>#N/A</v>
      </c>
      <c r="BB91" s="96" t="e">
        <f t="shared" ca="1" si="23"/>
        <v>#N/A</v>
      </c>
      <c r="BC91" s="96" t="e">
        <f t="shared" ca="1" si="24"/>
        <v>#N/A</v>
      </c>
      <c r="BD91" s="96" t="e">
        <f t="shared" ca="1" si="25"/>
        <v>#N/A</v>
      </c>
      <c r="BE91" s="96" t="e">
        <f t="shared" ca="1" si="26"/>
        <v>#N/A</v>
      </c>
      <c r="BF91" s="96" t="e">
        <f t="shared" ca="1" si="27"/>
        <v>#N/A</v>
      </c>
      <c r="BG91" s="96" t="e">
        <f t="shared" ca="1" si="28"/>
        <v>#N/A</v>
      </c>
    </row>
    <row r="92" spans="2:59" ht="15" customHeight="1">
      <c r="B92" s="2"/>
      <c r="Q92" s="2"/>
      <c r="AF92" s="2"/>
      <c r="AU92" s="2" t="e">
        <f t="shared" si="16"/>
        <v>#N/A</v>
      </c>
      <c r="AV92" s="96" t="e">
        <f t="shared" ca="1" si="17"/>
        <v>#N/A</v>
      </c>
      <c r="AW92" s="96" t="e">
        <f t="shared" ca="1" si="18"/>
        <v>#N/A</v>
      </c>
      <c r="AX92" s="96" t="e">
        <f t="shared" ca="1" si="19"/>
        <v>#N/A</v>
      </c>
      <c r="AY92" s="96" t="e">
        <f t="shared" ca="1" si="20"/>
        <v>#N/A</v>
      </c>
      <c r="AZ92" s="96" t="e">
        <f t="shared" ca="1" si="21"/>
        <v>#N/A</v>
      </c>
      <c r="BA92" s="96" t="e">
        <f t="shared" ca="1" si="22"/>
        <v>#N/A</v>
      </c>
      <c r="BB92" s="96" t="e">
        <f t="shared" ca="1" si="23"/>
        <v>#N/A</v>
      </c>
      <c r="BC92" s="96" t="e">
        <f t="shared" ca="1" si="24"/>
        <v>#N/A</v>
      </c>
      <c r="BD92" s="96" t="e">
        <f t="shared" ca="1" si="25"/>
        <v>#N/A</v>
      </c>
      <c r="BE92" s="96" t="e">
        <f t="shared" ca="1" si="26"/>
        <v>#N/A</v>
      </c>
      <c r="BF92" s="96" t="e">
        <f t="shared" ca="1" si="27"/>
        <v>#N/A</v>
      </c>
      <c r="BG92" s="96" t="e">
        <f t="shared" ca="1" si="28"/>
        <v>#N/A</v>
      </c>
    </row>
    <row r="93" spans="2:59" ht="15" customHeight="1">
      <c r="B93" s="2"/>
      <c r="Q93" s="2"/>
      <c r="AF93" s="2"/>
      <c r="AU93" s="2" t="e">
        <f t="shared" si="16"/>
        <v>#N/A</v>
      </c>
      <c r="AV93" s="96" t="e">
        <f t="shared" ca="1" si="17"/>
        <v>#N/A</v>
      </c>
      <c r="AW93" s="96" t="e">
        <f t="shared" ca="1" si="18"/>
        <v>#N/A</v>
      </c>
      <c r="AX93" s="96" t="e">
        <f t="shared" ca="1" si="19"/>
        <v>#N/A</v>
      </c>
      <c r="AY93" s="96" t="e">
        <f t="shared" ca="1" si="20"/>
        <v>#N/A</v>
      </c>
      <c r="AZ93" s="96" t="e">
        <f t="shared" ca="1" si="21"/>
        <v>#N/A</v>
      </c>
      <c r="BA93" s="96" t="e">
        <f t="shared" ca="1" si="22"/>
        <v>#N/A</v>
      </c>
      <c r="BB93" s="96" t="e">
        <f t="shared" ca="1" si="23"/>
        <v>#N/A</v>
      </c>
      <c r="BC93" s="96" t="e">
        <f t="shared" ca="1" si="24"/>
        <v>#N/A</v>
      </c>
      <c r="BD93" s="96" t="e">
        <f t="shared" ca="1" si="25"/>
        <v>#N/A</v>
      </c>
      <c r="BE93" s="96" t="e">
        <f t="shared" ca="1" si="26"/>
        <v>#N/A</v>
      </c>
      <c r="BF93" s="96" t="e">
        <f t="shared" ca="1" si="27"/>
        <v>#N/A</v>
      </c>
      <c r="BG93" s="96" t="e">
        <f t="shared" ca="1" si="28"/>
        <v>#N/A</v>
      </c>
    </row>
    <row r="94" spans="2:59" ht="15" customHeight="1">
      <c r="B94" s="2"/>
      <c r="Q94" s="2"/>
      <c r="AF94" s="2"/>
      <c r="AU94" s="2" t="e">
        <f t="shared" si="16"/>
        <v>#N/A</v>
      </c>
      <c r="AV94" s="96" t="e">
        <f t="shared" ca="1" si="17"/>
        <v>#N/A</v>
      </c>
      <c r="AW94" s="96" t="e">
        <f t="shared" ca="1" si="18"/>
        <v>#N/A</v>
      </c>
      <c r="AX94" s="96" t="e">
        <f t="shared" ca="1" si="19"/>
        <v>#N/A</v>
      </c>
      <c r="AY94" s="96" t="e">
        <f t="shared" ca="1" si="20"/>
        <v>#N/A</v>
      </c>
      <c r="AZ94" s="96" t="e">
        <f t="shared" ca="1" si="21"/>
        <v>#N/A</v>
      </c>
      <c r="BA94" s="96" t="e">
        <f t="shared" ca="1" si="22"/>
        <v>#N/A</v>
      </c>
      <c r="BB94" s="96" t="e">
        <f t="shared" ca="1" si="23"/>
        <v>#N/A</v>
      </c>
      <c r="BC94" s="96" t="e">
        <f t="shared" ca="1" si="24"/>
        <v>#N/A</v>
      </c>
      <c r="BD94" s="96" t="e">
        <f t="shared" ca="1" si="25"/>
        <v>#N/A</v>
      </c>
      <c r="BE94" s="96" t="e">
        <f t="shared" ca="1" si="26"/>
        <v>#N/A</v>
      </c>
      <c r="BF94" s="96" t="e">
        <f t="shared" ca="1" si="27"/>
        <v>#N/A</v>
      </c>
      <c r="BG94" s="96" t="e">
        <f t="shared" ca="1" si="28"/>
        <v>#N/A</v>
      </c>
    </row>
    <row r="95" spans="2:59" ht="15" customHeight="1">
      <c r="B95" s="2"/>
      <c r="Q95" s="2"/>
      <c r="AF95" s="2"/>
      <c r="AU95" s="2" t="e">
        <f t="shared" si="16"/>
        <v>#N/A</v>
      </c>
      <c r="AV95" s="96" t="e">
        <f t="shared" ca="1" si="17"/>
        <v>#N/A</v>
      </c>
      <c r="AW95" s="96" t="e">
        <f t="shared" ca="1" si="18"/>
        <v>#N/A</v>
      </c>
      <c r="AX95" s="96" t="e">
        <f t="shared" ca="1" si="19"/>
        <v>#N/A</v>
      </c>
      <c r="AY95" s="96" t="e">
        <f t="shared" ca="1" si="20"/>
        <v>#N/A</v>
      </c>
      <c r="AZ95" s="96" t="e">
        <f t="shared" ca="1" si="21"/>
        <v>#N/A</v>
      </c>
      <c r="BA95" s="96" t="e">
        <f t="shared" ca="1" si="22"/>
        <v>#N/A</v>
      </c>
      <c r="BB95" s="96" t="e">
        <f t="shared" ca="1" si="23"/>
        <v>#N/A</v>
      </c>
      <c r="BC95" s="96" t="e">
        <f t="shared" ca="1" si="24"/>
        <v>#N/A</v>
      </c>
      <c r="BD95" s="96" t="e">
        <f t="shared" ca="1" si="25"/>
        <v>#N/A</v>
      </c>
      <c r="BE95" s="96" t="e">
        <f t="shared" ca="1" si="26"/>
        <v>#N/A</v>
      </c>
      <c r="BF95" s="96" t="e">
        <f t="shared" ca="1" si="27"/>
        <v>#N/A</v>
      </c>
      <c r="BG95" s="96" t="e">
        <f t="shared" ca="1" si="28"/>
        <v>#N/A</v>
      </c>
    </row>
    <row r="96" spans="2:59" ht="15" customHeight="1">
      <c r="B96" s="2"/>
      <c r="Q96" s="2"/>
      <c r="AF96" s="2"/>
      <c r="AU96" s="2" t="e">
        <f t="shared" si="16"/>
        <v>#N/A</v>
      </c>
      <c r="AV96" s="96" t="e">
        <f t="shared" ca="1" si="17"/>
        <v>#N/A</v>
      </c>
      <c r="AW96" s="96" t="e">
        <f t="shared" ca="1" si="18"/>
        <v>#N/A</v>
      </c>
      <c r="AX96" s="96" t="e">
        <f t="shared" ca="1" si="19"/>
        <v>#N/A</v>
      </c>
      <c r="AY96" s="96" t="e">
        <f t="shared" ca="1" si="20"/>
        <v>#N/A</v>
      </c>
      <c r="AZ96" s="96" t="e">
        <f t="shared" ca="1" si="21"/>
        <v>#N/A</v>
      </c>
      <c r="BA96" s="96" t="e">
        <f t="shared" ca="1" si="22"/>
        <v>#N/A</v>
      </c>
      <c r="BB96" s="96" t="e">
        <f t="shared" ca="1" si="23"/>
        <v>#N/A</v>
      </c>
      <c r="BC96" s="96" t="e">
        <f t="shared" ca="1" si="24"/>
        <v>#N/A</v>
      </c>
      <c r="BD96" s="96" t="e">
        <f t="shared" ca="1" si="25"/>
        <v>#N/A</v>
      </c>
      <c r="BE96" s="96" t="e">
        <f t="shared" ca="1" si="26"/>
        <v>#N/A</v>
      </c>
      <c r="BF96" s="96" t="e">
        <f t="shared" ca="1" si="27"/>
        <v>#N/A</v>
      </c>
      <c r="BG96" s="96" t="e">
        <f t="shared" ca="1" si="28"/>
        <v>#N/A</v>
      </c>
    </row>
    <row r="97" spans="2:59" ht="15" customHeight="1">
      <c r="B97" s="2"/>
      <c r="Q97" s="2"/>
      <c r="AF97" s="2"/>
      <c r="AU97" s="2" t="e">
        <f t="shared" si="16"/>
        <v>#N/A</v>
      </c>
      <c r="AV97" s="96" t="e">
        <f t="shared" ca="1" si="17"/>
        <v>#N/A</v>
      </c>
      <c r="AW97" s="96" t="e">
        <f t="shared" ca="1" si="18"/>
        <v>#N/A</v>
      </c>
      <c r="AX97" s="96" t="e">
        <f t="shared" ca="1" si="19"/>
        <v>#N/A</v>
      </c>
      <c r="AY97" s="96" t="e">
        <f t="shared" ca="1" si="20"/>
        <v>#N/A</v>
      </c>
      <c r="AZ97" s="96" t="e">
        <f t="shared" ca="1" si="21"/>
        <v>#N/A</v>
      </c>
      <c r="BA97" s="96" t="e">
        <f t="shared" ca="1" si="22"/>
        <v>#N/A</v>
      </c>
      <c r="BB97" s="96" t="e">
        <f t="shared" ca="1" si="23"/>
        <v>#N/A</v>
      </c>
      <c r="BC97" s="96" t="e">
        <f t="shared" ca="1" si="24"/>
        <v>#N/A</v>
      </c>
      <c r="BD97" s="96" t="e">
        <f t="shared" ca="1" si="25"/>
        <v>#N/A</v>
      </c>
      <c r="BE97" s="96" t="e">
        <f t="shared" ca="1" si="26"/>
        <v>#N/A</v>
      </c>
      <c r="BF97" s="96" t="e">
        <f t="shared" ca="1" si="27"/>
        <v>#N/A</v>
      </c>
      <c r="BG97" s="96" t="e">
        <f t="shared" ca="1" si="28"/>
        <v>#N/A</v>
      </c>
    </row>
    <row r="98" spans="2:59" ht="15" customHeight="1">
      <c r="B98" s="2"/>
      <c r="Q98" s="2"/>
      <c r="AF98" s="2"/>
      <c r="AU98" s="2" t="e">
        <f t="shared" si="16"/>
        <v>#N/A</v>
      </c>
      <c r="AV98" s="96" t="e">
        <f t="shared" ca="1" si="17"/>
        <v>#N/A</v>
      </c>
      <c r="AW98" s="96" t="e">
        <f t="shared" ca="1" si="18"/>
        <v>#N/A</v>
      </c>
      <c r="AX98" s="96" t="e">
        <f t="shared" ca="1" si="19"/>
        <v>#N/A</v>
      </c>
      <c r="AY98" s="96" t="e">
        <f t="shared" ca="1" si="20"/>
        <v>#N/A</v>
      </c>
      <c r="AZ98" s="96" t="e">
        <f t="shared" ca="1" si="21"/>
        <v>#N/A</v>
      </c>
      <c r="BA98" s="96" t="e">
        <f t="shared" ca="1" si="22"/>
        <v>#N/A</v>
      </c>
      <c r="BB98" s="96" t="e">
        <f t="shared" ca="1" si="23"/>
        <v>#N/A</v>
      </c>
      <c r="BC98" s="96" t="e">
        <f t="shared" ca="1" si="24"/>
        <v>#N/A</v>
      </c>
      <c r="BD98" s="96" t="e">
        <f t="shared" ca="1" si="25"/>
        <v>#N/A</v>
      </c>
      <c r="BE98" s="96" t="e">
        <f t="shared" ca="1" si="26"/>
        <v>#N/A</v>
      </c>
      <c r="BF98" s="96" t="e">
        <f t="shared" ca="1" si="27"/>
        <v>#N/A</v>
      </c>
      <c r="BG98" s="96" t="e">
        <f t="shared" ca="1" si="28"/>
        <v>#N/A</v>
      </c>
    </row>
    <row r="99" spans="2:59" ht="15" customHeight="1">
      <c r="B99" s="2"/>
      <c r="Q99" s="2"/>
      <c r="AF99" s="2"/>
      <c r="AU99" s="2" t="e">
        <f t="shared" si="16"/>
        <v>#N/A</v>
      </c>
      <c r="AV99" s="96" t="e">
        <f t="shared" ca="1" si="17"/>
        <v>#N/A</v>
      </c>
      <c r="AW99" s="96" t="e">
        <f t="shared" ca="1" si="18"/>
        <v>#N/A</v>
      </c>
      <c r="AX99" s="96" t="e">
        <f t="shared" ca="1" si="19"/>
        <v>#N/A</v>
      </c>
      <c r="AY99" s="96" t="e">
        <f t="shared" ca="1" si="20"/>
        <v>#N/A</v>
      </c>
      <c r="AZ99" s="96" t="e">
        <f t="shared" ca="1" si="21"/>
        <v>#N/A</v>
      </c>
      <c r="BA99" s="96" t="e">
        <f t="shared" ca="1" si="22"/>
        <v>#N/A</v>
      </c>
      <c r="BB99" s="96" t="e">
        <f t="shared" ca="1" si="23"/>
        <v>#N/A</v>
      </c>
      <c r="BC99" s="96" t="e">
        <f t="shared" ca="1" si="24"/>
        <v>#N/A</v>
      </c>
      <c r="BD99" s="96" t="e">
        <f t="shared" ca="1" si="25"/>
        <v>#N/A</v>
      </c>
      <c r="BE99" s="96" t="e">
        <f t="shared" ca="1" si="26"/>
        <v>#N/A</v>
      </c>
      <c r="BF99" s="96" t="e">
        <f t="shared" ca="1" si="27"/>
        <v>#N/A</v>
      </c>
      <c r="BG99" s="96" t="e">
        <f t="shared" ca="1" si="28"/>
        <v>#N/A</v>
      </c>
    </row>
    <row r="100" spans="2:59" ht="15" customHeight="1">
      <c r="B100" s="2"/>
      <c r="Q100" s="2"/>
      <c r="AF100" s="2"/>
      <c r="AU100" s="2" t="e">
        <f t="shared" si="16"/>
        <v>#N/A</v>
      </c>
      <c r="AV100" s="96" t="e">
        <f t="shared" ca="1" si="17"/>
        <v>#N/A</v>
      </c>
      <c r="AW100" s="96" t="e">
        <f t="shared" ca="1" si="18"/>
        <v>#N/A</v>
      </c>
      <c r="AX100" s="96" t="e">
        <f t="shared" ca="1" si="19"/>
        <v>#N/A</v>
      </c>
      <c r="AY100" s="96" t="e">
        <f t="shared" ca="1" si="20"/>
        <v>#N/A</v>
      </c>
      <c r="AZ100" s="96" t="e">
        <f t="shared" ca="1" si="21"/>
        <v>#N/A</v>
      </c>
      <c r="BA100" s="96" t="e">
        <f t="shared" ca="1" si="22"/>
        <v>#N/A</v>
      </c>
      <c r="BB100" s="96" t="e">
        <f t="shared" ca="1" si="23"/>
        <v>#N/A</v>
      </c>
      <c r="BC100" s="96" t="e">
        <f t="shared" ca="1" si="24"/>
        <v>#N/A</v>
      </c>
      <c r="BD100" s="96" t="e">
        <f t="shared" ca="1" si="25"/>
        <v>#N/A</v>
      </c>
      <c r="BE100" s="96" t="e">
        <f t="shared" ca="1" si="26"/>
        <v>#N/A</v>
      </c>
      <c r="BF100" s="96" t="e">
        <f t="shared" ca="1" si="27"/>
        <v>#N/A</v>
      </c>
      <c r="BG100" s="96" t="e">
        <f t="shared" ca="1" si="28"/>
        <v>#N/A</v>
      </c>
    </row>
    <row r="101" spans="2:59" ht="15" customHeight="1">
      <c r="B101" s="2"/>
      <c r="Q101" s="2"/>
      <c r="AF101" s="2"/>
      <c r="AU101" s="2" t="e">
        <f t="shared" si="16"/>
        <v>#N/A</v>
      </c>
      <c r="AV101" s="96" t="e">
        <f t="shared" ca="1" si="17"/>
        <v>#N/A</v>
      </c>
      <c r="AW101" s="96" t="e">
        <f t="shared" ca="1" si="18"/>
        <v>#N/A</v>
      </c>
      <c r="AX101" s="96" t="e">
        <f t="shared" ca="1" si="19"/>
        <v>#N/A</v>
      </c>
      <c r="AY101" s="96" t="e">
        <f t="shared" ca="1" si="20"/>
        <v>#N/A</v>
      </c>
      <c r="AZ101" s="96" t="e">
        <f t="shared" ca="1" si="21"/>
        <v>#N/A</v>
      </c>
      <c r="BA101" s="96" t="e">
        <f t="shared" ca="1" si="22"/>
        <v>#N/A</v>
      </c>
      <c r="BB101" s="96" t="e">
        <f t="shared" ca="1" si="23"/>
        <v>#N/A</v>
      </c>
      <c r="BC101" s="96" t="e">
        <f t="shared" ca="1" si="24"/>
        <v>#N/A</v>
      </c>
      <c r="BD101" s="96" t="e">
        <f t="shared" ca="1" si="25"/>
        <v>#N/A</v>
      </c>
      <c r="BE101" s="96" t="e">
        <f t="shared" ca="1" si="26"/>
        <v>#N/A</v>
      </c>
      <c r="BF101" s="96" t="e">
        <f t="shared" ca="1" si="27"/>
        <v>#N/A</v>
      </c>
      <c r="BG101" s="96" t="e">
        <f t="shared" ca="1" si="28"/>
        <v>#N/A</v>
      </c>
    </row>
    <row r="102" spans="2:59" ht="15" customHeight="1">
      <c r="B102" s="2"/>
      <c r="Q102" s="2"/>
      <c r="AF102" s="2"/>
      <c r="AU102" s="2" t="e">
        <f t="shared" si="16"/>
        <v>#N/A</v>
      </c>
      <c r="AV102" s="96" t="e">
        <f t="shared" ca="1" si="17"/>
        <v>#N/A</v>
      </c>
      <c r="AW102" s="96" t="e">
        <f t="shared" ca="1" si="18"/>
        <v>#N/A</v>
      </c>
      <c r="AX102" s="96" t="e">
        <f t="shared" ca="1" si="19"/>
        <v>#N/A</v>
      </c>
      <c r="AY102" s="96" t="e">
        <f t="shared" ca="1" si="20"/>
        <v>#N/A</v>
      </c>
      <c r="AZ102" s="96" t="e">
        <f t="shared" ca="1" si="21"/>
        <v>#N/A</v>
      </c>
      <c r="BA102" s="96" t="e">
        <f t="shared" ca="1" si="22"/>
        <v>#N/A</v>
      </c>
      <c r="BB102" s="96" t="e">
        <f t="shared" ca="1" si="23"/>
        <v>#N/A</v>
      </c>
      <c r="BC102" s="96" t="e">
        <f t="shared" ca="1" si="24"/>
        <v>#N/A</v>
      </c>
      <c r="BD102" s="96" t="e">
        <f t="shared" ca="1" si="25"/>
        <v>#N/A</v>
      </c>
      <c r="BE102" s="96" t="e">
        <f t="shared" ca="1" si="26"/>
        <v>#N/A</v>
      </c>
      <c r="BF102" s="96" t="e">
        <f t="shared" ca="1" si="27"/>
        <v>#N/A</v>
      </c>
      <c r="BG102" s="96" t="e">
        <f t="shared" ca="1" si="28"/>
        <v>#N/A</v>
      </c>
    </row>
    <row r="103" spans="2:59" ht="15" customHeight="1">
      <c r="B103" s="2"/>
      <c r="Q103" s="2"/>
      <c r="AF103" s="2"/>
      <c r="AU103" s="2" t="e">
        <f t="shared" si="16"/>
        <v>#N/A</v>
      </c>
      <c r="AV103" s="96" t="e">
        <f t="shared" ca="1" si="17"/>
        <v>#N/A</v>
      </c>
      <c r="AW103" s="96" t="e">
        <f t="shared" ca="1" si="18"/>
        <v>#N/A</v>
      </c>
      <c r="AX103" s="96" t="e">
        <f t="shared" ca="1" si="19"/>
        <v>#N/A</v>
      </c>
      <c r="AY103" s="96" t="e">
        <f t="shared" ca="1" si="20"/>
        <v>#N/A</v>
      </c>
      <c r="AZ103" s="96" t="e">
        <f t="shared" ca="1" si="21"/>
        <v>#N/A</v>
      </c>
      <c r="BA103" s="96" t="e">
        <f t="shared" ca="1" si="22"/>
        <v>#N/A</v>
      </c>
      <c r="BB103" s="96" t="e">
        <f t="shared" ca="1" si="23"/>
        <v>#N/A</v>
      </c>
      <c r="BC103" s="96" t="e">
        <f t="shared" ca="1" si="24"/>
        <v>#N/A</v>
      </c>
      <c r="BD103" s="96" t="e">
        <f t="shared" ca="1" si="25"/>
        <v>#N/A</v>
      </c>
      <c r="BE103" s="96" t="e">
        <f t="shared" ca="1" si="26"/>
        <v>#N/A</v>
      </c>
      <c r="BF103" s="96" t="e">
        <f t="shared" ca="1" si="27"/>
        <v>#N/A</v>
      </c>
      <c r="BG103" s="96" t="e">
        <f t="shared" ca="1" si="28"/>
        <v>#N/A</v>
      </c>
    </row>
    <row r="104" spans="2:59" ht="15" customHeight="1">
      <c r="B104" s="2"/>
      <c r="Q104" s="2"/>
      <c r="AF104" s="2"/>
      <c r="AU104" s="2" t="e">
        <f t="shared" si="16"/>
        <v>#N/A</v>
      </c>
      <c r="AV104" s="96" t="e">
        <f t="shared" ca="1" si="17"/>
        <v>#N/A</v>
      </c>
      <c r="AW104" s="96" t="e">
        <f t="shared" ca="1" si="18"/>
        <v>#N/A</v>
      </c>
      <c r="AX104" s="96" t="e">
        <f t="shared" ca="1" si="19"/>
        <v>#N/A</v>
      </c>
      <c r="AY104" s="96" t="e">
        <f t="shared" ca="1" si="20"/>
        <v>#N/A</v>
      </c>
      <c r="AZ104" s="96" t="e">
        <f t="shared" ca="1" si="21"/>
        <v>#N/A</v>
      </c>
      <c r="BA104" s="96" t="e">
        <f t="shared" ca="1" si="22"/>
        <v>#N/A</v>
      </c>
      <c r="BB104" s="96" t="e">
        <f t="shared" ca="1" si="23"/>
        <v>#N/A</v>
      </c>
      <c r="BC104" s="96" t="e">
        <f t="shared" ca="1" si="24"/>
        <v>#N/A</v>
      </c>
      <c r="BD104" s="96" t="e">
        <f t="shared" ca="1" si="25"/>
        <v>#N/A</v>
      </c>
      <c r="BE104" s="96" t="e">
        <f t="shared" ca="1" si="26"/>
        <v>#N/A</v>
      </c>
      <c r="BF104" s="96" t="e">
        <f t="shared" ca="1" si="27"/>
        <v>#N/A</v>
      </c>
      <c r="BG104" s="96" t="e">
        <f t="shared" ca="1" si="28"/>
        <v>#N/A</v>
      </c>
    </row>
    <row r="105" spans="2:59" ht="15" customHeight="1">
      <c r="B105" s="2"/>
      <c r="Q105" s="2"/>
      <c r="AF105" s="2"/>
      <c r="AU105" s="2" t="e">
        <f t="shared" si="16"/>
        <v>#N/A</v>
      </c>
      <c r="AV105" s="96" t="e">
        <f t="shared" ca="1" si="17"/>
        <v>#N/A</v>
      </c>
      <c r="AW105" s="96" t="e">
        <f t="shared" ca="1" si="18"/>
        <v>#N/A</v>
      </c>
      <c r="AX105" s="96" t="e">
        <f t="shared" ca="1" si="19"/>
        <v>#N/A</v>
      </c>
      <c r="AY105" s="96" t="e">
        <f t="shared" ca="1" si="20"/>
        <v>#N/A</v>
      </c>
      <c r="AZ105" s="96" t="e">
        <f t="shared" ca="1" si="21"/>
        <v>#N/A</v>
      </c>
      <c r="BA105" s="96" t="e">
        <f t="shared" ca="1" si="22"/>
        <v>#N/A</v>
      </c>
      <c r="BB105" s="96" t="e">
        <f t="shared" ca="1" si="23"/>
        <v>#N/A</v>
      </c>
      <c r="BC105" s="96" t="e">
        <f t="shared" ca="1" si="24"/>
        <v>#N/A</v>
      </c>
      <c r="BD105" s="96" t="e">
        <f t="shared" ca="1" si="25"/>
        <v>#N/A</v>
      </c>
      <c r="BE105" s="96" t="e">
        <f t="shared" ca="1" si="26"/>
        <v>#N/A</v>
      </c>
      <c r="BF105" s="96" t="e">
        <f t="shared" ca="1" si="27"/>
        <v>#N/A</v>
      </c>
      <c r="BG105" s="96" t="e">
        <f t="shared" ca="1" si="28"/>
        <v>#N/A</v>
      </c>
    </row>
    <row r="106" spans="2:59" ht="15" customHeight="1">
      <c r="B106" s="2"/>
      <c r="Q106" s="2"/>
      <c r="AF106" s="2"/>
      <c r="AU106" s="2" t="e">
        <f t="shared" si="16"/>
        <v>#N/A</v>
      </c>
      <c r="AV106" s="96" t="e">
        <f t="shared" ca="1" si="17"/>
        <v>#N/A</v>
      </c>
      <c r="AW106" s="96" t="e">
        <f t="shared" ca="1" si="18"/>
        <v>#N/A</v>
      </c>
      <c r="AX106" s="96" t="e">
        <f t="shared" ca="1" si="19"/>
        <v>#N/A</v>
      </c>
      <c r="AY106" s="96" t="e">
        <f t="shared" ca="1" si="20"/>
        <v>#N/A</v>
      </c>
      <c r="AZ106" s="96" t="e">
        <f t="shared" ca="1" si="21"/>
        <v>#N/A</v>
      </c>
      <c r="BA106" s="96" t="e">
        <f t="shared" ca="1" si="22"/>
        <v>#N/A</v>
      </c>
      <c r="BB106" s="96" t="e">
        <f t="shared" ca="1" si="23"/>
        <v>#N/A</v>
      </c>
      <c r="BC106" s="96" t="e">
        <f t="shared" ca="1" si="24"/>
        <v>#N/A</v>
      </c>
      <c r="BD106" s="96" t="e">
        <f t="shared" ca="1" si="25"/>
        <v>#N/A</v>
      </c>
      <c r="BE106" s="96" t="e">
        <f t="shared" ca="1" si="26"/>
        <v>#N/A</v>
      </c>
      <c r="BF106" s="96" t="e">
        <f t="shared" ca="1" si="27"/>
        <v>#N/A</v>
      </c>
      <c r="BG106" s="96" t="e">
        <f t="shared" ca="1" si="28"/>
        <v>#N/A</v>
      </c>
    </row>
    <row r="107" spans="2:59" ht="15" customHeight="1">
      <c r="B107" s="2"/>
      <c r="Q107" s="2"/>
      <c r="AF107" s="2"/>
      <c r="AU107" s="2" t="e">
        <f t="shared" si="16"/>
        <v>#N/A</v>
      </c>
      <c r="AV107" s="96" t="e">
        <f t="shared" ca="1" si="17"/>
        <v>#N/A</v>
      </c>
      <c r="AW107" s="96" t="e">
        <f t="shared" ca="1" si="18"/>
        <v>#N/A</v>
      </c>
      <c r="AX107" s="96" t="e">
        <f t="shared" ca="1" si="19"/>
        <v>#N/A</v>
      </c>
      <c r="AY107" s="96" t="e">
        <f t="shared" ca="1" si="20"/>
        <v>#N/A</v>
      </c>
      <c r="AZ107" s="96" t="e">
        <f t="shared" ca="1" si="21"/>
        <v>#N/A</v>
      </c>
      <c r="BA107" s="96" t="e">
        <f t="shared" ca="1" si="22"/>
        <v>#N/A</v>
      </c>
      <c r="BB107" s="96" t="e">
        <f t="shared" ca="1" si="23"/>
        <v>#N/A</v>
      </c>
      <c r="BC107" s="96" t="e">
        <f t="shared" ca="1" si="24"/>
        <v>#N/A</v>
      </c>
      <c r="BD107" s="96" t="e">
        <f t="shared" ca="1" si="25"/>
        <v>#N/A</v>
      </c>
      <c r="BE107" s="96" t="e">
        <f t="shared" ca="1" si="26"/>
        <v>#N/A</v>
      </c>
      <c r="BF107" s="96" t="e">
        <f t="shared" ca="1" si="27"/>
        <v>#N/A</v>
      </c>
      <c r="BG107" s="96" t="e">
        <f t="shared" ca="1" si="28"/>
        <v>#N/A</v>
      </c>
    </row>
    <row r="108" spans="2:59" ht="15" customHeight="1">
      <c r="B108" s="2"/>
      <c r="Q108" s="2"/>
      <c r="AF108" s="2"/>
      <c r="AU108" s="2" t="e">
        <f t="shared" si="16"/>
        <v>#N/A</v>
      </c>
      <c r="AV108" s="96" t="e">
        <f t="shared" ca="1" si="17"/>
        <v>#N/A</v>
      </c>
      <c r="AW108" s="96" t="e">
        <f t="shared" ca="1" si="18"/>
        <v>#N/A</v>
      </c>
      <c r="AX108" s="96" t="e">
        <f t="shared" ca="1" si="19"/>
        <v>#N/A</v>
      </c>
      <c r="AY108" s="96" t="e">
        <f t="shared" ca="1" si="20"/>
        <v>#N/A</v>
      </c>
      <c r="AZ108" s="96" t="e">
        <f t="shared" ca="1" si="21"/>
        <v>#N/A</v>
      </c>
      <c r="BA108" s="96" t="e">
        <f t="shared" ca="1" si="22"/>
        <v>#N/A</v>
      </c>
      <c r="BB108" s="96" t="e">
        <f t="shared" ca="1" si="23"/>
        <v>#N/A</v>
      </c>
      <c r="BC108" s="96" t="e">
        <f t="shared" ca="1" si="24"/>
        <v>#N/A</v>
      </c>
      <c r="BD108" s="96" t="e">
        <f t="shared" ca="1" si="25"/>
        <v>#N/A</v>
      </c>
      <c r="BE108" s="96" t="e">
        <f t="shared" ca="1" si="26"/>
        <v>#N/A</v>
      </c>
      <c r="BF108" s="96" t="e">
        <f t="shared" ca="1" si="27"/>
        <v>#N/A</v>
      </c>
      <c r="BG108" s="96" t="e">
        <f t="shared" ca="1" si="28"/>
        <v>#N/A</v>
      </c>
    </row>
    <row r="109" spans="2:59" ht="15" customHeight="1">
      <c r="B109" s="2"/>
      <c r="Q109" s="2"/>
      <c r="AF109" s="2"/>
      <c r="AU109" s="2" t="e">
        <f t="shared" si="16"/>
        <v>#N/A</v>
      </c>
      <c r="AV109" s="96" t="e">
        <f t="shared" ca="1" si="17"/>
        <v>#N/A</v>
      </c>
      <c r="AW109" s="96" t="e">
        <f t="shared" ca="1" si="18"/>
        <v>#N/A</v>
      </c>
      <c r="AX109" s="96" t="e">
        <f t="shared" ca="1" si="19"/>
        <v>#N/A</v>
      </c>
      <c r="AY109" s="96" t="e">
        <f t="shared" ca="1" si="20"/>
        <v>#N/A</v>
      </c>
      <c r="AZ109" s="96" t="e">
        <f t="shared" ca="1" si="21"/>
        <v>#N/A</v>
      </c>
      <c r="BA109" s="96" t="e">
        <f t="shared" ca="1" si="22"/>
        <v>#N/A</v>
      </c>
      <c r="BB109" s="96" t="e">
        <f t="shared" ca="1" si="23"/>
        <v>#N/A</v>
      </c>
      <c r="BC109" s="96" t="e">
        <f t="shared" ca="1" si="24"/>
        <v>#N/A</v>
      </c>
      <c r="BD109" s="96" t="e">
        <f t="shared" ca="1" si="25"/>
        <v>#N/A</v>
      </c>
      <c r="BE109" s="96" t="e">
        <f t="shared" ca="1" si="26"/>
        <v>#N/A</v>
      </c>
      <c r="BF109" s="96" t="e">
        <f t="shared" ca="1" si="27"/>
        <v>#N/A</v>
      </c>
      <c r="BG109" s="96" t="e">
        <f t="shared" ca="1" si="28"/>
        <v>#N/A</v>
      </c>
    </row>
    <row r="110" spans="2:59" ht="15" customHeight="1">
      <c r="B110" s="2"/>
      <c r="Q110" s="2"/>
      <c r="AF110" s="2"/>
      <c r="AU110" s="2" t="e">
        <f t="shared" si="16"/>
        <v>#N/A</v>
      </c>
      <c r="AV110" s="96" t="e">
        <f t="shared" ca="1" si="17"/>
        <v>#N/A</v>
      </c>
      <c r="AW110" s="96" t="e">
        <f t="shared" ca="1" si="18"/>
        <v>#N/A</v>
      </c>
      <c r="AX110" s="96" t="e">
        <f t="shared" ca="1" si="19"/>
        <v>#N/A</v>
      </c>
      <c r="AY110" s="96" t="e">
        <f t="shared" ca="1" si="20"/>
        <v>#N/A</v>
      </c>
      <c r="AZ110" s="96" t="e">
        <f t="shared" ca="1" si="21"/>
        <v>#N/A</v>
      </c>
      <c r="BA110" s="96" t="e">
        <f t="shared" ca="1" si="22"/>
        <v>#N/A</v>
      </c>
      <c r="BB110" s="96" t="e">
        <f t="shared" ca="1" si="23"/>
        <v>#N/A</v>
      </c>
      <c r="BC110" s="96" t="e">
        <f t="shared" ca="1" si="24"/>
        <v>#N/A</v>
      </c>
      <c r="BD110" s="96" t="e">
        <f t="shared" ca="1" si="25"/>
        <v>#N/A</v>
      </c>
      <c r="BE110" s="96" t="e">
        <f t="shared" ca="1" si="26"/>
        <v>#N/A</v>
      </c>
      <c r="BF110" s="96" t="e">
        <f t="shared" ca="1" si="27"/>
        <v>#N/A</v>
      </c>
      <c r="BG110" s="96" t="e">
        <f t="shared" ca="1" si="28"/>
        <v>#N/A</v>
      </c>
    </row>
    <row r="111" spans="2:59" ht="15" customHeight="1">
      <c r="B111" s="2"/>
      <c r="Q111" s="2"/>
      <c r="AF111" s="2"/>
      <c r="AU111" s="2" t="e">
        <f t="shared" si="16"/>
        <v>#N/A</v>
      </c>
      <c r="AV111" s="96" t="e">
        <f t="shared" ca="1" si="17"/>
        <v>#N/A</v>
      </c>
      <c r="AW111" s="96" t="e">
        <f t="shared" ca="1" si="18"/>
        <v>#N/A</v>
      </c>
      <c r="AX111" s="96" t="e">
        <f t="shared" ca="1" si="19"/>
        <v>#N/A</v>
      </c>
      <c r="AY111" s="96" t="e">
        <f t="shared" ca="1" si="20"/>
        <v>#N/A</v>
      </c>
      <c r="AZ111" s="96" t="e">
        <f t="shared" ca="1" si="21"/>
        <v>#N/A</v>
      </c>
      <c r="BA111" s="96" t="e">
        <f t="shared" ca="1" si="22"/>
        <v>#N/A</v>
      </c>
      <c r="BB111" s="96" t="e">
        <f t="shared" ca="1" si="23"/>
        <v>#N/A</v>
      </c>
      <c r="BC111" s="96" t="e">
        <f t="shared" ca="1" si="24"/>
        <v>#N/A</v>
      </c>
      <c r="BD111" s="96" t="e">
        <f t="shared" ca="1" si="25"/>
        <v>#N/A</v>
      </c>
      <c r="BE111" s="96" t="e">
        <f t="shared" ca="1" si="26"/>
        <v>#N/A</v>
      </c>
      <c r="BF111" s="96" t="e">
        <f t="shared" ca="1" si="27"/>
        <v>#N/A</v>
      </c>
      <c r="BG111" s="96" t="e">
        <f t="shared" ca="1" si="28"/>
        <v>#N/A</v>
      </c>
    </row>
    <row r="112" spans="2:59" ht="15" customHeight="1">
      <c r="B112" s="2"/>
      <c r="Q112" s="2"/>
      <c r="AF112" s="2"/>
      <c r="AU112" s="2" t="e">
        <f t="shared" si="16"/>
        <v>#N/A</v>
      </c>
      <c r="AV112" s="96" t="e">
        <f t="shared" ca="1" si="17"/>
        <v>#N/A</v>
      </c>
      <c r="AW112" s="96" t="e">
        <f t="shared" ca="1" si="18"/>
        <v>#N/A</v>
      </c>
      <c r="AX112" s="96" t="e">
        <f t="shared" ca="1" si="19"/>
        <v>#N/A</v>
      </c>
      <c r="AY112" s="96" t="e">
        <f t="shared" ca="1" si="20"/>
        <v>#N/A</v>
      </c>
      <c r="AZ112" s="96" t="e">
        <f t="shared" ca="1" si="21"/>
        <v>#N/A</v>
      </c>
      <c r="BA112" s="96" t="e">
        <f t="shared" ca="1" si="22"/>
        <v>#N/A</v>
      </c>
      <c r="BB112" s="96" t="e">
        <f t="shared" ca="1" si="23"/>
        <v>#N/A</v>
      </c>
      <c r="BC112" s="96" t="e">
        <f t="shared" ca="1" si="24"/>
        <v>#N/A</v>
      </c>
      <c r="BD112" s="96" t="e">
        <f t="shared" ca="1" si="25"/>
        <v>#N/A</v>
      </c>
      <c r="BE112" s="96" t="e">
        <f t="shared" ca="1" si="26"/>
        <v>#N/A</v>
      </c>
      <c r="BF112" s="96" t="e">
        <f t="shared" ca="1" si="27"/>
        <v>#N/A</v>
      </c>
      <c r="BG112" s="96" t="e">
        <f t="shared" ca="1" si="28"/>
        <v>#N/A</v>
      </c>
    </row>
    <row r="113" spans="2:59" ht="15" customHeight="1">
      <c r="B113" s="2"/>
      <c r="Q113" s="2"/>
      <c r="AF113" s="2"/>
      <c r="AU113" s="2" t="e">
        <f t="shared" si="16"/>
        <v>#N/A</v>
      </c>
      <c r="AV113" s="96" t="e">
        <f t="shared" ca="1" si="17"/>
        <v>#N/A</v>
      </c>
      <c r="AW113" s="96" t="e">
        <f t="shared" ca="1" si="18"/>
        <v>#N/A</v>
      </c>
      <c r="AX113" s="96" t="e">
        <f t="shared" ca="1" si="19"/>
        <v>#N/A</v>
      </c>
      <c r="AY113" s="96" t="e">
        <f t="shared" ca="1" si="20"/>
        <v>#N/A</v>
      </c>
      <c r="AZ113" s="96" t="e">
        <f t="shared" ca="1" si="21"/>
        <v>#N/A</v>
      </c>
      <c r="BA113" s="96" t="e">
        <f t="shared" ca="1" si="22"/>
        <v>#N/A</v>
      </c>
      <c r="BB113" s="96" t="e">
        <f t="shared" ca="1" si="23"/>
        <v>#N/A</v>
      </c>
      <c r="BC113" s="96" t="e">
        <f t="shared" ca="1" si="24"/>
        <v>#N/A</v>
      </c>
      <c r="BD113" s="96" t="e">
        <f t="shared" ca="1" si="25"/>
        <v>#N/A</v>
      </c>
      <c r="BE113" s="96" t="e">
        <f t="shared" ca="1" si="26"/>
        <v>#N/A</v>
      </c>
      <c r="BF113" s="96" t="e">
        <f t="shared" ca="1" si="27"/>
        <v>#N/A</v>
      </c>
      <c r="BG113" s="96" t="e">
        <f t="shared" ca="1" si="28"/>
        <v>#N/A</v>
      </c>
    </row>
    <row r="114" spans="2:59" ht="15" customHeight="1">
      <c r="B114" s="2"/>
      <c r="Q114" s="2"/>
      <c r="AF114" s="2"/>
      <c r="AU114" s="2" t="e">
        <f t="shared" si="16"/>
        <v>#N/A</v>
      </c>
      <c r="AV114" s="96" t="e">
        <f t="shared" ca="1" si="17"/>
        <v>#N/A</v>
      </c>
      <c r="AW114" s="96" t="e">
        <f t="shared" ca="1" si="18"/>
        <v>#N/A</v>
      </c>
      <c r="AX114" s="96" t="e">
        <f t="shared" ca="1" si="19"/>
        <v>#N/A</v>
      </c>
      <c r="AY114" s="96" t="e">
        <f t="shared" ca="1" si="20"/>
        <v>#N/A</v>
      </c>
      <c r="AZ114" s="96" t="e">
        <f t="shared" ca="1" si="21"/>
        <v>#N/A</v>
      </c>
      <c r="BA114" s="96" t="e">
        <f t="shared" ca="1" si="22"/>
        <v>#N/A</v>
      </c>
      <c r="BB114" s="96" t="e">
        <f t="shared" ca="1" si="23"/>
        <v>#N/A</v>
      </c>
      <c r="BC114" s="96" t="e">
        <f t="shared" ca="1" si="24"/>
        <v>#N/A</v>
      </c>
      <c r="BD114" s="96" t="e">
        <f t="shared" ca="1" si="25"/>
        <v>#N/A</v>
      </c>
      <c r="BE114" s="96" t="e">
        <f t="shared" ca="1" si="26"/>
        <v>#N/A</v>
      </c>
      <c r="BF114" s="96" t="e">
        <f t="shared" ca="1" si="27"/>
        <v>#N/A</v>
      </c>
      <c r="BG114" s="96" t="e">
        <f t="shared" ca="1" si="28"/>
        <v>#N/A</v>
      </c>
    </row>
    <row r="115" spans="2:59" ht="15" customHeight="1">
      <c r="B115" s="2"/>
      <c r="Q115" s="2"/>
      <c r="AF115" s="2"/>
      <c r="AU115" s="2" t="e">
        <f t="shared" si="16"/>
        <v>#N/A</v>
      </c>
      <c r="AV115" s="96" t="e">
        <f t="shared" ca="1" si="17"/>
        <v>#N/A</v>
      </c>
      <c r="AW115" s="96" t="e">
        <f t="shared" ca="1" si="18"/>
        <v>#N/A</v>
      </c>
      <c r="AX115" s="96" t="e">
        <f t="shared" ca="1" si="19"/>
        <v>#N/A</v>
      </c>
      <c r="AY115" s="96" t="e">
        <f t="shared" ca="1" si="20"/>
        <v>#N/A</v>
      </c>
      <c r="AZ115" s="96" t="e">
        <f t="shared" ca="1" si="21"/>
        <v>#N/A</v>
      </c>
      <c r="BA115" s="96" t="e">
        <f t="shared" ca="1" si="22"/>
        <v>#N/A</v>
      </c>
      <c r="BB115" s="96" t="e">
        <f t="shared" ca="1" si="23"/>
        <v>#N/A</v>
      </c>
      <c r="BC115" s="96" t="e">
        <f t="shared" ca="1" si="24"/>
        <v>#N/A</v>
      </c>
      <c r="BD115" s="96" t="e">
        <f t="shared" ca="1" si="25"/>
        <v>#N/A</v>
      </c>
      <c r="BE115" s="96" t="e">
        <f t="shared" ca="1" si="26"/>
        <v>#N/A</v>
      </c>
      <c r="BF115" s="96" t="e">
        <f t="shared" ca="1" si="27"/>
        <v>#N/A</v>
      </c>
      <c r="BG115" s="96" t="e">
        <f t="shared" ca="1" si="28"/>
        <v>#N/A</v>
      </c>
    </row>
    <row r="116" spans="2:59" ht="15" customHeight="1">
      <c r="B116" s="2"/>
      <c r="Q116" s="2"/>
      <c r="AF116" s="2"/>
      <c r="AU116" s="2" t="e">
        <f t="shared" si="16"/>
        <v>#N/A</v>
      </c>
      <c r="AV116" s="96" t="e">
        <f t="shared" ca="1" si="17"/>
        <v>#N/A</v>
      </c>
      <c r="AW116" s="96" t="e">
        <f t="shared" ca="1" si="18"/>
        <v>#N/A</v>
      </c>
      <c r="AX116" s="96" t="e">
        <f t="shared" ca="1" si="19"/>
        <v>#N/A</v>
      </c>
      <c r="AY116" s="96" t="e">
        <f t="shared" ca="1" si="20"/>
        <v>#N/A</v>
      </c>
      <c r="AZ116" s="96" t="e">
        <f t="shared" ca="1" si="21"/>
        <v>#N/A</v>
      </c>
      <c r="BA116" s="96" t="e">
        <f t="shared" ca="1" si="22"/>
        <v>#N/A</v>
      </c>
      <c r="BB116" s="96" t="e">
        <f t="shared" ca="1" si="23"/>
        <v>#N/A</v>
      </c>
      <c r="BC116" s="96" t="e">
        <f t="shared" ca="1" si="24"/>
        <v>#N/A</v>
      </c>
      <c r="BD116" s="96" t="e">
        <f t="shared" ca="1" si="25"/>
        <v>#N/A</v>
      </c>
      <c r="BE116" s="96" t="e">
        <f t="shared" ca="1" si="26"/>
        <v>#N/A</v>
      </c>
      <c r="BF116" s="96" t="e">
        <f t="shared" ca="1" si="27"/>
        <v>#N/A</v>
      </c>
      <c r="BG116" s="96" t="e">
        <f t="shared" ca="1" si="28"/>
        <v>#N/A</v>
      </c>
    </row>
    <row r="117" spans="2:59" ht="15" customHeight="1">
      <c r="B117" s="2"/>
      <c r="Q117" s="2"/>
      <c r="AF117" s="2"/>
      <c r="AU117" s="2" t="e">
        <f t="shared" si="16"/>
        <v>#N/A</v>
      </c>
      <c r="AV117" s="96" t="e">
        <f t="shared" ca="1" si="17"/>
        <v>#N/A</v>
      </c>
      <c r="AW117" s="96" t="e">
        <f t="shared" ca="1" si="18"/>
        <v>#N/A</v>
      </c>
      <c r="AX117" s="96" t="e">
        <f t="shared" ca="1" si="19"/>
        <v>#N/A</v>
      </c>
      <c r="AY117" s="96" t="e">
        <f t="shared" ca="1" si="20"/>
        <v>#N/A</v>
      </c>
      <c r="AZ117" s="96" t="e">
        <f t="shared" ca="1" si="21"/>
        <v>#N/A</v>
      </c>
      <c r="BA117" s="96" t="e">
        <f t="shared" ca="1" si="22"/>
        <v>#N/A</v>
      </c>
      <c r="BB117" s="96" t="e">
        <f t="shared" ca="1" si="23"/>
        <v>#N/A</v>
      </c>
      <c r="BC117" s="96" t="e">
        <f t="shared" ca="1" si="24"/>
        <v>#N/A</v>
      </c>
      <c r="BD117" s="96" t="e">
        <f t="shared" ca="1" si="25"/>
        <v>#N/A</v>
      </c>
      <c r="BE117" s="96" t="e">
        <f t="shared" ca="1" si="26"/>
        <v>#N/A</v>
      </c>
      <c r="BF117" s="96" t="e">
        <f t="shared" ca="1" si="27"/>
        <v>#N/A</v>
      </c>
      <c r="BG117" s="96" t="e">
        <f t="shared" ca="1" si="28"/>
        <v>#N/A</v>
      </c>
    </row>
    <row r="118" spans="2:59" ht="15" customHeight="1">
      <c r="B118" s="2"/>
      <c r="Q118" s="2"/>
      <c r="AF118" s="2"/>
      <c r="AU118" s="2" t="e">
        <f t="shared" si="16"/>
        <v>#N/A</v>
      </c>
      <c r="AV118" s="96" t="e">
        <f t="shared" ca="1" si="17"/>
        <v>#N/A</v>
      </c>
      <c r="AW118" s="96" t="e">
        <f t="shared" ca="1" si="18"/>
        <v>#N/A</v>
      </c>
      <c r="AX118" s="96" t="e">
        <f t="shared" ca="1" si="19"/>
        <v>#N/A</v>
      </c>
      <c r="AY118" s="96" t="e">
        <f t="shared" ca="1" si="20"/>
        <v>#N/A</v>
      </c>
      <c r="AZ118" s="96" t="e">
        <f t="shared" ca="1" si="21"/>
        <v>#N/A</v>
      </c>
      <c r="BA118" s="96" t="e">
        <f t="shared" ca="1" si="22"/>
        <v>#N/A</v>
      </c>
      <c r="BB118" s="96" t="e">
        <f t="shared" ca="1" si="23"/>
        <v>#N/A</v>
      </c>
      <c r="BC118" s="96" t="e">
        <f t="shared" ca="1" si="24"/>
        <v>#N/A</v>
      </c>
      <c r="BD118" s="96" t="e">
        <f t="shared" ca="1" si="25"/>
        <v>#N/A</v>
      </c>
      <c r="BE118" s="96" t="e">
        <f t="shared" ca="1" si="26"/>
        <v>#N/A</v>
      </c>
      <c r="BF118" s="96" t="e">
        <f t="shared" ca="1" si="27"/>
        <v>#N/A</v>
      </c>
      <c r="BG118" s="96" t="e">
        <f t="shared" ca="1" si="28"/>
        <v>#N/A</v>
      </c>
    </row>
    <row r="119" spans="2:59" ht="15" customHeight="1">
      <c r="B119" s="2"/>
      <c r="Q119" s="2"/>
      <c r="AF119" s="2"/>
      <c r="AU119" s="2" t="e">
        <f t="shared" si="16"/>
        <v>#N/A</v>
      </c>
      <c r="AV119" s="96" t="e">
        <f t="shared" ca="1" si="17"/>
        <v>#N/A</v>
      </c>
      <c r="AW119" s="96" t="e">
        <f t="shared" ca="1" si="18"/>
        <v>#N/A</v>
      </c>
      <c r="AX119" s="96" t="e">
        <f t="shared" ca="1" si="19"/>
        <v>#N/A</v>
      </c>
      <c r="AY119" s="96" t="e">
        <f t="shared" ca="1" si="20"/>
        <v>#N/A</v>
      </c>
      <c r="AZ119" s="96" t="e">
        <f t="shared" ca="1" si="21"/>
        <v>#N/A</v>
      </c>
      <c r="BA119" s="96" t="e">
        <f t="shared" ca="1" si="22"/>
        <v>#N/A</v>
      </c>
      <c r="BB119" s="96" t="e">
        <f t="shared" ca="1" si="23"/>
        <v>#N/A</v>
      </c>
      <c r="BC119" s="96" t="e">
        <f t="shared" ca="1" si="24"/>
        <v>#N/A</v>
      </c>
      <c r="BD119" s="96" t="e">
        <f t="shared" ca="1" si="25"/>
        <v>#N/A</v>
      </c>
      <c r="BE119" s="96" t="e">
        <f t="shared" ca="1" si="26"/>
        <v>#N/A</v>
      </c>
      <c r="BF119" s="96" t="e">
        <f t="shared" ca="1" si="27"/>
        <v>#N/A</v>
      </c>
      <c r="BG119" s="96" t="e">
        <f t="shared" ca="1" si="28"/>
        <v>#N/A</v>
      </c>
    </row>
    <row r="120" spans="2:59" ht="15" customHeight="1">
      <c r="B120" s="2"/>
      <c r="Q120" s="2"/>
      <c r="AF120" s="2"/>
      <c r="AU120" s="2" t="e">
        <f t="shared" si="16"/>
        <v>#N/A</v>
      </c>
      <c r="AV120" s="96" t="e">
        <f t="shared" ca="1" si="17"/>
        <v>#N/A</v>
      </c>
      <c r="AW120" s="96" t="e">
        <f t="shared" ca="1" si="18"/>
        <v>#N/A</v>
      </c>
      <c r="AX120" s="96" t="e">
        <f t="shared" ca="1" si="19"/>
        <v>#N/A</v>
      </c>
      <c r="AY120" s="96" t="e">
        <f t="shared" ca="1" si="20"/>
        <v>#N/A</v>
      </c>
      <c r="AZ120" s="96" t="e">
        <f t="shared" ca="1" si="21"/>
        <v>#N/A</v>
      </c>
      <c r="BA120" s="96" t="e">
        <f t="shared" ca="1" si="22"/>
        <v>#N/A</v>
      </c>
      <c r="BB120" s="96" t="e">
        <f t="shared" ca="1" si="23"/>
        <v>#N/A</v>
      </c>
      <c r="BC120" s="96" t="e">
        <f t="shared" ca="1" si="24"/>
        <v>#N/A</v>
      </c>
      <c r="BD120" s="96" t="e">
        <f t="shared" ca="1" si="25"/>
        <v>#N/A</v>
      </c>
      <c r="BE120" s="96" t="e">
        <f t="shared" ca="1" si="26"/>
        <v>#N/A</v>
      </c>
      <c r="BF120" s="96" t="e">
        <f t="shared" ca="1" si="27"/>
        <v>#N/A</v>
      </c>
      <c r="BG120" s="96" t="e">
        <f t="shared" ca="1" si="28"/>
        <v>#N/A</v>
      </c>
    </row>
    <row r="121" spans="2:59" ht="15" customHeight="1">
      <c r="B121" s="2"/>
      <c r="Q121" s="2"/>
      <c r="AF121" s="2"/>
      <c r="AU121" s="2" t="e">
        <f t="shared" si="16"/>
        <v>#N/A</v>
      </c>
      <c r="AV121" s="96" t="e">
        <f t="shared" ca="1" si="17"/>
        <v>#N/A</v>
      </c>
      <c r="AW121" s="96" t="e">
        <f t="shared" ca="1" si="18"/>
        <v>#N/A</v>
      </c>
      <c r="AX121" s="96" t="e">
        <f t="shared" ca="1" si="19"/>
        <v>#N/A</v>
      </c>
      <c r="AY121" s="96" t="e">
        <f t="shared" ca="1" si="20"/>
        <v>#N/A</v>
      </c>
      <c r="AZ121" s="96" t="e">
        <f t="shared" ca="1" si="21"/>
        <v>#N/A</v>
      </c>
      <c r="BA121" s="96" t="e">
        <f t="shared" ca="1" si="22"/>
        <v>#N/A</v>
      </c>
      <c r="BB121" s="96" t="e">
        <f t="shared" ca="1" si="23"/>
        <v>#N/A</v>
      </c>
      <c r="BC121" s="96" t="e">
        <f t="shared" ca="1" si="24"/>
        <v>#N/A</v>
      </c>
      <c r="BD121" s="96" t="e">
        <f t="shared" ca="1" si="25"/>
        <v>#N/A</v>
      </c>
      <c r="BE121" s="96" t="e">
        <f t="shared" ca="1" si="26"/>
        <v>#N/A</v>
      </c>
      <c r="BF121" s="96" t="e">
        <f t="shared" ca="1" si="27"/>
        <v>#N/A</v>
      </c>
      <c r="BG121" s="96" t="e">
        <f t="shared" ca="1" si="28"/>
        <v>#N/A</v>
      </c>
    </row>
    <row r="122" spans="2:59" ht="15" customHeight="1">
      <c r="B122" s="2"/>
      <c r="Q122" s="2"/>
      <c r="AF122" s="2"/>
      <c r="AU122" s="2" t="e">
        <f t="shared" si="16"/>
        <v>#N/A</v>
      </c>
      <c r="AV122" s="96" t="e">
        <f t="shared" ca="1" si="17"/>
        <v>#N/A</v>
      </c>
      <c r="AW122" s="96" t="e">
        <f t="shared" ca="1" si="18"/>
        <v>#N/A</v>
      </c>
      <c r="AX122" s="96" t="e">
        <f t="shared" ca="1" si="19"/>
        <v>#N/A</v>
      </c>
      <c r="AY122" s="96" t="e">
        <f t="shared" ca="1" si="20"/>
        <v>#N/A</v>
      </c>
      <c r="AZ122" s="96" t="e">
        <f t="shared" ca="1" si="21"/>
        <v>#N/A</v>
      </c>
      <c r="BA122" s="96" t="e">
        <f t="shared" ca="1" si="22"/>
        <v>#N/A</v>
      </c>
      <c r="BB122" s="96" t="e">
        <f t="shared" ca="1" si="23"/>
        <v>#N/A</v>
      </c>
      <c r="BC122" s="96" t="e">
        <f t="shared" ca="1" si="24"/>
        <v>#N/A</v>
      </c>
      <c r="BD122" s="96" t="e">
        <f t="shared" ca="1" si="25"/>
        <v>#N/A</v>
      </c>
      <c r="BE122" s="96" t="e">
        <f t="shared" ca="1" si="26"/>
        <v>#N/A</v>
      </c>
      <c r="BF122" s="96" t="e">
        <f t="shared" ca="1" si="27"/>
        <v>#N/A</v>
      </c>
      <c r="BG122" s="96" t="e">
        <f t="shared" ca="1" si="28"/>
        <v>#N/A</v>
      </c>
    </row>
    <row r="123" spans="2:59" ht="15" customHeight="1">
      <c r="B123" s="2"/>
      <c r="Q123" s="2"/>
      <c r="AF123" s="2"/>
      <c r="AU123" s="2" t="e">
        <f t="shared" si="16"/>
        <v>#N/A</v>
      </c>
      <c r="AV123" s="96" t="e">
        <f t="shared" ca="1" si="17"/>
        <v>#N/A</v>
      </c>
      <c r="AW123" s="96" t="e">
        <f t="shared" ca="1" si="18"/>
        <v>#N/A</v>
      </c>
      <c r="AX123" s="96" t="e">
        <f t="shared" ca="1" si="19"/>
        <v>#N/A</v>
      </c>
      <c r="AY123" s="96" t="e">
        <f t="shared" ca="1" si="20"/>
        <v>#N/A</v>
      </c>
      <c r="AZ123" s="96" t="e">
        <f t="shared" ca="1" si="21"/>
        <v>#N/A</v>
      </c>
      <c r="BA123" s="96" t="e">
        <f t="shared" ca="1" si="22"/>
        <v>#N/A</v>
      </c>
      <c r="BB123" s="96" t="e">
        <f t="shared" ca="1" si="23"/>
        <v>#N/A</v>
      </c>
      <c r="BC123" s="96" t="e">
        <f t="shared" ca="1" si="24"/>
        <v>#N/A</v>
      </c>
      <c r="BD123" s="96" t="e">
        <f t="shared" ca="1" si="25"/>
        <v>#N/A</v>
      </c>
      <c r="BE123" s="96" t="e">
        <f t="shared" ca="1" si="26"/>
        <v>#N/A</v>
      </c>
      <c r="BF123" s="96" t="e">
        <f t="shared" ca="1" si="27"/>
        <v>#N/A</v>
      </c>
      <c r="BG123" s="96" t="e">
        <f t="shared" ca="1" si="28"/>
        <v>#N/A</v>
      </c>
    </row>
    <row r="124" spans="2:59" ht="15" customHeight="1">
      <c r="B124" s="2"/>
      <c r="Q124" s="2"/>
      <c r="AF124" s="2"/>
      <c r="AU124" s="2" t="e">
        <f t="shared" si="16"/>
        <v>#N/A</v>
      </c>
      <c r="AV124" s="96" t="e">
        <f t="shared" ca="1" si="17"/>
        <v>#N/A</v>
      </c>
      <c r="AW124" s="96" t="e">
        <f t="shared" ca="1" si="18"/>
        <v>#N/A</v>
      </c>
      <c r="AX124" s="96" t="e">
        <f t="shared" ca="1" si="19"/>
        <v>#N/A</v>
      </c>
      <c r="AY124" s="96" t="e">
        <f t="shared" ca="1" si="20"/>
        <v>#N/A</v>
      </c>
      <c r="AZ124" s="96" t="e">
        <f t="shared" ca="1" si="21"/>
        <v>#N/A</v>
      </c>
      <c r="BA124" s="96" t="e">
        <f t="shared" ca="1" si="22"/>
        <v>#N/A</v>
      </c>
      <c r="BB124" s="96" t="e">
        <f t="shared" ca="1" si="23"/>
        <v>#N/A</v>
      </c>
      <c r="BC124" s="96" t="e">
        <f t="shared" ca="1" si="24"/>
        <v>#N/A</v>
      </c>
      <c r="BD124" s="96" t="e">
        <f t="shared" ca="1" si="25"/>
        <v>#N/A</v>
      </c>
      <c r="BE124" s="96" t="e">
        <f t="shared" ca="1" si="26"/>
        <v>#N/A</v>
      </c>
      <c r="BF124" s="96" t="e">
        <f t="shared" ca="1" si="27"/>
        <v>#N/A</v>
      </c>
      <c r="BG124" s="96" t="e">
        <f t="shared" ca="1" si="28"/>
        <v>#N/A</v>
      </c>
    </row>
    <row r="125" spans="2:59" ht="15" customHeight="1">
      <c r="B125" s="2"/>
      <c r="Q125" s="2"/>
      <c r="AF125" s="2"/>
      <c r="AU125" s="2" t="e">
        <f t="shared" si="16"/>
        <v>#N/A</v>
      </c>
      <c r="AV125" s="96" t="e">
        <f t="shared" ca="1" si="17"/>
        <v>#N/A</v>
      </c>
      <c r="AW125" s="96" t="e">
        <f t="shared" ca="1" si="18"/>
        <v>#N/A</v>
      </c>
      <c r="AX125" s="96" t="e">
        <f t="shared" ca="1" si="19"/>
        <v>#N/A</v>
      </c>
      <c r="AY125" s="96" t="e">
        <f t="shared" ca="1" si="20"/>
        <v>#N/A</v>
      </c>
      <c r="AZ125" s="96" t="e">
        <f t="shared" ca="1" si="21"/>
        <v>#N/A</v>
      </c>
      <c r="BA125" s="96" t="e">
        <f t="shared" ca="1" si="22"/>
        <v>#N/A</v>
      </c>
      <c r="BB125" s="96" t="e">
        <f t="shared" ca="1" si="23"/>
        <v>#N/A</v>
      </c>
      <c r="BC125" s="96" t="e">
        <f t="shared" ca="1" si="24"/>
        <v>#N/A</v>
      </c>
      <c r="BD125" s="96" t="e">
        <f t="shared" ca="1" si="25"/>
        <v>#N/A</v>
      </c>
      <c r="BE125" s="96" t="e">
        <f t="shared" ca="1" si="26"/>
        <v>#N/A</v>
      </c>
      <c r="BF125" s="96" t="e">
        <f t="shared" ca="1" si="27"/>
        <v>#N/A</v>
      </c>
      <c r="BG125" s="96" t="e">
        <f t="shared" ca="1" si="28"/>
        <v>#N/A</v>
      </c>
    </row>
    <row r="126" spans="2:59" ht="15" customHeight="1">
      <c r="B126" s="2"/>
      <c r="Q126" s="2"/>
      <c r="AF126" s="2"/>
      <c r="AU126" s="2" t="e">
        <f t="shared" si="16"/>
        <v>#N/A</v>
      </c>
      <c r="AV126" s="96" t="e">
        <f t="shared" ca="1" si="17"/>
        <v>#N/A</v>
      </c>
      <c r="AW126" s="96" t="e">
        <f t="shared" ca="1" si="18"/>
        <v>#N/A</v>
      </c>
      <c r="AX126" s="96" t="e">
        <f t="shared" ca="1" si="19"/>
        <v>#N/A</v>
      </c>
      <c r="AY126" s="96" t="e">
        <f t="shared" ca="1" si="20"/>
        <v>#N/A</v>
      </c>
      <c r="AZ126" s="96" t="e">
        <f t="shared" ca="1" si="21"/>
        <v>#N/A</v>
      </c>
      <c r="BA126" s="96" t="e">
        <f t="shared" ca="1" si="22"/>
        <v>#N/A</v>
      </c>
      <c r="BB126" s="96" t="e">
        <f t="shared" ca="1" si="23"/>
        <v>#N/A</v>
      </c>
      <c r="BC126" s="96" t="e">
        <f t="shared" ca="1" si="24"/>
        <v>#N/A</v>
      </c>
      <c r="BD126" s="96" t="e">
        <f t="shared" ca="1" si="25"/>
        <v>#N/A</v>
      </c>
      <c r="BE126" s="96" t="e">
        <f t="shared" ca="1" si="26"/>
        <v>#N/A</v>
      </c>
      <c r="BF126" s="96" t="e">
        <f t="shared" ca="1" si="27"/>
        <v>#N/A</v>
      </c>
      <c r="BG126" s="96" t="e">
        <f t="shared" ca="1" si="28"/>
        <v>#N/A</v>
      </c>
    </row>
    <row r="127" spans="2:59" ht="15" customHeight="1">
      <c r="B127" s="2"/>
      <c r="Q127" s="2"/>
      <c r="AF127" s="2"/>
      <c r="AU127" s="2" t="e">
        <f t="shared" si="16"/>
        <v>#N/A</v>
      </c>
      <c r="AV127" s="96" t="e">
        <f t="shared" ca="1" si="17"/>
        <v>#N/A</v>
      </c>
      <c r="AW127" s="96" t="e">
        <f t="shared" ca="1" si="18"/>
        <v>#N/A</v>
      </c>
      <c r="AX127" s="96" t="e">
        <f t="shared" ca="1" si="19"/>
        <v>#N/A</v>
      </c>
      <c r="AY127" s="96" t="e">
        <f t="shared" ca="1" si="20"/>
        <v>#N/A</v>
      </c>
      <c r="AZ127" s="96" t="e">
        <f t="shared" ca="1" si="21"/>
        <v>#N/A</v>
      </c>
      <c r="BA127" s="96" t="e">
        <f t="shared" ca="1" si="22"/>
        <v>#N/A</v>
      </c>
      <c r="BB127" s="96" t="e">
        <f t="shared" ca="1" si="23"/>
        <v>#N/A</v>
      </c>
      <c r="BC127" s="96" t="e">
        <f t="shared" ca="1" si="24"/>
        <v>#N/A</v>
      </c>
      <c r="BD127" s="96" t="e">
        <f t="shared" ca="1" si="25"/>
        <v>#N/A</v>
      </c>
      <c r="BE127" s="96" t="e">
        <f t="shared" ca="1" si="26"/>
        <v>#N/A</v>
      </c>
      <c r="BF127" s="96" t="e">
        <f t="shared" ca="1" si="27"/>
        <v>#N/A</v>
      </c>
      <c r="BG127" s="96" t="e">
        <f t="shared" ca="1" si="28"/>
        <v>#N/A</v>
      </c>
    </row>
    <row r="128" spans="2:59" ht="15" customHeight="1">
      <c r="B128" s="2"/>
      <c r="Q128" s="2"/>
      <c r="AF128" s="2"/>
      <c r="AU128" s="2" t="e">
        <f t="shared" si="16"/>
        <v>#N/A</v>
      </c>
      <c r="AV128" s="96" t="e">
        <f t="shared" ca="1" si="17"/>
        <v>#N/A</v>
      </c>
      <c r="AW128" s="96" t="e">
        <f t="shared" ca="1" si="18"/>
        <v>#N/A</v>
      </c>
      <c r="AX128" s="96" t="e">
        <f t="shared" ca="1" si="19"/>
        <v>#N/A</v>
      </c>
      <c r="AY128" s="96" t="e">
        <f t="shared" ca="1" si="20"/>
        <v>#N/A</v>
      </c>
      <c r="AZ128" s="96" t="e">
        <f t="shared" ca="1" si="21"/>
        <v>#N/A</v>
      </c>
      <c r="BA128" s="96" t="e">
        <f t="shared" ca="1" si="22"/>
        <v>#N/A</v>
      </c>
      <c r="BB128" s="96" t="e">
        <f t="shared" ca="1" si="23"/>
        <v>#N/A</v>
      </c>
      <c r="BC128" s="96" t="e">
        <f t="shared" ca="1" si="24"/>
        <v>#N/A</v>
      </c>
      <c r="BD128" s="96" t="e">
        <f t="shared" ca="1" si="25"/>
        <v>#N/A</v>
      </c>
      <c r="BE128" s="96" t="e">
        <f t="shared" ca="1" si="26"/>
        <v>#N/A</v>
      </c>
      <c r="BF128" s="96" t="e">
        <f t="shared" ca="1" si="27"/>
        <v>#N/A</v>
      </c>
      <c r="BG128" s="96" t="e">
        <f t="shared" ca="1" si="28"/>
        <v>#N/A</v>
      </c>
    </row>
    <row r="129" spans="2:59" ht="15" customHeight="1">
      <c r="B129" s="2"/>
      <c r="Q129" s="2"/>
      <c r="AF129" s="2"/>
      <c r="AU129" s="2" t="e">
        <f t="shared" si="16"/>
        <v>#N/A</v>
      </c>
      <c r="AV129" s="96" t="e">
        <f t="shared" ca="1" si="17"/>
        <v>#N/A</v>
      </c>
      <c r="AW129" s="96" t="e">
        <f t="shared" ca="1" si="18"/>
        <v>#N/A</v>
      </c>
      <c r="AX129" s="96" t="e">
        <f t="shared" ca="1" si="19"/>
        <v>#N/A</v>
      </c>
      <c r="AY129" s="96" t="e">
        <f t="shared" ca="1" si="20"/>
        <v>#N/A</v>
      </c>
      <c r="AZ129" s="96" t="e">
        <f t="shared" ca="1" si="21"/>
        <v>#N/A</v>
      </c>
      <c r="BA129" s="96" t="e">
        <f t="shared" ca="1" si="22"/>
        <v>#N/A</v>
      </c>
      <c r="BB129" s="96" t="e">
        <f t="shared" ca="1" si="23"/>
        <v>#N/A</v>
      </c>
      <c r="BC129" s="96" t="e">
        <f t="shared" ca="1" si="24"/>
        <v>#N/A</v>
      </c>
      <c r="BD129" s="96" t="e">
        <f t="shared" ca="1" si="25"/>
        <v>#N/A</v>
      </c>
      <c r="BE129" s="96" t="e">
        <f t="shared" ca="1" si="26"/>
        <v>#N/A</v>
      </c>
      <c r="BF129" s="96" t="e">
        <f t="shared" ca="1" si="27"/>
        <v>#N/A</v>
      </c>
      <c r="BG129" s="96" t="e">
        <f t="shared" ca="1" si="28"/>
        <v>#N/A</v>
      </c>
    </row>
    <row r="130" spans="2:59" ht="15" customHeight="1">
      <c r="B130" s="2"/>
      <c r="Q130" s="2"/>
      <c r="AF130" s="2"/>
      <c r="AU130" s="2" t="e">
        <f t="shared" si="16"/>
        <v>#N/A</v>
      </c>
      <c r="AV130" s="96" t="e">
        <f t="shared" ca="1" si="17"/>
        <v>#N/A</v>
      </c>
      <c r="AW130" s="96" t="e">
        <f t="shared" ca="1" si="18"/>
        <v>#N/A</v>
      </c>
      <c r="AX130" s="96" t="e">
        <f t="shared" ca="1" si="19"/>
        <v>#N/A</v>
      </c>
      <c r="AY130" s="96" t="e">
        <f t="shared" ca="1" si="20"/>
        <v>#N/A</v>
      </c>
      <c r="AZ130" s="96" t="e">
        <f t="shared" ca="1" si="21"/>
        <v>#N/A</v>
      </c>
      <c r="BA130" s="96" t="e">
        <f t="shared" ca="1" si="22"/>
        <v>#N/A</v>
      </c>
      <c r="BB130" s="96" t="e">
        <f t="shared" ca="1" si="23"/>
        <v>#N/A</v>
      </c>
      <c r="BC130" s="96" t="e">
        <f t="shared" ca="1" si="24"/>
        <v>#N/A</v>
      </c>
      <c r="BD130" s="96" t="e">
        <f t="shared" ca="1" si="25"/>
        <v>#N/A</v>
      </c>
      <c r="BE130" s="96" t="e">
        <f t="shared" ca="1" si="26"/>
        <v>#N/A</v>
      </c>
      <c r="BF130" s="96" t="e">
        <f t="shared" ca="1" si="27"/>
        <v>#N/A</v>
      </c>
      <c r="BG130" s="96" t="e">
        <f t="shared" ca="1" si="28"/>
        <v>#N/A</v>
      </c>
    </row>
    <row r="131" spans="2:59" ht="15" customHeight="1">
      <c r="B131" s="2"/>
      <c r="Q131" s="2"/>
      <c r="AF131" s="2"/>
      <c r="AU131" s="2" t="e">
        <f t="shared" si="16"/>
        <v>#N/A</v>
      </c>
      <c r="AV131" s="96" t="e">
        <f t="shared" ca="1" si="17"/>
        <v>#N/A</v>
      </c>
      <c r="AW131" s="96" t="e">
        <f t="shared" ca="1" si="18"/>
        <v>#N/A</v>
      </c>
      <c r="AX131" s="96" t="e">
        <f t="shared" ca="1" si="19"/>
        <v>#N/A</v>
      </c>
      <c r="AY131" s="96" t="e">
        <f t="shared" ca="1" si="20"/>
        <v>#N/A</v>
      </c>
      <c r="AZ131" s="96" t="e">
        <f t="shared" ca="1" si="21"/>
        <v>#N/A</v>
      </c>
      <c r="BA131" s="96" t="e">
        <f t="shared" ca="1" si="22"/>
        <v>#N/A</v>
      </c>
      <c r="BB131" s="96" t="e">
        <f t="shared" ca="1" si="23"/>
        <v>#N/A</v>
      </c>
      <c r="BC131" s="96" t="e">
        <f t="shared" ca="1" si="24"/>
        <v>#N/A</v>
      </c>
      <c r="BD131" s="96" t="e">
        <f t="shared" ca="1" si="25"/>
        <v>#N/A</v>
      </c>
      <c r="BE131" s="96" t="e">
        <f t="shared" ca="1" si="26"/>
        <v>#N/A</v>
      </c>
      <c r="BF131" s="96" t="e">
        <f t="shared" ca="1" si="27"/>
        <v>#N/A</v>
      </c>
      <c r="BG131" s="96" t="e">
        <f t="shared" ca="1" si="28"/>
        <v>#N/A</v>
      </c>
    </row>
    <row r="132" spans="2:59" ht="15" customHeight="1">
      <c r="B132" s="2"/>
      <c r="Q132" s="2"/>
      <c r="AF132" s="2"/>
      <c r="AU132" s="2" t="e">
        <f t="shared" si="16"/>
        <v>#N/A</v>
      </c>
      <c r="AV132" s="96" t="e">
        <f t="shared" ca="1" si="17"/>
        <v>#N/A</v>
      </c>
      <c r="AW132" s="96" t="e">
        <f t="shared" ca="1" si="18"/>
        <v>#N/A</v>
      </c>
      <c r="AX132" s="96" t="e">
        <f t="shared" ca="1" si="19"/>
        <v>#N/A</v>
      </c>
      <c r="AY132" s="96" t="e">
        <f t="shared" ca="1" si="20"/>
        <v>#N/A</v>
      </c>
      <c r="AZ132" s="96" t="e">
        <f t="shared" ca="1" si="21"/>
        <v>#N/A</v>
      </c>
      <c r="BA132" s="96" t="e">
        <f t="shared" ca="1" si="22"/>
        <v>#N/A</v>
      </c>
      <c r="BB132" s="96" t="e">
        <f t="shared" ca="1" si="23"/>
        <v>#N/A</v>
      </c>
      <c r="BC132" s="96" t="e">
        <f t="shared" ca="1" si="24"/>
        <v>#N/A</v>
      </c>
      <c r="BD132" s="96" t="e">
        <f t="shared" ca="1" si="25"/>
        <v>#N/A</v>
      </c>
      <c r="BE132" s="96" t="e">
        <f t="shared" ca="1" si="26"/>
        <v>#N/A</v>
      </c>
      <c r="BF132" s="96" t="e">
        <f t="shared" ca="1" si="27"/>
        <v>#N/A</v>
      </c>
      <c r="BG132" s="96" t="e">
        <f t="shared" ca="1" si="28"/>
        <v>#N/A</v>
      </c>
    </row>
    <row r="133" spans="2:59" ht="15" customHeight="1">
      <c r="B133" s="2"/>
      <c r="Q133" s="2"/>
      <c r="AF133" s="2"/>
      <c r="AU133" s="2" t="e">
        <f t="shared" si="16"/>
        <v>#N/A</v>
      </c>
      <c r="AV133" s="96" t="e">
        <f t="shared" ca="1" si="17"/>
        <v>#N/A</v>
      </c>
      <c r="AW133" s="96" t="e">
        <f t="shared" ca="1" si="18"/>
        <v>#N/A</v>
      </c>
      <c r="AX133" s="96" t="e">
        <f t="shared" ca="1" si="19"/>
        <v>#N/A</v>
      </c>
      <c r="AY133" s="96" t="e">
        <f t="shared" ca="1" si="20"/>
        <v>#N/A</v>
      </c>
      <c r="AZ133" s="96" t="e">
        <f t="shared" ca="1" si="21"/>
        <v>#N/A</v>
      </c>
      <c r="BA133" s="96" t="e">
        <f t="shared" ca="1" si="22"/>
        <v>#N/A</v>
      </c>
      <c r="BB133" s="96" t="e">
        <f t="shared" ca="1" si="23"/>
        <v>#N/A</v>
      </c>
      <c r="BC133" s="96" t="e">
        <f t="shared" ca="1" si="24"/>
        <v>#N/A</v>
      </c>
      <c r="BD133" s="96" t="e">
        <f t="shared" ca="1" si="25"/>
        <v>#N/A</v>
      </c>
      <c r="BE133" s="96" t="e">
        <f t="shared" ca="1" si="26"/>
        <v>#N/A</v>
      </c>
      <c r="BF133" s="96" t="e">
        <f t="shared" ca="1" si="27"/>
        <v>#N/A</v>
      </c>
      <c r="BG133" s="96" t="e">
        <f t="shared" ca="1" si="28"/>
        <v>#N/A</v>
      </c>
    </row>
    <row r="134" spans="2:59" ht="15" customHeight="1">
      <c r="B134" s="2"/>
      <c r="Q134" s="2"/>
      <c r="AF134" s="2"/>
      <c r="AU134" s="2" t="e">
        <f t="shared" si="16"/>
        <v>#N/A</v>
      </c>
      <c r="AV134" s="96" t="e">
        <f t="shared" ca="1" si="17"/>
        <v>#N/A</v>
      </c>
      <c r="AW134" s="96" t="e">
        <f t="shared" ca="1" si="18"/>
        <v>#N/A</v>
      </c>
      <c r="AX134" s="96" t="e">
        <f t="shared" ca="1" si="19"/>
        <v>#N/A</v>
      </c>
      <c r="AY134" s="96" t="e">
        <f t="shared" ca="1" si="20"/>
        <v>#N/A</v>
      </c>
      <c r="AZ134" s="96" t="e">
        <f t="shared" ca="1" si="21"/>
        <v>#N/A</v>
      </c>
      <c r="BA134" s="96" t="e">
        <f t="shared" ca="1" si="22"/>
        <v>#N/A</v>
      </c>
      <c r="BB134" s="96" t="e">
        <f t="shared" ca="1" si="23"/>
        <v>#N/A</v>
      </c>
      <c r="BC134" s="96" t="e">
        <f t="shared" ca="1" si="24"/>
        <v>#N/A</v>
      </c>
      <c r="BD134" s="96" t="e">
        <f t="shared" ca="1" si="25"/>
        <v>#N/A</v>
      </c>
      <c r="BE134" s="96" t="e">
        <f t="shared" ca="1" si="26"/>
        <v>#N/A</v>
      </c>
      <c r="BF134" s="96" t="e">
        <f t="shared" ca="1" si="27"/>
        <v>#N/A</v>
      </c>
      <c r="BG134" s="96" t="e">
        <f t="shared" ca="1" si="28"/>
        <v>#N/A</v>
      </c>
    </row>
    <row r="135" spans="2:59" ht="15" customHeight="1">
      <c r="B135" s="2"/>
      <c r="Q135" s="2"/>
      <c r="AF135" s="2"/>
      <c r="AU135" s="2" t="e">
        <f t="shared" si="16"/>
        <v>#N/A</v>
      </c>
      <c r="AV135" s="96" t="e">
        <f t="shared" ca="1" si="17"/>
        <v>#N/A</v>
      </c>
      <c r="AW135" s="96" t="e">
        <f t="shared" ca="1" si="18"/>
        <v>#N/A</v>
      </c>
      <c r="AX135" s="96" t="e">
        <f t="shared" ca="1" si="19"/>
        <v>#N/A</v>
      </c>
      <c r="AY135" s="96" t="e">
        <f t="shared" ca="1" si="20"/>
        <v>#N/A</v>
      </c>
      <c r="AZ135" s="96" t="e">
        <f t="shared" ca="1" si="21"/>
        <v>#N/A</v>
      </c>
      <c r="BA135" s="96" t="e">
        <f t="shared" ca="1" si="22"/>
        <v>#N/A</v>
      </c>
      <c r="BB135" s="96" t="e">
        <f t="shared" ca="1" si="23"/>
        <v>#N/A</v>
      </c>
      <c r="BC135" s="96" t="e">
        <f t="shared" ca="1" si="24"/>
        <v>#N/A</v>
      </c>
      <c r="BD135" s="96" t="e">
        <f t="shared" ca="1" si="25"/>
        <v>#N/A</v>
      </c>
      <c r="BE135" s="96" t="e">
        <f t="shared" ca="1" si="26"/>
        <v>#N/A</v>
      </c>
      <c r="BF135" s="96" t="e">
        <f t="shared" ca="1" si="27"/>
        <v>#N/A</v>
      </c>
      <c r="BG135" s="96" t="e">
        <f t="shared" ca="1" si="28"/>
        <v>#N/A</v>
      </c>
    </row>
    <row r="136" spans="2:59" ht="15" customHeight="1">
      <c r="B136" s="2"/>
      <c r="Q136" s="2"/>
      <c r="AF136" s="2"/>
      <c r="AU136" s="2" t="e">
        <f t="shared" si="16"/>
        <v>#N/A</v>
      </c>
      <c r="AV136" s="96" t="e">
        <f t="shared" ca="1" si="17"/>
        <v>#N/A</v>
      </c>
      <c r="AW136" s="96" t="e">
        <f t="shared" ca="1" si="18"/>
        <v>#N/A</v>
      </c>
      <c r="AX136" s="96" t="e">
        <f t="shared" ca="1" si="19"/>
        <v>#N/A</v>
      </c>
      <c r="AY136" s="96" t="e">
        <f t="shared" ca="1" si="20"/>
        <v>#N/A</v>
      </c>
      <c r="AZ136" s="96" t="e">
        <f t="shared" ca="1" si="21"/>
        <v>#N/A</v>
      </c>
      <c r="BA136" s="96" t="e">
        <f t="shared" ca="1" si="22"/>
        <v>#N/A</v>
      </c>
      <c r="BB136" s="96" t="e">
        <f t="shared" ca="1" si="23"/>
        <v>#N/A</v>
      </c>
      <c r="BC136" s="96" t="e">
        <f t="shared" ca="1" si="24"/>
        <v>#N/A</v>
      </c>
      <c r="BD136" s="96" t="e">
        <f t="shared" ca="1" si="25"/>
        <v>#N/A</v>
      </c>
      <c r="BE136" s="96" t="e">
        <f t="shared" ca="1" si="26"/>
        <v>#N/A</v>
      </c>
      <c r="BF136" s="96" t="e">
        <f t="shared" ca="1" si="27"/>
        <v>#N/A</v>
      </c>
      <c r="BG136" s="96" t="e">
        <f t="shared" ca="1" si="28"/>
        <v>#N/A</v>
      </c>
    </row>
    <row r="137" spans="2:59" ht="15" customHeight="1">
      <c r="B137" s="2"/>
      <c r="Q137" s="2"/>
      <c r="AF137" s="2"/>
      <c r="AU137" s="2" t="e">
        <f t="shared" si="16"/>
        <v>#N/A</v>
      </c>
      <c r="AV137" s="96" t="e">
        <f t="shared" ca="1" si="17"/>
        <v>#N/A</v>
      </c>
      <c r="AW137" s="96" t="e">
        <f t="shared" ca="1" si="18"/>
        <v>#N/A</v>
      </c>
      <c r="AX137" s="96" t="e">
        <f t="shared" ca="1" si="19"/>
        <v>#N/A</v>
      </c>
      <c r="AY137" s="96" t="e">
        <f t="shared" ca="1" si="20"/>
        <v>#N/A</v>
      </c>
      <c r="AZ137" s="96" t="e">
        <f t="shared" ca="1" si="21"/>
        <v>#N/A</v>
      </c>
      <c r="BA137" s="96" t="e">
        <f t="shared" ca="1" si="22"/>
        <v>#N/A</v>
      </c>
      <c r="BB137" s="96" t="e">
        <f t="shared" ca="1" si="23"/>
        <v>#N/A</v>
      </c>
      <c r="BC137" s="96" t="e">
        <f t="shared" ca="1" si="24"/>
        <v>#N/A</v>
      </c>
      <c r="BD137" s="96" t="e">
        <f t="shared" ca="1" si="25"/>
        <v>#N/A</v>
      </c>
      <c r="BE137" s="96" t="e">
        <f t="shared" ca="1" si="26"/>
        <v>#N/A</v>
      </c>
      <c r="BF137" s="96" t="e">
        <f t="shared" ca="1" si="27"/>
        <v>#N/A</v>
      </c>
      <c r="BG137" s="96" t="e">
        <f t="shared" ca="1" si="28"/>
        <v>#N/A</v>
      </c>
    </row>
    <row r="138" spans="2:59" ht="15" customHeight="1">
      <c r="B138" s="2"/>
      <c r="Q138" s="2"/>
      <c r="AF138" s="2"/>
      <c r="AU138" s="2" t="e">
        <f t="shared" si="16"/>
        <v>#N/A</v>
      </c>
      <c r="AV138" s="96" t="e">
        <f t="shared" ca="1" si="17"/>
        <v>#N/A</v>
      </c>
      <c r="AW138" s="96" t="e">
        <f t="shared" ca="1" si="18"/>
        <v>#N/A</v>
      </c>
      <c r="AX138" s="96" t="e">
        <f t="shared" ca="1" si="19"/>
        <v>#N/A</v>
      </c>
      <c r="AY138" s="96" t="e">
        <f t="shared" ca="1" si="20"/>
        <v>#N/A</v>
      </c>
      <c r="AZ138" s="96" t="e">
        <f t="shared" ca="1" si="21"/>
        <v>#N/A</v>
      </c>
      <c r="BA138" s="96" t="e">
        <f t="shared" ca="1" si="22"/>
        <v>#N/A</v>
      </c>
      <c r="BB138" s="96" t="e">
        <f t="shared" ca="1" si="23"/>
        <v>#N/A</v>
      </c>
      <c r="BC138" s="96" t="e">
        <f t="shared" ca="1" si="24"/>
        <v>#N/A</v>
      </c>
      <c r="BD138" s="96" t="e">
        <f t="shared" ca="1" si="25"/>
        <v>#N/A</v>
      </c>
      <c r="BE138" s="96" t="e">
        <f t="shared" ca="1" si="26"/>
        <v>#N/A</v>
      </c>
      <c r="BF138" s="96" t="e">
        <f t="shared" ca="1" si="27"/>
        <v>#N/A</v>
      </c>
      <c r="BG138" s="96" t="e">
        <f t="shared" ca="1" si="28"/>
        <v>#N/A</v>
      </c>
    </row>
    <row r="139" spans="2:59" ht="15" customHeight="1">
      <c r="B139" s="2"/>
      <c r="Q139" s="2"/>
      <c r="AF139" s="2"/>
      <c r="AU139" s="2" t="e">
        <f t="shared" si="16"/>
        <v>#N/A</v>
      </c>
      <c r="AV139" s="96" t="e">
        <f t="shared" ca="1" si="17"/>
        <v>#N/A</v>
      </c>
      <c r="AW139" s="96" t="e">
        <f t="shared" ca="1" si="18"/>
        <v>#N/A</v>
      </c>
      <c r="AX139" s="96" t="e">
        <f t="shared" ca="1" si="19"/>
        <v>#N/A</v>
      </c>
      <c r="AY139" s="96" t="e">
        <f t="shared" ca="1" si="20"/>
        <v>#N/A</v>
      </c>
      <c r="AZ139" s="96" t="e">
        <f t="shared" ca="1" si="21"/>
        <v>#N/A</v>
      </c>
      <c r="BA139" s="96" t="e">
        <f t="shared" ca="1" si="22"/>
        <v>#N/A</v>
      </c>
      <c r="BB139" s="96" t="e">
        <f t="shared" ca="1" si="23"/>
        <v>#N/A</v>
      </c>
      <c r="BC139" s="96" t="e">
        <f t="shared" ca="1" si="24"/>
        <v>#N/A</v>
      </c>
      <c r="BD139" s="96" t="e">
        <f t="shared" ca="1" si="25"/>
        <v>#N/A</v>
      </c>
      <c r="BE139" s="96" t="e">
        <f t="shared" ca="1" si="26"/>
        <v>#N/A</v>
      </c>
      <c r="BF139" s="96" t="e">
        <f t="shared" ca="1" si="27"/>
        <v>#N/A</v>
      </c>
      <c r="BG139" s="96" t="e">
        <f t="shared" ca="1" si="28"/>
        <v>#N/A</v>
      </c>
    </row>
    <row r="140" spans="2:59" ht="15" customHeight="1">
      <c r="B140" s="2"/>
      <c r="Q140" s="2"/>
      <c r="AF140" s="2"/>
      <c r="AU140" s="2" t="e">
        <f t="shared" si="16"/>
        <v>#N/A</v>
      </c>
      <c r="AV140" s="96" t="e">
        <f t="shared" ca="1" si="17"/>
        <v>#N/A</v>
      </c>
      <c r="AW140" s="96" t="e">
        <f t="shared" ca="1" si="18"/>
        <v>#N/A</v>
      </c>
      <c r="AX140" s="96" t="e">
        <f t="shared" ca="1" si="19"/>
        <v>#N/A</v>
      </c>
      <c r="AY140" s="96" t="e">
        <f t="shared" ca="1" si="20"/>
        <v>#N/A</v>
      </c>
      <c r="AZ140" s="96" t="e">
        <f t="shared" ca="1" si="21"/>
        <v>#N/A</v>
      </c>
      <c r="BA140" s="96" t="e">
        <f t="shared" ca="1" si="22"/>
        <v>#N/A</v>
      </c>
      <c r="BB140" s="96" t="e">
        <f t="shared" ca="1" si="23"/>
        <v>#N/A</v>
      </c>
      <c r="BC140" s="96" t="e">
        <f t="shared" ca="1" si="24"/>
        <v>#N/A</v>
      </c>
      <c r="BD140" s="96" t="e">
        <f t="shared" ca="1" si="25"/>
        <v>#N/A</v>
      </c>
      <c r="BE140" s="96" t="e">
        <f t="shared" ca="1" si="26"/>
        <v>#N/A</v>
      </c>
      <c r="BF140" s="96" t="e">
        <f t="shared" ca="1" si="27"/>
        <v>#N/A</v>
      </c>
      <c r="BG140" s="96" t="e">
        <f t="shared" ca="1" si="28"/>
        <v>#N/A</v>
      </c>
    </row>
    <row r="141" spans="2:59" ht="15" customHeight="1">
      <c r="B141" s="2"/>
      <c r="Q141" s="2"/>
      <c r="AF141" s="2"/>
      <c r="AU141" s="2" t="e">
        <f t="shared" ref="AU141:AU204" si="29">IF(TRIM(B141)&lt;&gt;"", B141, NA())</f>
        <v>#N/A</v>
      </c>
      <c r="AV141" s="96" t="e">
        <f t="shared" ref="AV141:AV204" ca="1" si="30">IF(ISERROR(ABS(IF(AG$10="Y",100-AG141,AG141)-IF(R$10="Y",100-R141,R141))/C141), NA(), ABS(IF(AG$10="Y",100-AG141,AG141)-IF(R$10="Y",100-R141,R141))/C141)</f>
        <v>#N/A</v>
      </c>
      <c r="AW141" s="96" t="e">
        <f t="shared" ref="AW141:AW204" ca="1" si="31">IF(ISERROR(ABS(IF(AH$10="Y",100-AH141,AH141)-IF(S$10="Y",100-S141,S141))/D141), NA(), ABS(IF(AH$10="Y",100-AH141,AH141)-IF(S$10="Y",100-S141,S141))/D141)</f>
        <v>#N/A</v>
      </c>
      <c r="AX141" s="96" t="e">
        <f t="shared" ref="AX141:AX204" ca="1" si="32">IF(ISERROR(ABS(IF(AI$10="Y",100-AI141,AI141)-IF(T$10="Y",100-T141,T141))/E141), NA(), ABS(IF(AI$10="Y",100-AI141,AI141)-IF(T$10="Y",100-T141,T141))/E141)</f>
        <v>#N/A</v>
      </c>
      <c r="AY141" s="96" t="e">
        <f t="shared" ref="AY141:AY204" ca="1" si="33">IF(ISERROR(ABS(IF(AJ$10="Y",100-AJ141,AJ141)-IF(U$10="Y",100-U141,U141))/F141), NA(), ABS(IF(AJ$10="Y",100-AJ141,AJ141)-IF(U$10="Y",100-U141,U141))/F141)</f>
        <v>#N/A</v>
      </c>
      <c r="AZ141" s="96" t="e">
        <f t="shared" ref="AZ141:AZ204" ca="1" si="34">IF(ISERROR(ABS(IF(AK$10="Y",100-AK141,AK141)-IF(V$10="Y",100-V141,V141))/G141), NA(), ABS(IF(AK$10="Y",100-AK141,AK141)-IF(V$10="Y",100-V141,V141))/G141)</f>
        <v>#N/A</v>
      </c>
      <c r="BA141" s="96" t="e">
        <f t="shared" ref="BA141:BA204" ca="1" si="35">IF(ISERROR(ABS(IF(AL$10="Y",100-AL141,AL141)-IF(W$10="Y",100-W141,W141))/H141), NA(), ABS(IF(AL$10="Y",100-AL141,AL141)-IF(W$10="Y",100-W141,W141))/H141)</f>
        <v>#N/A</v>
      </c>
      <c r="BB141" s="96" t="e">
        <f t="shared" ref="BB141:BB204" ca="1" si="36">IF(ISERROR(ABS(IF(AM$10="Y",100-AM141,AM141)-IF(X$10="Y",100-X141,X141))/I141), NA(), ABS(IF(AM$10="Y",100-AM141,AM141)-IF(X$10="Y",100-X141,X141))/I141)</f>
        <v>#N/A</v>
      </c>
      <c r="BC141" s="96" t="e">
        <f t="shared" ref="BC141:BC204" ca="1" si="37">IF(ISERROR(ABS(IF(AN$10="Y",100-AN141,AN141)-IF(Y$10="Y",100-Y141,Y141))/J141), NA(), ABS(IF(AN$10="Y",100-AN141,AN141)-IF(Y$10="Y",100-Y141,Y141))/J141)</f>
        <v>#N/A</v>
      </c>
      <c r="BD141" s="96" t="e">
        <f t="shared" ref="BD141:BD204" ca="1" si="38">IF(ISERROR(ABS(IF(AO$10="Y",100-AO141,AO141)-IF(Z$10="Y",100-Z141,Z141))/K141), NA(), ABS(IF(AO$10="Y",100-AO141,AO141)-IF(Z$10="Y",100-Z141,Z141))/K141)</f>
        <v>#N/A</v>
      </c>
      <c r="BE141" s="96" t="e">
        <f t="shared" ref="BE141:BE204" ca="1" si="39">IF(ISERROR(ABS(IF(AP$10="Y",100-AP141,AP141)-IF(AA$10="Y",100-AA141,AA141))/L141), NA(), ABS(IF(AP$10="Y",100-AP141,AP141)-IF(AA$10="Y",100-AA141,AA141))/L141)</f>
        <v>#N/A</v>
      </c>
      <c r="BF141" s="96" t="e">
        <f t="shared" ref="BF141:BF204" ca="1" si="40">IF(ISERROR(ABS(IF(AQ$10="Y",100-AQ141,AQ141)-IF(AB$10="Y",100-AB141,AB141))/M141), NA(), ABS(IF(AQ$10="Y",100-AQ141,AQ141)-IF(AB$10="Y",100-AB141,AB141))/M141)</f>
        <v>#N/A</v>
      </c>
      <c r="BG141" s="96" t="e">
        <f t="shared" ref="BG141:BG204" ca="1" si="41">IF(ISERROR(ABS(IF(AR$10="Y",100-AR141,AR141)-IF(AC$10="Y",100-AC141,AC141))/N141), NA(), ABS(IF(AR$10="Y",100-AR141,AR141)-IF(AC$10="Y",100-AC141,AC141))/N141)</f>
        <v>#N/A</v>
      </c>
    </row>
    <row r="142" spans="2:59" ht="15" customHeight="1">
      <c r="B142" s="2"/>
      <c r="Q142" s="2"/>
      <c r="AF142" s="2"/>
      <c r="AU142" s="2" t="e">
        <f t="shared" si="29"/>
        <v>#N/A</v>
      </c>
      <c r="AV142" s="96" t="e">
        <f t="shared" ca="1" si="30"/>
        <v>#N/A</v>
      </c>
      <c r="AW142" s="96" t="e">
        <f t="shared" ca="1" si="31"/>
        <v>#N/A</v>
      </c>
      <c r="AX142" s="96" t="e">
        <f t="shared" ca="1" si="32"/>
        <v>#N/A</v>
      </c>
      <c r="AY142" s="96" t="e">
        <f t="shared" ca="1" si="33"/>
        <v>#N/A</v>
      </c>
      <c r="AZ142" s="96" t="e">
        <f t="shared" ca="1" si="34"/>
        <v>#N/A</v>
      </c>
      <c r="BA142" s="96" t="e">
        <f t="shared" ca="1" si="35"/>
        <v>#N/A</v>
      </c>
      <c r="BB142" s="96" t="e">
        <f t="shared" ca="1" si="36"/>
        <v>#N/A</v>
      </c>
      <c r="BC142" s="96" t="e">
        <f t="shared" ca="1" si="37"/>
        <v>#N/A</v>
      </c>
      <c r="BD142" s="96" t="e">
        <f t="shared" ca="1" si="38"/>
        <v>#N/A</v>
      </c>
      <c r="BE142" s="96" t="e">
        <f t="shared" ca="1" si="39"/>
        <v>#N/A</v>
      </c>
      <c r="BF142" s="96" t="e">
        <f t="shared" ca="1" si="40"/>
        <v>#N/A</v>
      </c>
      <c r="BG142" s="96" t="e">
        <f t="shared" ca="1" si="41"/>
        <v>#N/A</v>
      </c>
    </row>
    <row r="143" spans="2:59" ht="15" customHeight="1">
      <c r="B143" s="2"/>
      <c r="Q143" s="2"/>
      <c r="AF143" s="2"/>
      <c r="AU143" s="2" t="e">
        <f t="shared" si="29"/>
        <v>#N/A</v>
      </c>
      <c r="AV143" s="96" t="e">
        <f t="shared" ca="1" si="30"/>
        <v>#N/A</v>
      </c>
      <c r="AW143" s="96" t="e">
        <f t="shared" ca="1" si="31"/>
        <v>#N/A</v>
      </c>
      <c r="AX143" s="96" t="e">
        <f t="shared" ca="1" si="32"/>
        <v>#N/A</v>
      </c>
      <c r="AY143" s="96" t="e">
        <f t="shared" ca="1" si="33"/>
        <v>#N/A</v>
      </c>
      <c r="AZ143" s="96" t="e">
        <f t="shared" ca="1" si="34"/>
        <v>#N/A</v>
      </c>
      <c r="BA143" s="96" t="e">
        <f t="shared" ca="1" si="35"/>
        <v>#N/A</v>
      </c>
      <c r="BB143" s="96" t="e">
        <f t="shared" ca="1" si="36"/>
        <v>#N/A</v>
      </c>
      <c r="BC143" s="96" t="e">
        <f t="shared" ca="1" si="37"/>
        <v>#N/A</v>
      </c>
      <c r="BD143" s="96" t="e">
        <f t="shared" ca="1" si="38"/>
        <v>#N/A</v>
      </c>
      <c r="BE143" s="96" t="e">
        <f t="shared" ca="1" si="39"/>
        <v>#N/A</v>
      </c>
      <c r="BF143" s="96" t="e">
        <f t="shared" ca="1" si="40"/>
        <v>#N/A</v>
      </c>
      <c r="BG143" s="96" t="e">
        <f t="shared" ca="1" si="41"/>
        <v>#N/A</v>
      </c>
    </row>
    <row r="144" spans="2:59" ht="15" customHeight="1">
      <c r="B144" s="2"/>
      <c r="Q144" s="2"/>
      <c r="AF144" s="2"/>
      <c r="AU144" s="2" t="e">
        <f t="shared" si="29"/>
        <v>#N/A</v>
      </c>
      <c r="AV144" s="96" t="e">
        <f t="shared" ca="1" si="30"/>
        <v>#N/A</v>
      </c>
      <c r="AW144" s="96" t="e">
        <f t="shared" ca="1" si="31"/>
        <v>#N/A</v>
      </c>
      <c r="AX144" s="96" t="e">
        <f t="shared" ca="1" si="32"/>
        <v>#N/A</v>
      </c>
      <c r="AY144" s="96" t="e">
        <f t="shared" ca="1" si="33"/>
        <v>#N/A</v>
      </c>
      <c r="AZ144" s="96" t="e">
        <f t="shared" ca="1" si="34"/>
        <v>#N/A</v>
      </c>
      <c r="BA144" s="96" t="e">
        <f t="shared" ca="1" si="35"/>
        <v>#N/A</v>
      </c>
      <c r="BB144" s="96" t="e">
        <f t="shared" ca="1" si="36"/>
        <v>#N/A</v>
      </c>
      <c r="BC144" s="96" t="e">
        <f t="shared" ca="1" si="37"/>
        <v>#N/A</v>
      </c>
      <c r="BD144" s="96" t="e">
        <f t="shared" ca="1" si="38"/>
        <v>#N/A</v>
      </c>
      <c r="BE144" s="96" t="e">
        <f t="shared" ca="1" si="39"/>
        <v>#N/A</v>
      </c>
      <c r="BF144" s="96" t="e">
        <f t="shared" ca="1" si="40"/>
        <v>#N/A</v>
      </c>
      <c r="BG144" s="96" t="e">
        <f t="shared" ca="1" si="41"/>
        <v>#N/A</v>
      </c>
    </row>
    <row r="145" spans="2:59" ht="15" customHeight="1">
      <c r="B145" s="2"/>
      <c r="Q145" s="2"/>
      <c r="AF145" s="2"/>
      <c r="AU145" s="2" t="e">
        <f t="shared" si="29"/>
        <v>#N/A</v>
      </c>
      <c r="AV145" s="96" t="e">
        <f t="shared" ca="1" si="30"/>
        <v>#N/A</v>
      </c>
      <c r="AW145" s="96" t="e">
        <f t="shared" ca="1" si="31"/>
        <v>#N/A</v>
      </c>
      <c r="AX145" s="96" t="e">
        <f t="shared" ca="1" si="32"/>
        <v>#N/A</v>
      </c>
      <c r="AY145" s="96" t="e">
        <f t="shared" ca="1" si="33"/>
        <v>#N/A</v>
      </c>
      <c r="AZ145" s="96" t="e">
        <f t="shared" ca="1" si="34"/>
        <v>#N/A</v>
      </c>
      <c r="BA145" s="96" t="e">
        <f t="shared" ca="1" si="35"/>
        <v>#N/A</v>
      </c>
      <c r="BB145" s="96" t="e">
        <f t="shared" ca="1" si="36"/>
        <v>#N/A</v>
      </c>
      <c r="BC145" s="96" t="e">
        <f t="shared" ca="1" si="37"/>
        <v>#N/A</v>
      </c>
      <c r="BD145" s="96" t="e">
        <f t="shared" ca="1" si="38"/>
        <v>#N/A</v>
      </c>
      <c r="BE145" s="96" t="e">
        <f t="shared" ca="1" si="39"/>
        <v>#N/A</v>
      </c>
      <c r="BF145" s="96" t="e">
        <f t="shared" ca="1" si="40"/>
        <v>#N/A</v>
      </c>
      <c r="BG145" s="96" t="e">
        <f t="shared" ca="1" si="41"/>
        <v>#N/A</v>
      </c>
    </row>
    <row r="146" spans="2:59" ht="15" customHeight="1">
      <c r="B146" s="2"/>
      <c r="Q146" s="2"/>
      <c r="AF146" s="2"/>
      <c r="AU146" s="2" t="e">
        <f t="shared" si="29"/>
        <v>#N/A</v>
      </c>
      <c r="AV146" s="96" t="e">
        <f t="shared" ca="1" si="30"/>
        <v>#N/A</v>
      </c>
      <c r="AW146" s="96" t="e">
        <f t="shared" ca="1" si="31"/>
        <v>#N/A</v>
      </c>
      <c r="AX146" s="96" t="e">
        <f t="shared" ca="1" si="32"/>
        <v>#N/A</v>
      </c>
      <c r="AY146" s="96" t="e">
        <f t="shared" ca="1" si="33"/>
        <v>#N/A</v>
      </c>
      <c r="AZ146" s="96" t="e">
        <f t="shared" ca="1" si="34"/>
        <v>#N/A</v>
      </c>
      <c r="BA146" s="96" t="e">
        <f t="shared" ca="1" si="35"/>
        <v>#N/A</v>
      </c>
      <c r="BB146" s="96" t="e">
        <f t="shared" ca="1" si="36"/>
        <v>#N/A</v>
      </c>
      <c r="BC146" s="96" t="e">
        <f t="shared" ca="1" si="37"/>
        <v>#N/A</v>
      </c>
      <c r="BD146" s="96" t="e">
        <f t="shared" ca="1" si="38"/>
        <v>#N/A</v>
      </c>
      <c r="BE146" s="96" t="e">
        <f t="shared" ca="1" si="39"/>
        <v>#N/A</v>
      </c>
      <c r="BF146" s="96" t="e">
        <f t="shared" ca="1" si="40"/>
        <v>#N/A</v>
      </c>
      <c r="BG146" s="96" t="e">
        <f t="shared" ca="1" si="41"/>
        <v>#N/A</v>
      </c>
    </row>
    <row r="147" spans="2:59" ht="15" customHeight="1">
      <c r="B147" s="2"/>
      <c r="Q147" s="2"/>
      <c r="AF147" s="2"/>
      <c r="AU147" s="2" t="e">
        <f t="shared" si="29"/>
        <v>#N/A</v>
      </c>
      <c r="AV147" s="96" t="e">
        <f t="shared" ca="1" si="30"/>
        <v>#N/A</v>
      </c>
      <c r="AW147" s="96" t="e">
        <f t="shared" ca="1" si="31"/>
        <v>#N/A</v>
      </c>
      <c r="AX147" s="96" t="e">
        <f t="shared" ca="1" si="32"/>
        <v>#N/A</v>
      </c>
      <c r="AY147" s="96" t="e">
        <f t="shared" ca="1" si="33"/>
        <v>#N/A</v>
      </c>
      <c r="AZ147" s="96" t="e">
        <f t="shared" ca="1" si="34"/>
        <v>#N/A</v>
      </c>
      <c r="BA147" s="96" t="e">
        <f t="shared" ca="1" si="35"/>
        <v>#N/A</v>
      </c>
      <c r="BB147" s="96" t="e">
        <f t="shared" ca="1" si="36"/>
        <v>#N/A</v>
      </c>
      <c r="BC147" s="96" t="e">
        <f t="shared" ca="1" si="37"/>
        <v>#N/A</v>
      </c>
      <c r="BD147" s="96" t="e">
        <f t="shared" ca="1" si="38"/>
        <v>#N/A</v>
      </c>
      <c r="BE147" s="96" t="e">
        <f t="shared" ca="1" si="39"/>
        <v>#N/A</v>
      </c>
      <c r="BF147" s="96" t="e">
        <f t="shared" ca="1" si="40"/>
        <v>#N/A</v>
      </c>
      <c r="BG147" s="96" t="e">
        <f t="shared" ca="1" si="41"/>
        <v>#N/A</v>
      </c>
    </row>
    <row r="148" spans="2:59" ht="15" customHeight="1">
      <c r="B148" s="2"/>
      <c r="Q148" s="2"/>
      <c r="AF148" s="2"/>
      <c r="AU148" s="2" t="e">
        <f t="shared" si="29"/>
        <v>#N/A</v>
      </c>
      <c r="AV148" s="96" t="e">
        <f t="shared" ca="1" si="30"/>
        <v>#N/A</v>
      </c>
      <c r="AW148" s="96" t="e">
        <f t="shared" ca="1" si="31"/>
        <v>#N/A</v>
      </c>
      <c r="AX148" s="96" t="e">
        <f t="shared" ca="1" si="32"/>
        <v>#N/A</v>
      </c>
      <c r="AY148" s="96" t="e">
        <f t="shared" ca="1" si="33"/>
        <v>#N/A</v>
      </c>
      <c r="AZ148" s="96" t="e">
        <f t="shared" ca="1" si="34"/>
        <v>#N/A</v>
      </c>
      <c r="BA148" s="96" t="e">
        <f t="shared" ca="1" si="35"/>
        <v>#N/A</v>
      </c>
      <c r="BB148" s="96" t="e">
        <f t="shared" ca="1" si="36"/>
        <v>#N/A</v>
      </c>
      <c r="BC148" s="96" t="e">
        <f t="shared" ca="1" si="37"/>
        <v>#N/A</v>
      </c>
      <c r="BD148" s="96" t="e">
        <f t="shared" ca="1" si="38"/>
        <v>#N/A</v>
      </c>
      <c r="BE148" s="96" t="e">
        <f t="shared" ca="1" si="39"/>
        <v>#N/A</v>
      </c>
      <c r="BF148" s="96" t="e">
        <f t="shared" ca="1" si="40"/>
        <v>#N/A</v>
      </c>
      <c r="BG148" s="96" t="e">
        <f t="shared" ca="1" si="41"/>
        <v>#N/A</v>
      </c>
    </row>
    <row r="149" spans="2:59" ht="15" customHeight="1">
      <c r="B149" s="2"/>
      <c r="Q149" s="2"/>
      <c r="AF149" s="2"/>
      <c r="AU149" s="2" t="e">
        <f t="shared" si="29"/>
        <v>#N/A</v>
      </c>
      <c r="AV149" s="96" t="e">
        <f t="shared" ca="1" si="30"/>
        <v>#N/A</v>
      </c>
      <c r="AW149" s="96" t="e">
        <f t="shared" ca="1" si="31"/>
        <v>#N/A</v>
      </c>
      <c r="AX149" s="96" t="e">
        <f t="shared" ca="1" si="32"/>
        <v>#N/A</v>
      </c>
      <c r="AY149" s="96" t="e">
        <f t="shared" ca="1" si="33"/>
        <v>#N/A</v>
      </c>
      <c r="AZ149" s="96" t="e">
        <f t="shared" ca="1" si="34"/>
        <v>#N/A</v>
      </c>
      <c r="BA149" s="96" t="e">
        <f t="shared" ca="1" si="35"/>
        <v>#N/A</v>
      </c>
      <c r="BB149" s="96" t="e">
        <f t="shared" ca="1" si="36"/>
        <v>#N/A</v>
      </c>
      <c r="BC149" s="96" t="e">
        <f t="shared" ca="1" si="37"/>
        <v>#N/A</v>
      </c>
      <c r="BD149" s="96" t="e">
        <f t="shared" ca="1" si="38"/>
        <v>#N/A</v>
      </c>
      <c r="BE149" s="96" t="e">
        <f t="shared" ca="1" si="39"/>
        <v>#N/A</v>
      </c>
      <c r="BF149" s="96" t="e">
        <f t="shared" ca="1" si="40"/>
        <v>#N/A</v>
      </c>
      <c r="BG149" s="96" t="e">
        <f t="shared" ca="1" si="41"/>
        <v>#N/A</v>
      </c>
    </row>
    <row r="150" spans="2:59" ht="15" customHeight="1">
      <c r="B150" s="2"/>
      <c r="Q150" s="2"/>
      <c r="AF150" s="2"/>
      <c r="AU150" s="2" t="e">
        <f t="shared" si="29"/>
        <v>#N/A</v>
      </c>
      <c r="AV150" s="96" t="e">
        <f t="shared" ca="1" si="30"/>
        <v>#N/A</v>
      </c>
      <c r="AW150" s="96" t="e">
        <f t="shared" ca="1" si="31"/>
        <v>#N/A</v>
      </c>
      <c r="AX150" s="96" t="e">
        <f t="shared" ca="1" si="32"/>
        <v>#N/A</v>
      </c>
      <c r="AY150" s="96" t="e">
        <f t="shared" ca="1" si="33"/>
        <v>#N/A</v>
      </c>
      <c r="AZ150" s="96" t="e">
        <f t="shared" ca="1" si="34"/>
        <v>#N/A</v>
      </c>
      <c r="BA150" s="96" t="e">
        <f t="shared" ca="1" si="35"/>
        <v>#N/A</v>
      </c>
      <c r="BB150" s="96" t="e">
        <f t="shared" ca="1" si="36"/>
        <v>#N/A</v>
      </c>
      <c r="BC150" s="96" t="e">
        <f t="shared" ca="1" si="37"/>
        <v>#N/A</v>
      </c>
      <c r="BD150" s="96" t="e">
        <f t="shared" ca="1" si="38"/>
        <v>#N/A</v>
      </c>
      <c r="BE150" s="96" t="e">
        <f t="shared" ca="1" si="39"/>
        <v>#N/A</v>
      </c>
      <c r="BF150" s="96" t="e">
        <f t="shared" ca="1" si="40"/>
        <v>#N/A</v>
      </c>
      <c r="BG150" s="96" t="e">
        <f t="shared" ca="1" si="41"/>
        <v>#N/A</v>
      </c>
    </row>
    <row r="151" spans="2:59" ht="15" customHeight="1">
      <c r="B151" s="2"/>
      <c r="Q151" s="2"/>
      <c r="AF151" s="2"/>
      <c r="AU151" s="2" t="e">
        <f t="shared" si="29"/>
        <v>#N/A</v>
      </c>
      <c r="AV151" s="96" t="e">
        <f t="shared" ca="1" si="30"/>
        <v>#N/A</v>
      </c>
      <c r="AW151" s="96" t="e">
        <f t="shared" ca="1" si="31"/>
        <v>#N/A</v>
      </c>
      <c r="AX151" s="96" t="e">
        <f t="shared" ca="1" si="32"/>
        <v>#N/A</v>
      </c>
      <c r="AY151" s="96" t="e">
        <f t="shared" ca="1" si="33"/>
        <v>#N/A</v>
      </c>
      <c r="AZ151" s="96" t="e">
        <f t="shared" ca="1" si="34"/>
        <v>#N/A</v>
      </c>
      <c r="BA151" s="96" t="e">
        <f t="shared" ca="1" si="35"/>
        <v>#N/A</v>
      </c>
      <c r="BB151" s="96" t="e">
        <f t="shared" ca="1" si="36"/>
        <v>#N/A</v>
      </c>
      <c r="BC151" s="96" t="e">
        <f t="shared" ca="1" si="37"/>
        <v>#N/A</v>
      </c>
      <c r="BD151" s="96" t="e">
        <f t="shared" ca="1" si="38"/>
        <v>#N/A</v>
      </c>
      <c r="BE151" s="96" t="e">
        <f t="shared" ca="1" si="39"/>
        <v>#N/A</v>
      </c>
      <c r="BF151" s="96" t="e">
        <f t="shared" ca="1" si="40"/>
        <v>#N/A</v>
      </c>
      <c r="BG151" s="96" t="e">
        <f t="shared" ca="1" si="41"/>
        <v>#N/A</v>
      </c>
    </row>
    <row r="152" spans="2:59" ht="15" customHeight="1">
      <c r="B152" s="2"/>
      <c r="Q152" s="2"/>
      <c r="AF152" s="2"/>
      <c r="AU152" s="2" t="e">
        <f t="shared" si="29"/>
        <v>#N/A</v>
      </c>
      <c r="AV152" s="96" t="e">
        <f t="shared" ca="1" si="30"/>
        <v>#N/A</v>
      </c>
      <c r="AW152" s="96" t="e">
        <f t="shared" ca="1" si="31"/>
        <v>#N/A</v>
      </c>
      <c r="AX152" s="96" t="e">
        <f t="shared" ca="1" si="32"/>
        <v>#N/A</v>
      </c>
      <c r="AY152" s="96" t="e">
        <f t="shared" ca="1" si="33"/>
        <v>#N/A</v>
      </c>
      <c r="AZ152" s="96" t="e">
        <f t="shared" ca="1" si="34"/>
        <v>#N/A</v>
      </c>
      <c r="BA152" s="96" t="e">
        <f t="shared" ca="1" si="35"/>
        <v>#N/A</v>
      </c>
      <c r="BB152" s="96" t="e">
        <f t="shared" ca="1" si="36"/>
        <v>#N/A</v>
      </c>
      <c r="BC152" s="96" t="e">
        <f t="shared" ca="1" si="37"/>
        <v>#N/A</v>
      </c>
      <c r="BD152" s="96" t="e">
        <f t="shared" ca="1" si="38"/>
        <v>#N/A</v>
      </c>
      <c r="BE152" s="96" t="e">
        <f t="shared" ca="1" si="39"/>
        <v>#N/A</v>
      </c>
      <c r="BF152" s="96" t="e">
        <f t="shared" ca="1" si="40"/>
        <v>#N/A</v>
      </c>
      <c r="BG152" s="96" t="e">
        <f t="shared" ca="1" si="41"/>
        <v>#N/A</v>
      </c>
    </row>
    <row r="153" spans="2:59" ht="15" customHeight="1">
      <c r="B153" s="2"/>
      <c r="Q153" s="2"/>
      <c r="AF153" s="2"/>
      <c r="AU153" s="2" t="e">
        <f t="shared" si="29"/>
        <v>#N/A</v>
      </c>
      <c r="AV153" s="96" t="e">
        <f t="shared" ca="1" si="30"/>
        <v>#N/A</v>
      </c>
      <c r="AW153" s="96" t="e">
        <f t="shared" ca="1" si="31"/>
        <v>#N/A</v>
      </c>
      <c r="AX153" s="96" t="e">
        <f t="shared" ca="1" si="32"/>
        <v>#N/A</v>
      </c>
      <c r="AY153" s="96" t="e">
        <f t="shared" ca="1" si="33"/>
        <v>#N/A</v>
      </c>
      <c r="AZ153" s="96" t="e">
        <f t="shared" ca="1" si="34"/>
        <v>#N/A</v>
      </c>
      <c r="BA153" s="96" t="e">
        <f t="shared" ca="1" si="35"/>
        <v>#N/A</v>
      </c>
      <c r="BB153" s="96" t="e">
        <f t="shared" ca="1" si="36"/>
        <v>#N/A</v>
      </c>
      <c r="BC153" s="96" t="e">
        <f t="shared" ca="1" si="37"/>
        <v>#N/A</v>
      </c>
      <c r="BD153" s="96" t="e">
        <f t="shared" ca="1" si="38"/>
        <v>#N/A</v>
      </c>
      <c r="BE153" s="96" t="e">
        <f t="shared" ca="1" si="39"/>
        <v>#N/A</v>
      </c>
      <c r="BF153" s="96" t="e">
        <f t="shared" ca="1" si="40"/>
        <v>#N/A</v>
      </c>
      <c r="BG153" s="96" t="e">
        <f t="shared" ca="1" si="41"/>
        <v>#N/A</v>
      </c>
    </row>
    <row r="154" spans="2:59" ht="15" customHeight="1">
      <c r="B154" s="2"/>
      <c r="Q154" s="2"/>
      <c r="AF154" s="2"/>
      <c r="AU154" s="2" t="e">
        <f t="shared" si="29"/>
        <v>#N/A</v>
      </c>
      <c r="AV154" s="96" t="e">
        <f t="shared" ca="1" si="30"/>
        <v>#N/A</v>
      </c>
      <c r="AW154" s="96" t="e">
        <f t="shared" ca="1" si="31"/>
        <v>#N/A</v>
      </c>
      <c r="AX154" s="96" t="e">
        <f t="shared" ca="1" si="32"/>
        <v>#N/A</v>
      </c>
      <c r="AY154" s="96" t="e">
        <f t="shared" ca="1" si="33"/>
        <v>#N/A</v>
      </c>
      <c r="AZ154" s="96" t="e">
        <f t="shared" ca="1" si="34"/>
        <v>#N/A</v>
      </c>
      <c r="BA154" s="96" t="e">
        <f t="shared" ca="1" si="35"/>
        <v>#N/A</v>
      </c>
      <c r="BB154" s="96" t="e">
        <f t="shared" ca="1" si="36"/>
        <v>#N/A</v>
      </c>
      <c r="BC154" s="96" t="e">
        <f t="shared" ca="1" si="37"/>
        <v>#N/A</v>
      </c>
      <c r="BD154" s="96" t="e">
        <f t="shared" ca="1" si="38"/>
        <v>#N/A</v>
      </c>
      <c r="BE154" s="96" t="e">
        <f t="shared" ca="1" si="39"/>
        <v>#N/A</v>
      </c>
      <c r="BF154" s="96" t="e">
        <f t="shared" ca="1" si="40"/>
        <v>#N/A</v>
      </c>
      <c r="BG154" s="96" t="e">
        <f t="shared" ca="1" si="41"/>
        <v>#N/A</v>
      </c>
    </row>
    <row r="155" spans="2:59" ht="15" customHeight="1">
      <c r="B155" s="2"/>
      <c r="Q155" s="2"/>
      <c r="AF155" s="2"/>
      <c r="AU155" s="2" t="e">
        <f t="shared" si="29"/>
        <v>#N/A</v>
      </c>
      <c r="AV155" s="96" t="e">
        <f t="shared" ca="1" si="30"/>
        <v>#N/A</v>
      </c>
      <c r="AW155" s="96" t="e">
        <f t="shared" ca="1" si="31"/>
        <v>#N/A</v>
      </c>
      <c r="AX155" s="96" t="e">
        <f t="shared" ca="1" si="32"/>
        <v>#N/A</v>
      </c>
      <c r="AY155" s="96" t="e">
        <f t="shared" ca="1" si="33"/>
        <v>#N/A</v>
      </c>
      <c r="AZ155" s="96" t="e">
        <f t="shared" ca="1" si="34"/>
        <v>#N/A</v>
      </c>
      <c r="BA155" s="96" t="e">
        <f t="shared" ca="1" si="35"/>
        <v>#N/A</v>
      </c>
      <c r="BB155" s="96" t="e">
        <f t="shared" ca="1" si="36"/>
        <v>#N/A</v>
      </c>
      <c r="BC155" s="96" t="e">
        <f t="shared" ca="1" si="37"/>
        <v>#N/A</v>
      </c>
      <c r="BD155" s="96" t="e">
        <f t="shared" ca="1" si="38"/>
        <v>#N/A</v>
      </c>
      <c r="BE155" s="96" t="e">
        <f t="shared" ca="1" si="39"/>
        <v>#N/A</v>
      </c>
      <c r="BF155" s="96" t="e">
        <f t="shared" ca="1" si="40"/>
        <v>#N/A</v>
      </c>
      <c r="BG155" s="96" t="e">
        <f t="shared" ca="1" si="41"/>
        <v>#N/A</v>
      </c>
    </row>
    <row r="156" spans="2:59" ht="15" customHeight="1">
      <c r="B156" s="2"/>
      <c r="Q156" s="2"/>
      <c r="AF156" s="2"/>
      <c r="AU156" s="2" t="e">
        <f t="shared" si="29"/>
        <v>#N/A</v>
      </c>
      <c r="AV156" s="96" t="e">
        <f t="shared" ca="1" si="30"/>
        <v>#N/A</v>
      </c>
      <c r="AW156" s="96" t="e">
        <f t="shared" ca="1" si="31"/>
        <v>#N/A</v>
      </c>
      <c r="AX156" s="96" t="e">
        <f t="shared" ca="1" si="32"/>
        <v>#N/A</v>
      </c>
      <c r="AY156" s="96" t="e">
        <f t="shared" ca="1" si="33"/>
        <v>#N/A</v>
      </c>
      <c r="AZ156" s="96" t="e">
        <f t="shared" ca="1" si="34"/>
        <v>#N/A</v>
      </c>
      <c r="BA156" s="96" t="e">
        <f t="shared" ca="1" si="35"/>
        <v>#N/A</v>
      </c>
      <c r="BB156" s="96" t="e">
        <f t="shared" ca="1" si="36"/>
        <v>#N/A</v>
      </c>
      <c r="BC156" s="96" t="e">
        <f t="shared" ca="1" si="37"/>
        <v>#N/A</v>
      </c>
      <c r="BD156" s="96" t="e">
        <f t="shared" ca="1" si="38"/>
        <v>#N/A</v>
      </c>
      <c r="BE156" s="96" t="e">
        <f t="shared" ca="1" si="39"/>
        <v>#N/A</v>
      </c>
      <c r="BF156" s="96" t="e">
        <f t="shared" ca="1" si="40"/>
        <v>#N/A</v>
      </c>
      <c r="BG156" s="96" t="e">
        <f t="shared" ca="1" si="41"/>
        <v>#N/A</v>
      </c>
    </row>
    <row r="157" spans="2:59" ht="15" customHeight="1">
      <c r="B157" s="2"/>
      <c r="Q157" s="2"/>
      <c r="AF157" s="2"/>
      <c r="AU157" s="2" t="e">
        <f t="shared" si="29"/>
        <v>#N/A</v>
      </c>
      <c r="AV157" s="96" t="e">
        <f t="shared" ca="1" si="30"/>
        <v>#N/A</v>
      </c>
      <c r="AW157" s="96" t="e">
        <f t="shared" ca="1" si="31"/>
        <v>#N/A</v>
      </c>
      <c r="AX157" s="96" t="e">
        <f t="shared" ca="1" si="32"/>
        <v>#N/A</v>
      </c>
      <c r="AY157" s="96" t="e">
        <f t="shared" ca="1" si="33"/>
        <v>#N/A</v>
      </c>
      <c r="AZ157" s="96" t="e">
        <f t="shared" ca="1" si="34"/>
        <v>#N/A</v>
      </c>
      <c r="BA157" s="96" t="e">
        <f t="shared" ca="1" si="35"/>
        <v>#N/A</v>
      </c>
      <c r="BB157" s="96" t="e">
        <f t="shared" ca="1" si="36"/>
        <v>#N/A</v>
      </c>
      <c r="BC157" s="96" t="e">
        <f t="shared" ca="1" si="37"/>
        <v>#N/A</v>
      </c>
      <c r="BD157" s="96" t="e">
        <f t="shared" ca="1" si="38"/>
        <v>#N/A</v>
      </c>
      <c r="BE157" s="96" t="e">
        <f t="shared" ca="1" si="39"/>
        <v>#N/A</v>
      </c>
      <c r="BF157" s="96" t="e">
        <f t="shared" ca="1" si="40"/>
        <v>#N/A</v>
      </c>
      <c r="BG157" s="96" t="e">
        <f t="shared" ca="1" si="41"/>
        <v>#N/A</v>
      </c>
    </row>
    <row r="158" spans="2:59" ht="15" customHeight="1">
      <c r="B158" s="2"/>
      <c r="Q158" s="2"/>
      <c r="AF158" s="2"/>
      <c r="AU158" s="2" t="e">
        <f t="shared" si="29"/>
        <v>#N/A</v>
      </c>
      <c r="AV158" s="96" t="e">
        <f t="shared" ca="1" si="30"/>
        <v>#N/A</v>
      </c>
      <c r="AW158" s="96" t="e">
        <f t="shared" ca="1" si="31"/>
        <v>#N/A</v>
      </c>
      <c r="AX158" s="96" t="e">
        <f t="shared" ca="1" si="32"/>
        <v>#N/A</v>
      </c>
      <c r="AY158" s="96" t="e">
        <f t="shared" ca="1" si="33"/>
        <v>#N/A</v>
      </c>
      <c r="AZ158" s="96" t="e">
        <f t="shared" ca="1" si="34"/>
        <v>#N/A</v>
      </c>
      <c r="BA158" s="96" t="e">
        <f t="shared" ca="1" si="35"/>
        <v>#N/A</v>
      </c>
      <c r="BB158" s="96" t="e">
        <f t="shared" ca="1" si="36"/>
        <v>#N/A</v>
      </c>
      <c r="BC158" s="96" t="e">
        <f t="shared" ca="1" si="37"/>
        <v>#N/A</v>
      </c>
      <c r="BD158" s="96" t="e">
        <f t="shared" ca="1" si="38"/>
        <v>#N/A</v>
      </c>
      <c r="BE158" s="96" t="e">
        <f t="shared" ca="1" si="39"/>
        <v>#N/A</v>
      </c>
      <c r="BF158" s="96" t="e">
        <f t="shared" ca="1" si="40"/>
        <v>#N/A</v>
      </c>
      <c r="BG158" s="96" t="e">
        <f t="shared" ca="1" si="41"/>
        <v>#N/A</v>
      </c>
    </row>
    <row r="159" spans="2:59" ht="15" customHeight="1">
      <c r="B159" s="2"/>
      <c r="Q159" s="2"/>
      <c r="AF159" s="2"/>
      <c r="AU159" s="2" t="e">
        <f t="shared" si="29"/>
        <v>#N/A</v>
      </c>
      <c r="AV159" s="96" t="e">
        <f t="shared" ca="1" si="30"/>
        <v>#N/A</v>
      </c>
      <c r="AW159" s="96" t="e">
        <f t="shared" ca="1" si="31"/>
        <v>#N/A</v>
      </c>
      <c r="AX159" s="96" t="e">
        <f t="shared" ca="1" si="32"/>
        <v>#N/A</v>
      </c>
      <c r="AY159" s="96" t="e">
        <f t="shared" ca="1" si="33"/>
        <v>#N/A</v>
      </c>
      <c r="AZ159" s="96" t="e">
        <f t="shared" ca="1" si="34"/>
        <v>#N/A</v>
      </c>
      <c r="BA159" s="96" t="e">
        <f t="shared" ca="1" si="35"/>
        <v>#N/A</v>
      </c>
      <c r="BB159" s="96" t="e">
        <f t="shared" ca="1" si="36"/>
        <v>#N/A</v>
      </c>
      <c r="BC159" s="96" t="e">
        <f t="shared" ca="1" si="37"/>
        <v>#N/A</v>
      </c>
      <c r="BD159" s="96" t="e">
        <f t="shared" ca="1" si="38"/>
        <v>#N/A</v>
      </c>
      <c r="BE159" s="96" t="e">
        <f t="shared" ca="1" si="39"/>
        <v>#N/A</v>
      </c>
      <c r="BF159" s="96" t="e">
        <f t="shared" ca="1" si="40"/>
        <v>#N/A</v>
      </c>
      <c r="BG159" s="96" t="e">
        <f t="shared" ca="1" si="41"/>
        <v>#N/A</v>
      </c>
    </row>
    <row r="160" spans="2:59" ht="15" customHeight="1">
      <c r="B160" s="2"/>
      <c r="Q160" s="2"/>
      <c r="AF160" s="2"/>
      <c r="AU160" s="2" t="e">
        <f t="shared" si="29"/>
        <v>#N/A</v>
      </c>
      <c r="AV160" s="96" t="e">
        <f t="shared" ca="1" si="30"/>
        <v>#N/A</v>
      </c>
      <c r="AW160" s="96" t="e">
        <f t="shared" ca="1" si="31"/>
        <v>#N/A</v>
      </c>
      <c r="AX160" s="96" t="e">
        <f t="shared" ca="1" si="32"/>
        <v>#N/A</v>
      </c>
      <c r="AY160" s="96" t="e">
        <f t="shared" ca="1" si="33"/>
        <v>#N/A</v>
      </c>
      <c r="AZ160" s="96" t="e">
        <f t="shared" ca="1" si="34"/>
        <v>#N/A</v>
      </c>
      <c r="BA160" s="96" t="e">
        <f t="shared" ca="1" si="35"/>
        <v>#N/A</v>
      </c>
      <c r="BB160" s="96" t="e">
        <f t="shared" ca="1" si="36"/>
        <v>#N/A</v>
      </c>
      <c r="BC160" s="96" t="e">
        <f t="shared" ca="1" si="37"/>
        <v>#N/A</v>
      </c>
      <c r="BD160" s="96" t="e">
        <f t="shared" ca="1" si="38"/>
        <v>#N/A</v>
      </c>
      <c r="BE160" s="96" t="e">
        <f t="shared" ca="1" si="39"/>
        <v>#N/A</v>
      </c>
      <c r="BF160" s="96" t="e">
        <f t="shared" ca="1" si="40"/>
        <v>#N/A</v>
      </c>
      <c r="BG160" s="96" t="e">
        <f t="shared" ca="1" si="41"/>
        <v>#N/A</v>
      </c>
    </row>
    <row r="161" spans="2:59" ht="15" customHeight="1">
      <c r="B161" s="2"/>
      <c r="Q161" s="2"/>
      <c r="AF161" s="2"/>
      <c r="AU161" s="2" t="e">
        <f t="shared" si="29"/>
        <v>#N/A</v>
      </c>
      <c r="AV161" s="96" t="e">
        <f t="shared" ca="1" si="30"/>
        <v>#N/A</v>
      </c>
      <c r="AW161" s="96" t="e">
        <f t="shared" ca="1" si="31"/>
        <v>#N/A</v>
      </c>
      <c r="AX161" s="96" t="e">
        <f t="shared" ca="1" si="32"/>
        <v>#N/A</v>
      </c>
      <c r="AY161" s="96" t="e">
        <f t="shared" ca="1" si="33"/>
        <v>#N/A</v>
      </c>
      <c r="AZ161" s="96" t="e">
        <f t="shared" ca="1" si="34"/>
        <v>#N/A</v>
      </c>
      <c r="BA161" s="96" t="e">
        <f t="shared" ca="1" si="35"/>
        <v>#N/A</v>
      </c>
      <c r="BB161" s="96" t="e">
        <f t="shared" ca="1" si="36"/>
        <v>#N/A</v>
      </c>
      <c r="BC161" s="96" t="e">
        <f t="shared" ca="1" si="37"/>
        <v>#N/A</v>
      </c>
      <c r="BD161" s="96" t="e">
        <f t="shared" ca="1" si="38"/>
        <v>#N/A</v>
      </c>
      <c r="BE161" s="96" t="e">
        <f t="shared" ca="1" si="39"/>
        <v>#N/A</v>
      </c>
      <c r="BF161" s="96" t="e">
        <f t="shared" ca="1" si="40"/>
        <v>#N/A</v>
      </c>
      <c r="BG161" s="96" t="e">
        <f t="shared" ca="1" si="41"/>
        <v>#N/A</v>
      </c>
    </row>
    <row r="162" spans="2:59" ht="15" customHeight="1">
      <c r="B162" s="2"/>
      <c r="Q162" s="2"/>
      <c r="AF162" s="2"/>
      <c r="AU162" s="2" t="e">
        <f t="shared" si="29"/>
        <v>#N/A</v>
      </c>
      <c r="AV162" s="96" t="e">
        <f t="shared" ca="1" si="30"/>
        <v>#N/A</v>
      </c>
      <c r="AW162" s="96" t="e">
        <f t="shared" ca="1" si="31"/>
        <v>#N/A</v>
      </c>
      <c r="AX162" s="96" t="e">
        <f t="shared" ca="1" si="32"/>
        <v>#N/A</v>
      </c>
      <c r="AY162" s="96" t="e">
        <f t="shared" ca="1" si="33"/>
        <v>#N/A</v>
      </c>
      <c r="AZ162" s="96" t="e">
        <f t="shared" ca="1" si="34"/>
        <v>#N/A</v>
      </c>
      <c r="BA162" s="96" t="e">
        <f t="shared" ca="1" si="35"/>
        <v>#N/A</v>
      </c>
      <c r="BB162" s="96" t="e">
        <f t="shared" ca="1" si="36"/>
        <v>#N/A</v>
      </c>
      <c r="BC162" s="96" t="e">
        <f t="shared" ca="1" si="37"/>
        <v>#N/A</v>
      </c>
      <c r="BD162" s="96" t="e">
        <f t="shared" ca="1" si="38"/>
        <v>#N/A</v>
      </c>
      <c r="BE162" s="96" t="e">
        <f t="shared" ca="1" si="39"/>
        <v>#N/A</v>
      </c>
      <c r="BF162" s="96" t="e">
        <f t="shared" ca="1" si="40"/>
        <v>#N/A</v>
      </c>
      <c r="BG162" s="96" t="e">
        <f t="shared" ca="1" si="41"/>
        <v>#N/A</v>
      </c>
    </row>
    <row r="163" spans="2:59" ht="15" customHeight="1">
      <c r="B163" s="2"/>
      <c r="Q163" s="2"/>
      <c r="AF163" s="2"/>
      <c r="AU163" s="2" t="e">
        <f t="shared" si="29"/>
        <v>#N/A</v>
      </c>
      <c r="AV163" s="96" t="e">
        <f t="shared" ca="1" si="30"/>
        <v>#N/A</v>
      </c>
      <c r="AW163" s="96" t="e">
        <f t="shared" ca="1" si="31"/>
        <v>#N/A</v>
      </c>
      <c r="AX163" s="96" t="e">
        <f t="shared" ca="1" si="32"/>
        <v>#N/A</v>
      </c>
      <c r="AY163" s="96" t="e">
        <f t="shared" ca="1" si="33"/>
        <v>#N/A</v>
      </c>
      <c r="AZ163" s="96" t="e">
        <f t="shared" ca="1" si="34"/>
        <v>#N/A</v>
      </c>
      <c r="BA163" s="96" t="e">
        <f t="shared" ca="1" si="35"/>
        <v>#N/A</v>
      </c>
      <c r="BB163" s="96" t="e">
        <f t="shared" ca="1" si="36"/>
        <v>#N/A</v>
      </c>
      <c r="BC163" s="96" t="e">
        <f t="shared" ca="1" si="37"/>
        <v>#N/A</v>
      </c>
      <c r="BD163" s="96" t="e">
        <f t="shared" ca="1" si="38"/>
        <v>#N/A</v>
      </c>
      <c r="BE163" s="96" t="e">
        <f t="shared" ca="1" si="39"/>
        <v>#N/A</v>
      </c>
      <c r="BF163" s="96" t="e">
        <f t="shared" ca="1" si="40"/>
        <v>#N/A</v>
      </c>
      <c r="BG163" s="96" t="e">
        <f t="shared" ca="1" si="41"/>
        <v>#N/A</v>
      </c>
    </row>
    <row r="164" spans="2:59" ht="15" customHeight="1">
      <c r="B164" s="2"/>
      <c r="Q164" s="2"/>
      <c r="AF164" s="2"/>
      <c r="AU164" s="2" t="e">
        <f t="shared" si="29"/>
        <v>#N/A</v>
      </c>
      <c r="AV164" s="96" t="e">
        <f t="shared" ca="1" si="30"/>
        <v>#N/A</v>
      </c>
      <c r="AW164" s="96" t="e">
        <f t="shared" ca="1" si="31"/>
        <v>#N/A</v>
      </c>
      <c r="AX164" s="96" t="e">
        <f t="shared" ca="1" si="32"/>
        <v>#N/A</v>
      </c>
      <c r="AY164" s="96" t="e">
        <f t="shared" ca="1" si="33"/>
        <v>#N/A</v>
      </c>
      <c r="AZ164" s="96" t="e">
        <f t="shared" ca="1" si="34"/>
        <v>#N/A</v>
      </c>
      <c r="BA164" s="96" t="e">
        <f t="shared" ca="1" si="35"/>
        <v>#N/A</v>
      </c>
      <c r="BB164" s="96" t="e">
        <f t="shared" ca="1" si="36"/>
        <v>#N/A</v>
      </c>
      <c r="BC164" s="96" t="e">
        <f t="shared" ca="1" si="37"/>
        <v>#N/A</v>
      </c>
      <c r="BD164" s="96" t="e">
        <f t="shared" ca="1" si="38"/>
        <v>#N/A</v>
      </c>
      <c r="BE164" s="96" t="e">
        <f t="shared" ca="1" si="39"/>
        <v>#N/A</v>
      </c>
      <c r="BF164" s="96" t="e">
        <f t="shared" ca="1" si="40"/>
        <v>#N/A</v>
      </c>
      <c r="BG164" s="96" t="e">
        <f t="shared" ca="1" si="41"/>
        <v>#N/A</v>
      </c>
    </row>
    <row r="165" spans="2:59" ht="15" customHeight="1">
      <c r="B165" s="2"/>
      <c r="Q165" s="2"/>
      <c r="AF165" s="2"/>
      <c r="AU165" s="2" t="e">
        <f t="shared" si="29"/>
        <v>#N/A</v>
      </c>
      <c r="AV165" s="96" t="e">
        <f t="shared" ca="1" si="30"/>
        <v>#N/A</v>
      </c>
      <c r="AW165" s="96" t="e">
        <f t="shared" ca="1" si="31"/>
        <v>#N/A</v>
      </c>
      <c r="AX165" s="96" t="e">
        <f t="shared" ca="1" si="32"/>
        <v>#N/A</v>
      </c>
      <c r="AY165" s="96" t="e">
        <f t="shared" ca="1" si="33"/>
        <v>#N/A</v>
      </c>
      <c r="AZ165" s="96" t="e">
        <f t="shared" ca="1" si="34"/>
        <v>#N/A</v>
      </c>
      <c r="BA165" s="96" t="e">
        <f t="shared" ca="1" si="35"/>
        <v>#N/A</v>
      </c>
      <c r="BB165" s="96" t="e">
        <f t="shared" ca="1" si="36"/>
        <v>#N/A</v>
      </c>
      <c r="BC165" s="96" t="e">
        <f t="shared" ca="1" si="37"/>
        <v>#N/A</v>
      </c>
      <c r="BD165" s="96" t="e">
        <f t="shared" ca="1" si="38"/>
        <v>#N/A</v>
      </c>
      <c r="BE165" s="96" t="e">
        <f t="shared" ca="1" si="39"/>
        <v>#N/A</v>
      </c>
      <c r="BF165" s="96" t="e">
        <f t="shared" ca="1" si="40"/>
        <v>#N/A</v>
      </c>
      <c r="BG165" s="96" t="e">
        <f t="shared" ca="1" si="41"/>
        <v>#N/A</v>
      </c>
    </row>
    <row r="166" spans="2:59" ht="15" customHeight="1">
      <c r="B166" s="2"/>
      <c r="Q166" s="2"/>
      <c r="AF166" s="2"/>
      <c r="AU166" s="2" t="e">
        <f t="shared" si="29"/>
        <v>#N/A</v>
      </c>
      <c r="AV166" s="96" t="e">
        <f t="shared" ca="1" si="30"/>
        <v>#N/A</v>
      </c>
      <c r="AW166" s="96" t="e">
        <f t="shared" ca="1" si="31"/>
        <v>#N/A</v>
      </c>
      <c r="AX166" s="96" t="e">
        <f t="shared" ca="1" si="32"/>
        <v>#N/A</v>
      </c>
      <c r="AY166" s="96" t="e">
        <f t="shared" ca="1" si="33"/>
        <v>#N/A</v>
      </c>
      <c r="AZ166" s="96" t="e">
        <f t="shared" ca="1" si="34"/>
        <v>#N/A</v>
      </c>
      <c r="BA166" s="96" t="e">
        <f t="shared" ca="1" si="35"/>
        <v>#N/A</v>
      </c>
      <c r="BB166" s="96" t="e">
        <f t="shared" ca="1" si="36"/>
        <v>#N/A</v>
      </c>
      <c r="BC166" s="96" t="e">
        <f t="shared" ca="1" si="37"/>
        <v>#N/A</v>
      </c>
      <c r="BD166" s="96" t="e">
        <f t="shared" ca="1" si="38"/>
        <v>#N/A</v>
      </c>
      <c r="BE166" s="96" t="e">
        <f t="shared" ca="1" si="39"/>
        <v>#N/A</v>
      </c>
      <c r="BF166" s="96" t="e">
        <f t="shared" ca="1" si="40"/>
        <v>#N/A</v>
      </c>
      <c r="BG166" s="96" t="e">
        <f t="shared" ca="1" si="41"/>
        <v>#N/A</v>
      </c>
    </row>
    <row r="167" spans="2:59" ht="15" customHeight="1">
      <c r="B167" s="2"/>
      <c r="Q167" s="2"/>
      <c r="AF167" s="2"/>
      <c r="AU167" s="2" t="e">
        <f t="shared" si="29"/>
        <v>#N/A</v>
      </c>
      <c r="AV167" s="96" t="e">
        <f t="shared" ca="1" si="30"/>
        <v>#N/A</v>
      </c>
      <c r="AW167" s="96" t="e">
        <f t="shared" ca="1" si="31"/>
        <v>#N/A</v>
      </c>
      <c r="AX167" s="96" t="e">
        <f t="shared" ca="1" si="32"/>
        <v>#N/A</v>
      </c>
      <c r="AY167" s="96" t="e">
        <f t="shared" ca="1" si="33"/>
        <v>#N/A</v>
      </c>
      <c r="AZ167" s="96" t="e">
        <f t="shared" ca="1" si="34"/>
        <v>#N/A</v>
      </c>
      <c r="BA167" s="96" t="e">
        <f t="shared" ca="1" si="35"/>
        <v>#N/A</v>
      </c>
      <c r="BB167" s="96" t="e">
        <f t="shared" ca="1" si="36"/>
        <v>#N/A</v>
      </c>
      <c r="BC167" s="96" t="e">
        <f t="shared" ca="1" si="37"/>
        <v>#N/A</v>
      </c>
      <c r="BD167" s="96" t="e">
        <f t="shared" ca="1" si="38"/>
        <v>#N/A</v>
      </c>
      <c r="BE167" s="96" t="e">
        <f t="shared" ca="1" si="39"/>
        <v>#N/A</v>
      </c>
      <c r="BF167" s="96" t="e">
        <f t="shared" ca="1" si="40"/>
        <v>#N/A</v>
      </c>
      <c r="BG167" s="96" t="e">
        <f t="shared" ca="1" si="41"/>
        <v>#N/A</v>
      </c>
    </row>
    <row r="168" spans="2:59" ht="15" customHeight="1">
      <c r="B168" s="2"/>
      <c r="Q168" s="2"/>
      <c r="AF168" s="2"/>
      <c r="AU168" s="2" t="e">
        <f t="shared" si="29"/>
        <v>#N/A</v>
      </c>
      <c r="AV168" s="96" t="e">
        <f t="shared" ca="1" si="30"/>
        <v>#N/A</v>
      </c>
      <c r="AW168" s="96" t="e">
        <f t="shared" ca="1" si="31"/>
        <v>#N/A</v>
      </c>
      <c r="AX168" s="96" t="e">
        <f t="shared" ca="1" si="32"/>
        <v>#N/A</v>
      </c>
      <c r="AY168" s="96" t="e">
        <f t="shared" ca="1" si="33"/>
        <v>#N/A</v>
      </c>
      <c r="AZ168" s="96" t="e">
        <f t="shared" ca="1" si="34"/>
        <v>#N/A</v>
      </c>
      <c r="BA168" s="96" t="e">
        <f t="shared" ca="1" si="35"/>
        <v>#N/A</v>
      </c>
      <c r="BB168" s="96" t="e">
        <f t="shared" ca="1" si="36"/>
        <v>#N/A</v>
      </c>
      <c r="BC168" s="96" t="e">
        <f t="shared" ca="1" si="37"/>
        <v>#N/A</v>
      </c>
      <c r="BD168" s="96" t="e">
        <f t="shared" ca="1" si="38"/>
        <v>#N/A</v>
      </c>
      <c r="BE168" s="96" t="e">
        <f t="shared" ca="1" si="39"/>
        <v>#N/A</v>
      </c>
      <c r="BF168" s="96" t="e">
        <f t="shared" ca="1" si="40"/>
        <v>#N/A</v>
      </c>
      <c r="BG168" s="96" t="e">
        <f t="shared" ca="1" si="41"/>
        <v>#N/A</v>
      </c>
    </row>
    <row r="169" spans="2:59" ht="15" customHeight="1">
      <c r="B169" s="2"/>
      <c r="Q169" s="2"/>
      <c r="AF169" s="2"/>
      <c r="AU169" s="2" t="e">
        <f t="shared" si="29"/>
        <v>#N/A</v>
      </c>
      <c r="AV169" s="96" t="e">
        <f t="shared" ca="1" si="30"/>
        <v>#N/A</v>
      </c>
      <c r="AW169" s="96" t="e">
        <f t="shared" ca="1" si="31"/>
        <v>#N/A</v>
      </c>
      <c r="AX169" s="96" t="e">
        <f t="shared" ca="1" si="32"/>
        <v>#N/A</v>
      </c>
      <c r="AY169" s="96" t="e">
        <f t="shared" ca="1" si="33"/>
        <v>#N/A</v>
      </c>
      <c r="AZ169" s="96" t="e">
        <f t="shared" ca="1" si="34"/>
        <v>#N/A</v>
      </c>
      <c r="BA169" s="96" t="e">
        <f t="shared" ca="1" si="35"/>
        <v>#N/A</v>
      </c>
      <c r="BB169" s="96" t="e">
        <f t="shared" ca="1" si="36"/>
        <v>#N/A</v>
      </c>
      <c r="BC169" s="96" t="e">
        <f t="shared" ca="1" si="37"/>
        <v>#N/A</v>
      </c>
      <c r="BD169" s="96" t="e">
        <f t="shared" ca="1" si="38"/>
        <v>#N/A</v>
      </c>
      <c r="BE169" s="96" t="e">
        <f t="shared" ca="1" si="39"/>
        <v>#N/A</v>
      </c>
      <c r="BF169" s="96" t="e">
        <f t="shared" ca="1" si="40"/>
        <v>#N/A</v>
      </c>
      <c r="BG169" s="96" t="e">
        <f t="shared" ca="1" si="41"/>
        <v>#N/A</v>
      </c>
    </row>
    <row r="170" spans="2:59" ht="15" customHeight="1">
      <c r="B170" s="2"/>
      <c r="Q170" s="2"/>
      <c r="AF170" s="2"/>
      <c r="AU170" s="2" t="e">
        <f t="shared" si="29"/>
        <v>#N/A</v>
      </c>
      <c r="AV170" s="96" t="e">
        <f t="shared" ca="1" si="30"/>
        <v>#N/A</v>
      </c>
      <c r="AW170" s="96" t="e">
        <f t="shared" ca="1" si="31"/>
        <v>#N/A</v>
      </c>
      <c r="AX170" s="96" t="e">
        <f t="shared" ca="1" si="32"/>
        <v>#N/A</v>
      </c>
      <c r="AY170" s="96" t="e">
        <f t="shared" ca="1" si="33"/>
        <v>#N/A</v>
      </c>
      <c r="AZ170" s="96" t="e">
        <f t="shared" ca="1" si="34"/>
        <v>#N/A</v>
      </c>
      <c r="BA170" s="96" t="e">
        <f t="shared" ca="1" si="35"/>
        <v>#N/A</v>
      </c>
      <c r="BB170" s="96" t="e">
        <f t="shared" ca="1" si="36"/>
        <v>#N/A</v>
      </c>
      <c r="BC170" s="96" t="e">
        <f t="shared" ca="1" si="37"/>
        <v>#N/A</v>
      </c>
      <c r="BD170" s="96" t="e">
        <f t="shared" ca="1" si="38"/>
        <v>#N/A</v>
      </c>
      <c r="BE170" s="96" t="e">
        <f t="shared" ca="1" si="39"/>
        <v>#N/A</v>
      </c>
      <c r="BF170" s="96" t="e">
        <f t="shared" ca="1" si="40"/>
        <v>#N/A</v>
      </c>
      <c r="BG170" s="96" t="e">
        <f t="shared" ca="1" si="41"/>
        <v>#N/A</v>
      </c>
    </row>
    <row r="171" spans="2:59" ht="15" customHeight="1">
      <c r="B171" s="2"/>
      <c r="Q171" s="2"/>
      <c r="AF171" s="2"/>
      <c r="AU171" s="2" t="e">
        <f t="shared" si="29"/>
        <v>#N/A</v>
      </c>
      <c r="AV171" s="96" t="e">
        <f t="shared" ca="1" si="30"/>
        <v>#N/A</v>
      </c>
      <c r="AW171" s="96" t="e">
        <f t="shared" ca="1" si="31"/>
        <v>#N/A</v>
      </c>
      <c r="AX171" s="96" t="e">
        <f t="shared" ca="1" si="32"/>
        <v>#N/A</v>
      </c>
      <c r="AY171" s="96" t="e">
        <f t="shared" ca="1" si="33"/>
        <v>#N/A</v>
      </c>
      <c r="AZ171" s="96" t="e">
        <f t="shared" ca="1" si="34"/>
        <v>#N/A</v>
      </c>
      <c r="BA171" s="96" t="e">
        <f t="shared" ca="1" si="35"/>
        <v>#N/A</v>
      </c>
      <c r="BB171" s="96" t="e">
        <f t="shared" ca="1" si="36"/>
        <v>#N/A</v>
      </c>
      <c r="BC171" s="96" t="e">
        <f t="shared" ca="1" si="37"/>
        <v>#N/A</v>
      </c>
      <c r="BD171" s="96" t="e">
        <f t="shared" ca="1" si="38"/>
        <v>#N/A</v>
      </c>
      <c r="BE171" s="96" t="e">
        <f t="shared" ca="1" si="39"/>
        <v>#N/A</v>
      </c>
      <c r="BF171" s="96" t="e">
        <f t="shared" ca="1" si="40"/>
        <v>#N/A</v>
      </c>
      <c r="BG171" s="96" t="e">
        <f t="shared" ca="1" si="41"/>
        <v>#N/A</v>
      </c>
    </row>
    <row r="172" spans="2:59" ht="15" customHeight="1">
      <c r="B172" s="2"/>
      <c r="Q172" s="2"/>
      <c r="AF172" s="2"/>
      <c r="AU172" s="2" t="e">
        <f t="shared" si="29"/>
        <v>#N/A</v>
      </c>
      <c r="AV172" s="96" t="e">
        <f t="shared" ca="1" si="30"/>
        <v>#N/A</v>
      </c>
      <c r="AW172" s="96" t="e">
        <f t="shared" ca="1" si="31"/>
        <v>#N/A</v>
      </c>
      <c r="AX172" s="96" t="e">
        <f t="shared" ca="1" si="32"/>
        <v>#N/A</v>
      </c>
      <c r="AY172" s="96" t="e">
        <f t="shared" ca="1" si="33"/>
        <v>#N/A</v>
      </c>
      <c r="AZ172" s="96" t="e">
        <f t="shared" ca="1" si="34"/>
        <v>#N/A</v>
      </c>
      <c r="BA172" s="96" t="e">
        <f t="shared" ca="1" si="35"/>
        <v>#N/A</v>
      </c>
      <c r="BB172" s="96" t="e">
        <f t="shared" ca="1" si="36"/>
        <v>#N/A</v>
      </c>
      <c r="BC172" s="96" t="e">
        <f t="shared" ca="1" si="37"/>
        <v>#N/A</v>
      </c>
      <c r="BD172" s="96" t="e">
        <f t="shared" ca="1" si="38"/>
        <v>#N/A</v>
      </c>
      <c r="BE172" s="96" t="e">
        <f t="shared" ca="1" si="39"/>
        <v>#N/A</v>
      </c>
      <c r="BF172" s="96" t="e">
        <f t="shared" ca="1" si="40"/>
        <v>#N/A</v>
      </c>
      <c r="BG172" s="96" t="e">
        <f t="shared" ca="1" si="41"/>
        <v>#N/A</v>
      </c>
    </row>
    <row r="173" spans="2:59" ht="15" customHeight="1">
      <c r="B173" s="2"/>
      <c r="Q173" s="2"/>
      <c r="AF173" s="2"/>
      <c r="AU173" s="2" t="e">
        <f t="shared" si="29"/>
        <v>#N/A</v>
      </c>
      <c r="AV173" s="96" t="e">
        <f t="shared" ca="1" si="30"/>
        <v>#N/A</v>
      </c>
      <c r="AW173" s="96" t="e">
        <f t="shared" ca="1" si="31"/>
        <v>#N/A</v>
      </c>
      <c r="AX173" s="96" t="e">
        <f t="shared" ca="1" si="32"/>
        <v>#N/A</v>
      </c>
      <c r="AY173" s="96" t="e">
        <f t="shared" ca="1" si="33"/>
        <v>#N/A</v>
      </c>
      <c r="AZ173" s="96" t="e">
        <f t="shared" ca="1" si="34"/>
        <v>#N/A</v>
      </c>
      <c r="BA173" s="96" t="e">
        <f t="shared" ca="1" si="35"/>
        <v>#N/A</v>
      </c>
      <c r="BB173" s="96" t="e">
        <f t="shared" ca="1" si="36"/>
        <v>#N/A</v>
      </c>
      <c r="BC173" s="96" t="e">
        <f t="shared" ca="1" si="37"/>
        <v>#N/A</v>
      </c>
      <c r="BD173" s="96" t="e">
        <f t="shared" ca="1" si="38"/>
        <v>#N/A</v>
      </c>
      <c r="BE173" s="96" t="e">
        <f t="shared" ca="1" si="39"/>
        <v>#N/A</v>
      </c>
      <c r="BF173" s="96" t="e">
        <f t="shared" ca="1" si="40"/>
        <v>#N/A</v>
      </c>
      <c r="BG173" s="96" t="e">
        <f t="shared" ca="1" si="41"/>
        <v>#N/A</v>
      </c>
    </row>
    <row r="174" spans="2:59" ht="15" customHeight="1">
      <c r="B174" s="2"/>
      <c r="Q174" s="2"/>
      <c r="AF174" s="2"/>
      <c r="AU174" s="2" t="e">
        <f t="shared" si="29"/>
        <v>#N/A</v>
      </c>
      <c r="AV174" s="96" t="e">
        <f t="shared" ca="1" si="30"/>
        <v>#N/A</v>
      </c>
      <c r="AW174" s="96" t="e">
        <f t="shared" ca="1" si="31"/>
        <v>#N/A</v>
      </c>
      <c r="AX174" s="96" t="e">
        <f t="shared" ca="1" si="32"/>
        <v>#N/A</v>
      </c>
      <c r="AY174" s="96" t="e">
        <f t="shared" ca="1" si="33"/>
        <v>#N/A</v>
      </c>
      <c r="AZ174" s="96" t="e">
        <f t="shared" ca="1" si="34"/>
        <v>#N/A</v>
      </c>
      <c r="BA174" s="96" t="e">
        <f t="shared" ca="1" si="35"/>
        <v>#N/A</v>
      </c>
      <c r="BB174" s="96" t="e">
        <f t="shared" ca="1" si="36"/>
        <v>#N/A</v>
      </c>
      <c r="BC174" s="96" t="e">
        <f t="shared" ca="1" si="37"/>
        <v>#N/A</v>
      </c>
      <c r="BD174" s="96" t="e">
        <f t="shared" ca="1" si="38"/>
        <v>#N/A</v>
      </c>
      <c r="BE174" s="96" t="e">
        <f t="shared" ca="1" si="39"/>
        <v>#N/A</v>
      </c>
      <c r="BF174" s="96" t="e">
        <f t="shared" ca="1" si="40"/>
        <v>#N/A</v>
      </c>
      <c r="BG174" s="96" t="e">
        <f t="shared" ca="1" si="41"/>
        <v>#N/A</v>
      </c>
    </row>
    <row r="175" spans="2:59" ht="15" customHeight="1">
      <c r="B175" s="2"/>
      <c r="Q175" s="2"/>
      <c r="AF175" s="2"/>
      <c r="AU175" s="2" t="e">
        <f t="shared" si="29"/>
        <v>#N/A</v>
      </c>
      <c r="AV175" s="96" t="e">
        <f t="shared" ca="1" si="30"/>
        <v>#N/A</v>
      </c>
      <c r="AW175" s="96" t="e">
        <f t="shared" ca="1" si="31"/>
        <v>#N/A</v>
      </c>
      <c r="AX175" s="96" t="e">
        <f t="shared" ca="1" si="32"/>
        <v>#N/A</v>
      </c>
      <c r="AY175" s="96" t="e">
        <f t="shared" ca="1" si="33"/>
        <v>#N/A</v>
      </c>
      <c r="AZ175" s="96" t="e">
        <f t="shared" ca="1" si="34"/>
        <v>#N/A</v>
      </c>
      <c r="BA175" s="96" t="e">
        <f t="shared" ca="1" si="35"/>
        <v>#N/A</v>
      </c>
      <c r="BB175" s="96" t="e">
        <f t="shared" ca="1" si="36"/>
        <v>#N/A</v>
      </c>
      <c r="BC175" s="96" t="e">
        <f t="shared" ca="1" si="37"/>
        <v>#N/A</v>
      </c>
      <c r="BD175" s="96" t="e">
        <f t="shared" ca="1" si="38"/>
        <v>#N/A</v>
      </c>
      <c r="BE175" s="96" t="e">
        <f t="shared" ca="1" si="39"/>
        <v>#N/A</v>
      </c>
      <c r="BF175" s="96" t="e">
        <f t="shared" ca="1" si="40"/>
        <v>#N/A</v>
      </c>
      <c r="BG175" s="96" t="e">
        <f t="shared" ca="1" si="41"/>
        <v>#N/A</v>
      </c>
    </row>
    <row r="176" spans="2:59" ht="15" customHeight="1">
      <c r="B176" s="2"/>
      <c r="Q176" s="2"/>
      <c r="AF176" s="2"/>
      <c r="AU176" s="2" t="e">
        <f t="shared" si="29"/>
        <v>#N/A</v>
      </c>
      <c r="AV176" s="96" t="e">
        <f t="shared" ca="1" si="30"/>
        <v>#N/A</v>
      </c>
      <c r="AW176" s="96" t="e">
        <f t="shared" ca="1" si="31"/>
        <v>#N/A</v>
      </c>
      <c r="AX176" s="96" t="e">
        <f t="shared" ca="1" si="32"/>
        <v>#N/A</v>
      </c>
      <c r="AY176" s="96" t="e">
        <f t="shared" ca="1" si="33"/>
        <v>#N/A</v>
      </c>
      <c r="AZ176" s="96" t="e">
        <f t="shared" ca="1" si="34"/>
        <v>#N/A</v>
      </c>
      <c r="BA176" s="96" t="e">
        <f t="shared" ca="1" si="35"/>
        <v>#N/A</v>
      </c>
      <c r="BB176" s="96" t="e">
        <f t="shared" ca="1" si="36"/>
        <v>#N/A</v>
      </c>
      <c r="BC176" s="96" t="e">
        <f t="shared" ca="1" si="37"/>
        <v>#N/A</v>
      </c>
      <c r="BD176" s="96" t="e">
        <f t="shared" ca="1" si="38"/>
        <v>#N/A</v>
      </c>
      <c r="BE176" s="96" t="e">
        <f t="shared" ca="1" si="39"/>
        <v>#N/A</v>
      </c>
      <c r="BF176" s="96" t="e">
        <f t="shared" ca="1" si="40"/>
        <v>#N/A</v>
      </c>
      <c r="BG176" s="96" t="e">
        <f t="shared" ca="1" si="41"/>
        <v>#N/A</v>
      </c>
    </row>
    <row r="177" spans="2:59" ht="15" customHeight="1">
      <c r="B177" s="2"/>
      <c r="Q177" s="2"/>
      <c r="AF177" s="2"/>
      <c r="AU177" s="2" t="e">
        <f t="shared" si="29"/>
        <v>#N/A</v>
      </c>
      <c r="AV177" s="96" t="e">
        <f t="shared" ca="1" si="30"/>
        <v>#N/A</v>
      </c>
      <c r="AW177" s="96" t="e">
        <f t="shared" ca="1" si="31"/>
        <v>#N/A</v>
      </c>
      <c r="AX177" s="96" t="e">
        <f t="shared" ca="1" si="32"/>
        <v>#N/A</v>
      </c>
      <c r="AY177" s="96" t="e">
        <f t="shared" ca="1" si="33"/>
        <v>#N/A</v>
      </c>
      <c r="AZ177" s="96" t="e">
        <f t="shared" ca="1" si="34"/>
        <v>#N/A</v>
      </c>
      <c r="BA177" s="96" t="e">
        <f t="shared" ca="1" si="35"/>
        <v>#N/A</v>
      </c>
      <c r="BB177" s="96" t="e">
        <f t="shared" ca="1" si="36"/>
        <v>#N/A</v>
      </c>
      <c r="BC177" s="96" t="e">
        <f t="shared" ca="1" si="37"/>
        <v>#N/A</v>
      </c>
      <c r="BD177" s="96" t="e">
        <f t="shared" ca="1" si="38"/>
        <v>#N/A</v>
      </c>
      <c r="BE177" s="96" t="e">
        <f t="shared" ca="1" si="39"/>
        <v>#N/A</v>
      </c>
      <c r="BF177" s="96" t="e">
        <f t="shared" ca="1" si="40"/>
        <v>#N/A</v>
      </c>
      <c r="BG177" s="96" t="e">
        <f t="shared" ca="1" si="41"/>
        <v>#N/A</v>
      </c>
    </row>
    <row r="178" spans="2:59" ht="15" customHeight="1">
      <c r="B178" s="2"/>
      <c r="Q178" s="2"/>
      <c r="AF178" s="2"/>
      <c r="AU178" s="2" t="e">
        <f t="shared" si="29"/>
        <v>#N/A</v>
      </c>
      <c r="AV178" s="96" t="e">
        <f t="shared" ca="1" si="30"/>
        <v>#N/A</v>
      </c>
      <c r="AW178" s="96" t="e">
        <f t="shared" ca="1" si="31"/>
        <v>#N/A</v>
      </c>
      <c r="AX178" s="96" t="e">
        <f t="shared" ca="1" si="32"/>
        <v>#N/A</v>
      </c>
      <c r="AY178" s="96" t="e">
        <f t="shared" ca="1" si="33"/>
        <v>#N/A</v>
      </c>
      <c r="AZ178" s="96" t="e">
        <f t="shared" ca="1" si="34"/>
        <v>#N/A</v>
      </c>
      <c r="BA178" s="96" t="e">
        <f t="shared" ca="1" si="35"/>
        <v>#N/A</v>
      </c>
      <c r="BB178" s="96" t="e">
        <f t="shared" ca="1" si="36"/>
        <v>#N/A</v>
      </c>
      <c r="BC178" s="96" t="e">
        <f t="shared" ca="1" si="37"/>
        <v>#N/A</v>
      </c>
      <c r="BD178" s="96" t="e">
        <f t="shared" ca="1" si="38"/>
        <v>#N/A</v>
      </c>
      <c r="BE178" s="96" t="e">
        <f t="shared" ca="1" si="39"/>
        <v>#N/A</v>
      </c>
      <c r="BF178" s="96" t="e">
        <f t="shared" ca="1" si="40"/>
        <v>#N/A</v>
      </c>
      <c r="BG178" s="96" t="e">
        <f t="shared" ca="1" si="41"/>
        <v>#N/A</v>
      </c>
    </row>
    <row r="179" spans="2:59" ht="15" customHeight="1">
      <c r="B179" s="2"/>
      <c r="Q179" s="2"/>
      <c r="AF179" s="2"/>
      <c r="AU179" s="2" t="e">
        <f t="shared" si="29"/>
        <v>#N/A</v>
      </c>
      <c r="AV179" s="96" t="e">
        <f t="shared" ca="1" si="30"/>
        <v>#N/A</v>
      </c>
      <c r="AW179" s="96" t="e">
        <f t="shared" ca="1" si="31"/>
        <v>#N/A</v>
      </c>
      <c r="AX179" s="96" t="e">
        <f t="shared" ca="1" si="32"/>
        <v>#N/A</v>
      </c>
      <c r="AY179" s="96" t="e">
        <f t="shared" ca="1" si="33"/>
        <v>#N/A</v>
      </c>
      <c r="AZ179" s="96" t="e">
        <f t="shared" ca="1" si="34"/>
        <v>#N/A</v>
      </c>
      <c r="BA179" s="96" t="e">
        <f t="shared" ca="1" si="35"/>
        <v>#N/A</v>
      </c>
      <c r="BB179" s="96" t="e">
        <f t="shared" ca="1" si="36"/>
        <v>#N/A</v>
      </c>
      <c r="BC179" s="96" t="e">
        <f t="shared" ca="1" si="37"/>
        <v>#N/A</v>
      </c>
      <c r="BD179" s="96" t="e">
        <f t="shared" ca="1" si="38"/>
        <v>#N/A</v>
      </c>
      <c r="BE179" s="96" t="e">
        <f t="shared" ca="1" si="39"/>
        <v>#N/A</v>
      </c>
      <c r="BF179" s="96" t="e">
        <f t="shared" ca="1" si="40"/>
        <v>#N/A</v>
      </c>
      <c r="BG179" s="96" t="e">
        <f t="shared" ca="1" si="41"/>
        <v>#N/A</v>
      </c>
    </row>
    <row r="180" spans="2:59" ht="15" customHeight="1">
      <c r="B180" s="2"/>
      <c r="Q180" s="2"/>
      <c r="AF180" s="2"/>
      <c r="AU180" s="2" t="e">
        <f t="shared" si="29"/>
        <v>#N/A</v>
      </c>
      <c r="AV180" s="96" t="e">
        <f t="shared" ca="1" si="30"/>
        <v>#N/A</v>
      </c>
      <c r="AW180" s="96" t="e">
        <f t="shared" ca="1" si="31"/>
        <v>#N/A</v>
      </c>
      <c r="AX180" s="96" t="e">
        <f t="shared" ca="1" si="32"/>
        <v>#N/A</v>
      </c>
      <c r="AY180" s="96" t="e">
        <f t="shared" ca="1" si="33"/>
        <v>#N/A</v>
      </c>
      <c r="AZ180" s="96" t="e">
        <f t="shared" ca="1" si="34"/>
        <v>#N/A</v>
      </c>
      <c r="BA180" s="96" t="e">
        <f t="shared" ca="1" si="35"/>
        <v>#N/A</v>
      </c>
      <c r="BB180" s="96" t="e">
        <f t="shared" ca="1" si="36"/>
        <v>#N/A</v>
      </c>
      <c r="BC180" s="96" t="e">
        <f t="shared" ca="1" si="37"/>
        <v>#N/A</v>
      </c>
      <c r="BD180" s="96" t="e">
        <f t="shared" ca="1" si="38"/>
        <v>#N/A</v>
      </c>
      <c r="BE180" s="96" t="e">
        <f t="shared" ca="1" si="39"/>
        <v>#N/A</v>
      </c>
      <c r="BF180" s="96" t="e">
        <f t="shared" ca="1" si="40"/>
        <v>#N/A</v>
      </c>
      <c r="BG180" s="96" t="e">
        <f t="shared" ca="1" si="41"/>
        <v>#N/A</v>
      </c>
    </row>
    <row r="181" spans="2:59" ht="15" customHeight="1">
      <c r="B181" s="2"/>
      <c r="Q181" s="2"/>
      <c r="AF181" s="2"/>
      <c r="AU181" s="2" t="e">
        <f t="shared" si="29"/>
        <v>#N/A</v>
      </c>
      <c r="AV181" s="96" t="e">
        <f t="shared" ca="1" si="30"/>
        <v>#N/A</v>
      </c>
      <c r="AW181" s="96" t="e">
        <f t="shared" ca="1" si="31"/>
        <v>#N/A</v>
      </c>
      <c r="AX181" s="96" t="e">
        <f t="shared" ca="1" si="32"/>
        <v>#N/A</v>
      </c>
      <c r="AY181" s="96" t="e">
        <f t="shared" ca="1" si="33"/>
        <v>#N/A</v>
      </c>
      <c r="AZ181" s="96" t="e">
        <f t="shared" ca="1" si="34"/>
        <v>#N/A</v>
      </c>
      <c r="BA181" s="96" t="e">
        <f t="shared" ca="1" si="35"/>
        <v>#N/A</v>
      </c>
      <c r="BB181" s="96" t="e">
        <f t="shared" ca="1" si="36"/>
        <v>#N/A</v>
      </c>
      <c r="BC181" s="96" t="e">
        <f t="shared" ca="1" si="37"/>
        <v>#N/A</v>
      </c>
      <c r="BD181" s="96" t="e">
        <f t="shared" ca="1" si="38"/>
        <v>#N/A</v>
      </c>
      <c r="BE181" s="96" t="e">
        <f t="shared" ca="1" si="39"/>
        <v>#N/A</v>
      </c>
      <c r="BF181" s="96" t="e">
        <f t="shared" ca="1" si="40"/>
        <v>#N/A</v>
      </c>
      <c r="BG181" s="96" t="e">
        <f t="shared" ca="1" si="41"/>
        <v>#N/A</v>
      </c>
    </row>
    <row r="182" spans="2:59" ht="15" customHeight="1">
      <c r="B182" s="2"/>
      <c r="Q182" s="2"/>
      <c r="AF182" s="2"/>
      <c r="AU182" s="2" t="e">
        <f t="shared" si="29"/>
        <v>#N/A</v>
      </c>
      <c r="AV182" s="96" t="e">
        <f t="shared" ca="1" si="30"/>
        <v>#N/A</v>
      </c>
      <c r="AW182" s="96" t="e">
        <f t="shared" ca="1" si="31"/>
        <v>#N/A</v>
      </c>
      <c r="AX182" s="96" t="e">
        <f t="shared" ca="1" si="32"/>
        <v>#N/A</v>
      </c>
      <c r="AY182" s="96" t="e">
        <f t="shared" ca="1" si="33"/>
        <v>#N/A</v>
      </c>
      <c r="AZ182" s="96" t="e">
        <f t="shared" ca="1" si="34"/>
        <v>#N/A</v>
      </c>
      <c r="BA182" s="96" t="e">
        <f t="shared" ca="1" si="35"/>
        <v>#N/A</v>
      </c>
      <c r="BB182" s="96" t="e">
        <f t="shared" ca="1" si="36"/>
        <v>#N/A</v>
      </c>
      <c r="BC182" s="96" t="e">
        <f t="shared" ca="1" si="37"/>
        <v>#N/A</v>
      </c>
      <c r="BD182" s="96" t="e">
        <f t="shared" ca="1" si="38"/>
        <v>#N/A</v>
      </c>
      <c r="BE182" s="96" t="e">
        <f t="shared" ca="1" si="39"/>
        <v>#N/A</v>
      </c>
      <c r="BF182" s="96" t="e">
        <f t="shared" ca="1" si="40"/>
        <v>#N/A</v>
      </c>
      <c r="BG182" s="96" t="e">
        <f t="shared" ca="1" si="41"/>
        <v>#N/A</v>
      </c>
    </row>
    <row r="183" spans="2:59" ht="15" customHeight="1">
      <c r="B183" s="2"/>
      <c r="Q183" s="2"/>
      <c r="AF183" s="2"/>
      <c r="AU183" s="2" t="e">
        <f t="shared" si="29"/>
        <v>#N/A</v>
      </c>
      <c r="AV183" s="96" t="e">
        <f t="shared" ca="1" si="30"/>
        <v>#N/A</v>
      </c>
      <c r="AW183" s="96" t="e">
        <f t="shared" ca="1" si="31"/>
        <v>#N/A</v>
      </c>
      <c r="AX183" s="96" t="e">
        <f t="shared" ca="1" si="32"/>
        <v>#N/A</v>
      </c>
      <c r="AY183" s="96" t="e">
        <f t="shared" ca="1" si="33"/>
        <v>#N/A</v>
      </c>
      <c r="AZ183" s="96" t="e">
        <f t="shared" ca="1" si="34"/>
        <v>#N/A</v>
      </c>
      <c r="BA183" s="96" t="e">
        <f t="shared" ca="1" si="35"/>
        <v>#N/A</v>
      </c>
      <c r="BB183" s="96" t="e">
        <f t="shared" ca="1" si="36"/>
        <v>#N/A</v>
      </c>
      <c r="BC183" s="96" t="e">
        <f t="shared" ca="1" si="37"/>
        <v>#N/A</v>
      </c>
      <c r="BD183" s="96" t="e">
        <f t="shared" ca="1" si="38"/>
        <v>#N/A</v>
      </c>
      <c r="BE183" s="96" t="e">
        <f t="shared" ca="1" si="39"/>
        <v>#N/A</v>
      </c>
      <c r="BF183" s="96" t="e">
        <f t="shared" ca="1" si="40"/>
        <v>#N/A</v>
      </c>
      <c r="BG183" s="96" t="e">
        <f t="shared" ca="1" si="41"/>
        <v>#N/A</v>
      </c>
    </row>
    <row r="184" spans="2:59" ht="15" customHeight="1">
      <c r="B184" s="2"/>
      <c r="Q184" s="2"/>
      <c r="AF184" s="2"/>
      <c r="AU184" s="2" t="e">
        <f t="shared" si="29"/>
        <v>#N/A</v>
      </c>
      <c r="AV184" s="96" t="e">
        <f t="shared" ca="1" si="30"/>
        <v>#N/A</v>
      </c>
      <c r="AW184" s="96" t="e">
        <f t="shared" ca="1" si="31"/>
        <v>#N/A</v>
      </c>
      <c r="AX184" s="96" t="e">
        <f t="shared" ca="1" si="32"/>
        <v>#N/A</v>
      </c>
      <c r="AY184" s="96" t="e">
        <f t="shared" ca="1" si="33"/>
        <v>#N/A</v>
      </c>
      <c r="AZ184" s="96" t="e">
        <f t="shared" ca="1" si="34"/>
        <v>#N/A</v>
      </c>
      <c r="BA184" s="96" t="e">
        <f t="shared" ca="1" si="35"/>
        <v>#N/A</v>
      </c>
      <c r="BB184" s="96" t="e">
        <f t="shared" ca="1" si="36"/>
        <v>#N/A</v>
      </c>
      <c r="BC184" s="96" t="e">
        <f t="shared" ca="1" si="37"/>
        <v>#N/A</v>
      </c>
      <c r="BD184" s="96" t="e">
        <f t="shared" ca="1" si="38"/>
        <v>#N/A</v>
      </c>
      <c r="BE184" s="96" t="e">
        <f t="shared" ca="1" si="39"/>
        <v>#N/A</v>
      </c>
      <c r="BF184" s="96" t="e">
        <f t="shared" ca="1" si="40"/>
        <v>#N/A</v>
      </c>
      <c r="BG184" s="96" t="e">
        <f t="shared" ca="1" si="41"/>
        <v>#N/A</v>
      </c>
    </row>
    <row r="185" spans="2:59" ht="15" customHeight="1">
      <c r="B185" s="2"/>
      <c r="Q185" s="2"/>
      <c r="AF185" s="2"/>
      <c r="AU185" s="2" t="e">
        <f t="shared" si="29"/>
        <v>#N/A</v>
      </c>
      <c r="AV185" s="96" t="e">
        <f t="shared" ca="1" si="30"/>
        <v>#N/A</v>
      </c>
      <c r="AW185" s="96" t="e">
        <f t="shared" ca="1" si="31"/>
        <v>#N/A</v>
      </c>
      <c r="AX185" s="96" t="e">
        <f t="shared" ca="1" si="32"/>
        <v>#N/A</v>
      </c>
      <c r="AY185" s="96" t="e">
        <f t="shared" ca="1" si="33"/>
        <v>#N/A</v>
      </c>
      <c r="AZ185" s="96" t="e">
        <f t="shared" ca="1" si="34"/>
        <v>#N/A</v>
      </c>
      <c r="BA185" s="96" t="e">
        <f t="shared" ca="1" si="35"/>
        <v>#N/A</v>
      </c>
      <c r="BB185" s="96" t="e">
        <f t="shared" ca="1" si="36"/>
        <v>#N/A</v>
      </c>
      <c r="BC185" s="96" t="e">
        <f t="shared" ca="1" si="37"/>
        <v>#N/A</v>
      </c>
      <c r="BD185" s="96" t="e">
        <f t="shared" ca="1" si="38"/>
        <v>#N/A</v>
      </c>
      <c r="BE185" s="96" t="e">
        <f t="shared" ca="1" si="39"/>
        <v>#N/A</v>
      </c>
      <c r="BF185" s="96" t="e">
        <f t="shared" ca="1" si="40"/>
        <v>#N/A</v>
      </c>
      <c r="BG185" s="96" t="e">
        <f t="shared" ca="1" si="41"/>
        <v>#N/A</v>
      </c>
    </row>
    <row r="186" spans="2:59" ht="15" customHeight="1">
      <c r="B186" s="2"/>
      <c r="Q186" s="2"/>
      <c r="AF186" s="2"/>
      <c r="AU186" s="2" t="e">
        <f t="shared" si="29"/>
        <v>#N/A</v>
      </c>
      <c r="AV186" s="96" t="e">
        <f t="shared" ca="1" si="30"/>
        <v>#N/A</v>
      </c>
      <c r="AW186" s="96" t="e">
        <f t="shared" ca="1" si="31"/>
        <v>#N/A</v>
      </c>
      <c r="AX186" s="96" t="e">
        <f t="shared" ca="1" si="32"/>
        <v>#N/A</v>
      </c>
      <c r="AY186" s="96" t="e">
        <f t="shared" ca="1" si="33"/>
        <v>#N/A</v>
      </c>
      <c r="AZ186" s="96" t="e">
        <f t="shared" ca="1" si="34"/>
        <v>#N/A</v>
      </c>
      <c r="BA186" s="96" t="e">
        <f t="shared" ca="1" si="35"/>
        <v>#N/A</v>
      </c>
      <c r="BB186" s="96" t="e">
        <f t="shared" ca="1" si="36"/>
        <v>#N/A</v>
      </c>
      <c r="BC186" s="96" t="e">
        <f t="shared" ca="1" si="37"/>
        <v>#N/A</v>
      </c>
      <c r="BD186" s="96" t="e">
        <f t="shared" ca="1" si="38"/>
        <v>#N/A</v>
      </c>
      <c r="BE186" s="96" t="e">
        <f t="shared" ca="1" si="39"/>
        <v>#N/A</v>
      </c>
      <c r="BF186" s="96" t="e">
        <f t="shared" ca="1" si="40"/>
        <v>#N/A</v>
      </c>
      <c r="BG186" s="96" t="e">
        <f t="shared" ca="1" si="41"/>
        <v>#N/A</v>
      </c>
    </row>
    <row r="187" spans="2:59" ht="15" customHeight="1">
      <c r="B187" s="2"/>
      <c r="Q187" s="2"/>
      <c r="AF187" s="2"/>
      <c r="AU187" s="2" t="e">
        <f t="shared" si="29"/>
        <v>#N/A</v>
      </c>
      <c r="AV187" s="96" t="e">
        <f t="shared" ca="1" si="30"/>
        <v>#N/A</v>
      </c>
      <c r="AW187" s="96" t="e">
        <f t="shared" ca="1" si="31"/>
        <v>#N/A</v>
      </c>
      <c r="AX187" s="96" t="e">
        <f t="shared" ca="1" si="32"/>
        <v>#N/A</v>
      </c>
      <c r="AY187" s="96" t="e">
        <f t="shared" ca="1" si="33"/>
        <v>#N/A</v>
      </c>
      <c r="AZ187" s="96" t="e">
        <f t="shared" ca="1" si="34"/>
        <v>#N/A</v>
      </c>
      <c r="BA187" s="96" t="e">
        <f t="shared" ca="1" si="35"/>
        <v>#N/A</v>
      </c>
      <c r="BB187" s="96" t="e">
        <f t="shared" ca="1" si="36"/>
        <v>#N/A</v>
      </c>
      <c r="BC187" s="96" t="e">
        <f t="shared" ca="1" si="37"/>
        <v>#N/A</v>
      </c>
      <c r="BD187" s="96" t="e">
        <f t="shared" ca="1" si="38"/>
        <v>#N/A</v>
      </c>
      <c r="BE187" s="96" t="e">
        <f t="shared" ca="1" si="39"/>
        <v>#N/A</v>
      </c>
      <c r="BF187" s="96" t="e">
        <f t="shared" ca="1" si="40"/>
        <v>#N/A</v>
      </c>
      <c r="BG187" s="96" t="e">
        <f t="shared" ca="1" si="41"/>
        <v>#N/A</v>
      </c>
    </row>
    <row r="188" spans="2:59" ht="15" customHeight="1">
      <c r="B188" s="2"/>
      <c r="Q188" s="2"/>
      <c r="AF188" s="2"/>
      <c r="AU188" s="2" t="e">
        <f t="shared" si="29"/>
        <v>#N/A</v>
      </c>
      <c r="AV188" s="96" t="e">
        <f t="shared" ca="1" si="30"/>
        <v>#N/A</v>
      </c>
      <c r="AW188" s="96" t="e">
        <f t="shared" ca="1" si="31"/>
        <v>#N/A</v>
      </c>
      <c r="AX188" s="96" t="e">
        <f t="shared" ca="1" si="32"/>
        <v>#N/A</v>
      </c>
      <c r="AY188" s="96" t="e">
        <f t="shared" ca="1" si="33"/>
        <v>#N/A</v>
      </c>
      <c r="AZ188" s="96" t="e">
        <f t="shared" ca="1" si="34"/>
        <v>#N/A</v>
      </c>
      <c r="BA188" s="96" t="e">
        <f t="shared" ca="1" si="35"/>
        <v>#N/A</v>
      </c>
      <c r="BB188" s="96" t="e">
        <f t="shared" ca="1" si="36"/>
        <v>#N/A</v>
      </c>
      <c r="BC188" s="96" t="e">
        <f t="shared" ca="1" si="37"/>
        <v>#N/A</v>
      </c>
      <c r="BD188" s="96" t="e">
        <f t="shared" ca="1" si="38"/>
        <v>#N/A</v>
      </c>
      <c r="BE188" s="96" t="e">
        <f t="shared" ca="1" si="39"/>
        <v>#N/A</v>
      </c>
      <c r="BF188" s="96" t="e">
        <f t="shared" ca="1" si="40"/>
        <v>#N/A</v>
      </c>
      <c r="BG188" s="96" t="e">
        <f t="shared" ca="1" si="41"/>
        <v>#N/A</v>
      </c>
    </row>
    <row r="189" spans="2:59" ht="15" customHeight="1">
      <c r="B189" s="2"/>
      <c r="Q189" s="2"/>
      <c r="AF189" s="2"/>
      <c r="AU189" s="2" t="e">
        <f t="shared" si="29"/>
        <v>#N/A</v>
      </c>
      <c r="AV189" s="96" t="e">
        <f t="shared" ca="1" si="30"/>
        <v>#N/A</v>
      </c>
      <c r="AW189" s="96" t="e">
        <f t="shared" ca="1" si="31"/>
        <v>#N/A</v>
      </c>
      <c r="AX189" s="96" t="e">
        <f t="shared" ca="1" si="32"/>
        <v>#N/A</v>
      </c>
      <c r="AY189" s="96" t="e">
        <f t="shared" ca="1" si="33"/>
        <v>#N/A</v>
      </c>
      <c r="AZ189" s="96" t="e">
        <f t="shared" ca="1" si="34"/>
        <v>#N/A</v>
      </c>
      <c r="BA189" s="96" t="e">
        <f t="shared" ca="1" si="35"/>
        <v>#N/A</v>
      </c>
      <c r="BB189" s="96" t="e">
        <f t="shared" ca="1" si="36"/>
        <v>#N/A</v>
      </c>
      <c r="BC189" s="96" t="e">
        <f t="shared" ca="1" si="37"/>
        <v>#N/A</v>
      </c>
      <c r="BD189" s="96" t="e">
        <f t="shared" ca="1" si="38"/>
        <v>#N/A</v>
      </c>
      <c r="BE189" s="96" t="e">
        <f t="shared" ca="1" si="39"/>
        <v>#N/A</v>
      </c>
      <c r="BF189" s="96" t="e">
        <f t="shared" ca="1" si="40"/>
        <v>#N/A</v>
      </c>
      <c r="BG189" s="96" t="e">
        <f t="shared" ca="1" si="41"/>
        <v>#N/A</v>
      </c>
    </row>
    <row r="190" spans="2:59" ht="15" customHeight="1">
      <c r="B190" s="2"/>
      <c r="Q190" s="2"/>
      <c r="AF190" s="2"/>
      <c r="AU190" s="2" t="e">
        <f t="shared" si="29"/>
        <v>#N/A</v>
      </c>
      <c r="AV190" s="96" t="e">
        <f t="shared" ca="1" si="30"/>
        <v>#N/A</v>
      </c>
      <c r="AW190" s="96" t="e">
        <f t="shared" ca="1" si="31"/>
        <v>#N/A</v>
      </c>
      <c r="AX190" s="96" t="e">
        <f t="shared" ca="1" si="32"/>
        <v>#N/A</v>
      </c>
      <c r="AY190" s="96" t="e">
        <f t="shared" ca="1" si="33"/>
        <v>#N/A</v>
      </c>
      <c r="AZ190" s="96" t="e">
        <f t="shared" ca="1" si="34"/>
        <v>#N/A</v>
      </c>
      <c r="BA190" s="96" t="e">
        <f t="shared" ca="1" si="35"/>
        <v>#N/A</v>
      </c>
      <c r="BB190" s="96" t="e">
        <f t="shared" ca="1" si="36"/>
        <v>#N/A</v>
      </c>
      <c r="BC190" s="96" t="e">
        <f t="shared" ca="1" si="37"/>
        <v>#N/A</v>
      </c>
      <c r="BD190" s="96" t="e">
        <f t="shared" ca="1" si="38"/>
        <v>#N/A</v>
      </c>
      <c r="BE190" s="96" t="e">
        <f t="shared" ca="1" si="39"/>
        <v>#N/A</v>
      </c>
      <c r="BF190" s="96" t="e">
        <f t="shared" ca="1" si="40"/>
        <v>#N/A</v>
      </c>
      <c r="BG190" s="96" t="e">
        <f t="shared" ca="1" si="41"/>
        <v>#N/A</v>
      </c>
    </row>
    <row r="191" spans="2:59" ht="15" customHeight="1">
      <c r="B191" s="2"/>
      <c r="Q191" s="2"/>
      <c r="AF191" s="2"/>
      <c r="AU191" s="2" t="e">
        <f t="shared" si="29"/>
        <v>#N/A</v>
      </c>
      <c r="AV191" s="96" t="e">
        <f t="shared" ca="1" si="30"/>
        <v>#N/A</v>
      </c>
      <c r="AW191" s="96" t="e">
        <f t="shared" ca="1" si="31"/>
        <v>#N/A</v>
      </c>
      <c r="AX191" s="96" t="e">
        <f t="shared" ca="1" si="32"/>
        <v>#N/A</v>
      </c>
      <c r="AY191" s="96" t="e">
        <f t="shared" ca="1" si="33"/>
        <v>#N/A</v>
      </c>
      <c r="AZ191" s="96" t="e">
        <f t="shared" ca="1" si="34"/>
        <v>#N/A</v>
      </c>
      <c r="BA191" s="96" t="e">
        <f t="shared" ca="1" si="35"/>
        <v>#N/A</v>
      </c>
      <c r="BB191" s="96" t="e">
        <f t="shared" ca="1" si="36"/>
        <v>#N/A</v>
      </c>
      <c r="BC191" s="96" t="e">
        <f t="shared" ca="1" si="37"/>
        <v>#N/A</v>
      </c>
      <c r="BD191" s="96" t="e">
        <f t="shared" ca="1" si="38"/>
        <v>#N/A</v>
      </c>
      <c r="BE191" s="96" t="e">
        <f t="shared" ca="1" si="39"/>
        <v>#N/A</v>
      </c>
      <c r="BF191" s="96" t="e">
        <f t="shared" ca="1" si="40"/>
        <v>#N/A</v>
      </c>
      <c r="BG191" s="96" t="e">
        <f t="shared" ca="1" si="41"/>
        <v>#N/A</v>
      </c>
    </row>
    <row r="192" spans="2:59" ht="15" customHeight="1">
      <c r="B192" s="2"/>
      <c r="Q192" s="2"/>
      <c r="AF192" s="2"/>
      <c r="AU192" s="2" t="e">
        <f t="shared" si="29"/>
        <v>#N/A</v>
      </c>
      <c r="AV192" s="96" t="e">
        <f t="shared" ca="1" si="30"/>
        <v>#N/A</v>
      </c>
      <c r="AW192" s="96" t="e">
        <f t="shared" ca="1" si="31"/>
        <v>#N/A</v>
      </c>
      <c r="AX192" s="96" t="e">
        <f t="shared" ca="1" si="32"/>
        <v>#N/A</v>
      </c>
      <c r="AY192" s="96" t="e">
        <f t="shared" ca="1" si="33"/>
        <v>#N/A</v>
      </c>
      <c r="AZ192" s="96" t="e">
        <f t="shared" ca="1" si="34"/>
        <v>#N/A</v>
      </c>
      <c r="BA192" s="96" t="e">
        <f t="shared" ca="1" si="35"/>
        <v>#N/A</v>
      </c>
      <c r="BB192" s="96" t="e">
        <f t="shared" ca="1" si="36"/>
        <v>#N/A</v>
      </c>
      <c r="BC192" s="96" t="e">
        <f t="shared" ca="1" si="37"/>
        <v>#N/A</v>
      </c>
      <c r="BD192" s="96" t="e">
        <f t="shared" ca="1" si="38"/>
        <v>#N/A</v>
      </c>
      <c r="BE192" s="96" t="e">
        <f t="shared" ca="1" si="39"/>
        <v>#N/A</v>
      </c>
      <c r="BF192" s="96" t="e">
        <f t="shared" ca="1" si="40"/>
        <v>#N/A</v>
      </c>
      <c r="BG192" s="96" t="e">
        <f t="shared" ca="1" si="41"/>
        <v>#N/A</v>
      </c>
    </row>
    <row r="193" spans="2:59" ht="15" customHeight="1">
      <c r="B193" s="2"/>
      <c r="Q193" s="2"/>
      <c r="AF193" s="2"/>
      <c r="AU193" s="2" t="e">
        <f t="shared" si="29"/>
        <v>#N/A</v>
      </c>
      <c r="AV193" s="96" t="e">
        <f t="shared" ca="1" si="30"/>
        <v>#N/A</v>
      </c>
      <c r="AW193" s="96" t="e">
        <f t="shared" ca="1" si="31"/>
        <v>#N/A</v>
      </c>
      <c r="AX193" s="96" t="e">
        <f t="shared" ca="1" si="32"/>
        <v>#N/A</v>
      </c>
      <c r="AY193" s="96" t="e">
        <f t="shared" ca="1" si="33"/>
        <v>#N/A</v>
      </c>
      <c r="AZ193" s="96" t="e">
        <f t="shared" ca="1" si="34"/>
        <v>#N/A</v>
      </c>
      <c r="BA193" s="96" t="e">
        <f t="shared" ca="1" si="35"/>
        <v>#N/A</v>
      </c>
      <c r="BB193" s="96" t="e">
        <f t="shared" ca="1" si="36"/>
        <v>#N/A</v>
      </c>
      <c r="BC193" s="96" t="e">
        <f t="shared" ca="1" si="37"/>
        <v>#N/A</v>
      </c>
      <c r="BD193" s="96" t="e">
        <f t="shared" ca="1" si="38"/>
        <v>#N/A</v>
      </c>
      <c r="BE193" s="96" t="e">
        <f t="shared" ca="1" si="39"/>
        <v>#N/A</v>
      </c>
      <c r="BF193" s="96" t="e">
        <f t="shared" ca="1" si="40"/>
        <v>#N/A</v>
      </c>
      <c r="BG193" s="96" t="e">
        <f t="shared" ca="1" si="41"/>
        <v>#N/A</v>
      </c>
    </row>
    <row r="194" spans="2:59" ht="15" customHeight="1">
      <c r="B194" s="2"/>
      <c r="Q194" s="2"/>
      <c r="AF194" s="2"/>
      <c r="AU194" s="2" t="e">
        <f t="shared" si="29"/>
        <v>#N/A</v>
      </c>
      <c r="AV194" s="96" t="e">
        <f t="shared" ca="1" si="30"/>
        <v>#N/A</v>
      </c>
      <c r="AW194" s="96" t="e">
        <f t="shared" ca="1" si="31"/>
        <v>#N/A</v>
      </c>
      <c r="AX194" s="96" t="e">
        <f t="shared" ca="1" si="32"/>
        <v>#N/A</v>
      </c>
      <c r="AY194" s="96" t="e">
        <f t="shared" ca="1" si="33"/>
        <v>#N/A</v>
      </c>
      <c r="AZ194" s="96" t="e">
        <f t="shared" ca="1" si="34"/>
        <v>#N/A</v>
      </c>
      <c r="BA194" s="96" t="e">
        <f t="shared" ca="1" si="35"/>
        <v>#N/A</v>
      </c>
      <c r="BB194" s="96" t="e">
        <f t="shared" ca="1" si="36"/>
        <v>#N/A</v>
      </c>
      <c r="BC194" s="96" t="e">
        <f t="shared" ca="1" si="37"/>
        <v>#N/A</v>
      </c>
      <c r="BD194" s="96" t="e">
        <f t="shared" ca="1" si="38"/>
        <v>#N/A</v>
      </c>
      <c r="BE194" s="96" t="e">
        <f t="shared" ca="1" si="39"/>
        <v>#N/A</v>
      </c>
      <c r="BF194" s="96" t="e">
        <f t="shared" ca="1" si="40"/>
        <v>#N/A</v>
      </c>
      <c r="BG194" s="96" t="e">
        <f t="shared" ca="1" si="41"/>
        <v>#N/A</v>
      </c>
    </row>
    <row r="195" spans="2:59" ht="15" customHeight="1">
      <c r="B195" s="2"/>
      <c r="Q195" s="2"/>
      <c r="AF195" s="2"/>
      <c r="AU195" s="2" t="e">
        <f t="shared" si="29"/>
        <v>#N/A</v>
      </c>
      <c r="AV195" s="96" t="e">
        <f t="shared" ca="1" si="30"/>
        <v>#N/A</v>
      </c>
      <c r="AW195" s="96" t="e">
        <f t="shared" ca="1" si="31"/>
        <v>#N/A</v>
      </c>
      <c r="AX195" s="96" t="e">
        <f t="shared" ca="1" si="32"/>
        <v>#N/A</v>
      </c>
      <c r="AY195" s="96" t="e">
        <f t="shared" ca="1" si="33"/>
        <v>#N/A</v>
      </c>
      <c r="AZ195" s="96" t="e">
        <f t="shared" ca="1" si="34"/>
        <v>#N/A</v>
      </c>
      <c r="BA195" s="96" t="e">
        <f t="shared" ca="1" si="35"/>
        <v>#N/A</v>
      </c>
      <c r="BB195" s="96" t="e">
        <f t="shared" ca="1" si="36"/>
        <v>#N/A</v>
      </c>
      <c r="BC195" s="96" t="e">
        <f t="shared" ca="1" si="37"/>
        <v>#N/A</v>
      </c>
      <c r="BD195" s="96" t="e">
        <f t="shared" ca="1" si="38"/>
        <v>#N/A</v>
      </c>
      <c r="BE195" s="96" t="e">
        <f t="shared" ca="1" si="39"/>
        <v>#N/A</v>
      </c>
      <c r="BF195" s="96" t="e">
        <f t="shared" ca="1" si="40"/>
        <v>#N/A</v>
      </c>
      <c r="BG195" s="96" t="e">
        <f t="shared" ca="1" si="41"/>
        <v>#N/A</v>
      </c>
    </row>
    <row r="196" spans="2:59" ht="15" customHeight="1">
      <c r="B196" s="2"/>
      <c r="Q196" s="2"/>
      <c r="AF196" s="2"/>
      <c r="AU196" s="2" t="e">
        <f t="shared" si="29"/>
        <v>#N/A</v>
      </c>
      <c r="AV196" s="96" t="e">
        <f t="shared" ca="1" si="30"/>
        <v>#N/A</v>
      </c>
      <c r="AW196" s="96" t="e">
        <f t="shared" ca="1" si="31"/>
        <v>#N/A</v>
      </c>
      <c r="AX196" s="96" t="e">
        <f t="shared" ca="1" si="32"/>
        <v>#N/A</v>
      </c>
      <c r="AY196" s="96" t="e">
        <f t="shared" ca="1" si="33"/>
        <v>#N/A</v>
      </c>
      <c r="AZ196" s="96" t="e">
        <f t="shared" ca="1" si="34"/>
        <v>#N/A</v>
      </c>
      <c r="BA196" s="96" t="e">
        <f t="shared" ca="1" si="35"/>
        <v>#N/A</v>
      </c>
      <c r="BB196" s="96" t="e">
        <f t="shared" ca="1" si="36"/>
        <v>#N/A</v>
      </c>
      <c r="BC196" s="96" t="e">
        <f t="shared" ca="1" si="37"/>
        <v>#N/A</v>
      </c>
      <c r="BD196" s="96" t="e">
        <f t="shared" ca="1" si="38"/>
        <v>#N/A</v>
      </c>
      <c r="BE196" s="96" t="e">
        <f t="shared" ca="1" si="39"/>
        <v>#N/A</v>
      </c>
      <c r="BF196" s="96" t="e">
        <f t="shared" ca="1" si="40"/>
        <v>#N/A</v>
      </c>
      <c r="BG196" s="96" t="e">
        <f t="shared" ca="1" si="41"/>
        <v>#N/A</v>
      </c>
    </row>
    <row r="197" spans="2:59" ht="15" customHeight="1">
      <c r="B197" s="2"/>
      <c r="Q197" s="2"/>
      <c r="AF197" s="2"/>
      <c r="AU197" s="2" t="e">
        <f t="shared" si="29"/>
        <v>#N/A</v>
      </c>
      <c r="AV197" s="96" t="e">
        <f t="shared" ca="1" si="30"/>
        <v>#N/A</v>
      </c>
      <c r="AW197" s="96" t="e">
        <f t="shared" ca="1" si="31"/>
        <v>#N/A</v>
      </c>
      <c r="AX197" s="96" t="e">
        <f t="shared" ca="1" si="32"/>
        <v>#N/A</v>
      </c>
      <c r="AY197" s="96" t="e">
        <f t="shared" ca="1" si="33"/>
        <v>#N/A</v>
      </c>
      <c r="AZ197" s="96" t="e">
        <f t="shared" ca="1" si="34"/>
        <v>#N/A</v>
      </c>
      <c r="BA197" s="96" t="e">
        <f t="shared" ca="1" si="35"/>
        <v>#N/A</v>
      </c>
      <c r="BB197" s="96" t="e">
        <f t="shared" ca="1" si="36"/>
        <v>#N/A</v>
      </c>
      <c r="BC197" s="96" t="e">
        <f t="shared" ca="1" si="37"/>
        <v>#N/A</v>
      </c>
      <c r="BD197" s="96" t="e">
        <f t="shared" ca="1" si="38"/>
        <v>#N/A</v>
      </c>
      <c r="BE197" s="96" t="e">
        <f t="shared" ca="1" si="39"/>
        <v>#N/A</v>
      </c>
      <c r="BF197" s="96" t="e">
        <f t="shared" ca="1" si="40"/>
        <v>#N/A</v>
      </c>
      <c r="BG197" s="96" t="e">
        <f t="shared" ca="1" si="41"/>
        <v>#N/A</v>
      </c>
    </row>
    <row r="198" spans="2:59" ht="15" customHeight="1">
      <c r="B198" s="2"/>
      <c r="Q198" s="2"/>
      <c r="AF198" s="2"/>
      <c r="AU198" s="2" t="e">
        <f t="shared" si="29"/>
        <v>#N/A</v>
      </c>
      <c r="AV198" s="96" t="e">
        <f t="shared" ca="1" si="30"/>
        <v>#N/A</v>
      </c>
      <c r="AW198" s="96" t="e">
        <f t="shared" ca="1" si="31"/>
        <v>#N/A</v>
      </c>
      <c r="AX198" s="96" t="e">
        <f t="shared" ca="1" si="32"/>
        <v>#N/A</v>
      </c>
      <c r="AY198" s="96" t="e">
        <f t="shared" ca="1" si="33"/>
        <v>#N/A</v>
      </c>
      <c r="AZ198" s="96" t="e">
        <f t="shared" ca="1" si="34"/>
        <v>#N/A</v>
      </c>
      <c r="BA198" s="96" t="e">
        <f t="shared" ca="1" si="35"/>
        <v>#N/A</v>
      </c>
      <c r="BB198" s="96" t="e">
        <f t="shared" ca="1" si="36"/>
        <v>#N/A</v>
      </c>
      <c r="BC198" s="96" t="e">
        <f t="shared" ca="1" si="37"/>
        <v>#N/A</v>
      </c>
      <c r="BD198" s="96" t="e">
        <f t="shared" ca="1" si="38"/>
        <v>#N/A</v>
      </c>
      <c r="BE198" s="96" t="e">
        <f t="shared" ca="1" si="39"/>
        <v>#N/A</v>
      </c>
      <c r="BF198" s="96" t="e">
        <f t="shared" ca="1" si="40"/>
        <v>#N/A</v>
      </c>
      <c r="BG198" s="96" t="e">
        <f t="shared" ca="1" si="41"/>
        <v>#N/A</v>
      </c>
    </row>
    <row r="199" spans="2:59" ht="15" customHeight="1">
      <c r="B199" s="2"/>
      <c r="Q199" s="2"/>
      <c r="AF199" s="2"/>
      <c r="AU199" s="2" t="e">
        <f t="shared" si="29"/>
        <v>#N/A</v>
      </c>
      <c r="AV199" s="96" t="e">
        <f t="shared" ca="1" si="30"/>
        <v>#N/A</v>
      </c>
      <c r="AW199" s="96" t="e">
        <f t="shared" ca="1" si="31"/>
        <v>#N/A</v>
      </c>
      <c r="AX199" s="96" t="e">
        <f t="shared" ca="1" si="32"/>
        <v>#N/A</v>
      </c>
      <c r="AY199" s="96" t="e">
        <f t="shared" ca="1" si="33"/>
        <v>#N/A</v>
      </c>
      <c r="AZ199" s="96" t="e">
        <f t="shared" ca="1" si="34"/>
        <v>#N/A</v>
      </c>
      <c r="BA199" s="96" t="e">
        <f t="shared" ca="1" si="35"/>
        <v>#N/A</v>
      </c>
      <c r="BB199" s="96" t="e">
        <f t="shared" ca="1" si="36"/>
        <v>#N/A</v>
      </c>
      <c r="BC199" s="96" t="e">
        <f t="shared" ca="1" si="37"/>
        <v>#N/A</v>
      </c>
      <c r="BD199" s="96" t="e">
        <f t="shared" ca="1" si="38"/>
        <v>#N/A</v>
      </c>
      <c r="BE199" s="96" t="e">
        <f t="shared" ca="1" si="39"/>
        <v>#N/A</v>
      </c>
      <c r="BF199" s="96" t="e">
        <f t="shared" ca="1" si="40"/>
        <v>#N/A</v>
      </c>
      <c r="BG199" s="96" t="e">
        <f t="shared" ca="1" si="41"/>
        <v>#N/A</v>
      </c>
    </row>
    <row r="200" spans="2:59" ht="15" customHeight="1">
      <c r="B200" s="2"/>
      <c r="Q200" s="2"/>
      <c r="AF200" s="2"/>
      <c r="AU200" s="2" t="e">
        <f t="shared" si="29"/>
        <v>#N/A</v>
      </c>
      <c r="AV200" s="96" t="e">
        <f t="shared" ca="1" si="30"/>
        <v>#N/A</v>
      </c>
      <c r="AW200" s="96" t="e">
        <f t="shared" ca="1" si="31"/>
        <v>#N/A</v>
      </c>
      <c r="AX200" s="96" t="e">
        <f t="shared" ca="1" si="32"/>
        <v>#N/A</v>
      </c>
      <c r="AY200" s="96" t="e">
        <f t="shared" ca="1" si="33"/>
        <v>#N/A</v>
      </c>
      <c r="AZ200" s="96" t="e">
        <f t="shared" ca="1" si="34"/>
        <v>#N/A</v>
      </c>
      <c r="BA200" s="96" t="e">
        <f t="shared" ca="1" si="35"/>
        <v>#N/A</v>
      </c>
      <c r="BB200" s="96" t="e">
        <f t="shared" ca="1" si="36"/>
        <v>#N/A</v>
      </c>
      <c r="BC200" s="96" t="e">
        <f t="shared" ca="1" si="37"/>
        <v>#N/A</v>
      </c>
      <c r="BD200" s="96" t="e">
        <f t="shared" ca="1" si="38"/>
        <v>#N/A</v>
      </c>
      <c r="BE200" s="96" t="e">
        <f t="shared" ca="1" si="39"/>
        <v>#N/A</v>
      </c>
      <c r="BF200" s="96" t="e">
        <f t="shared" ca="1" si="40"/>
        <v>#N/A</v>
      </c>
      <c r="BG200" s="96" t="e">
        <f t="shared" ca="1" si="41"/>
        <v>#N/A</v>
      </c>
    </row>
    <row r="201" spans="2:59" ht="15" customHeight="1">
      <c r="B201" s="2"/>
      <c r="Q201" s="2"/>
      <c r="AF201" s="2"/>
      <c r="AU201" s="2" t="e">
        <f t="shared" si="29"/>
        <v>#N/A</v>
      </c>
      <c r="AV201" s="96" t="e">
        <f t="shared" ca="1" si="30"/>
        <v>#N/A</v>
      </c>
      <c r="AW201" s="96" t="e">
        <f t="shared" ca="1" si="31"/>
        <v>#N/A</v>
      </c>
      <c r="AX201" s="96" t="e">
        <f t="shared" ca="1" si="32"/>
        <v>#N/A</v>
      </c>
      <c r="AY201" s="96" t="e">
        <f t="shared" ca="1" si="33"/>
        <v>#N/A</v>
      </c>
      <c r="AZ201" s="96" t="e">
        <f t="shared" ca="1" si="34"/>
        <v>#N/A</v>
      </c>
      <c r="BA201" s="96" t="e">
        <f t="shared" ca="1" si="35"/>
        <v>#N/A</v>
      </c>
      <c r="BB201" s="96" t="e">
        <f t="shared" ca="1" si="36"/>
        <v>#N/A</v>
      </c>
      <c r="BC201" s="96" t="e">
        <f t="shared" ca="1" si="37"/>
        <v>#N/A</v>
      </c>
      <c r="BD201" s="96" t="e">
        <f t="shared" ca="1" si="38"/>
        <v>#N/A</v>
      </c>
      <c r="BE201" s="96" t="e">
        <f t="shared" ca="1" si="39"/>
        <v>#N/A</v>
      </c>
      <c r="BF201" s="96" t="e">
        <f t="shared" ca="1" si="40"/>
        <v>#N/A</v>
      </c>
      <c r="BG201" s="96" t="e">
        <f t="shared" ca="1" si="41"/>
        <v>#N/A</v>
      </c>
    </row>
    <row r="202" spans="2:59" ht="15" customHeight="1">
      <c r="B202" s="2"/>
      <c r="Q202" s="2"/>
      <c r="AF202" s="2"/>
      <c r="AU202" s="2" t="e">
        <f t="shared" si="29"/>
        <v>#N/A</v>
      </c>
      <c r="AV202" s="96" t="e">
        <f t="shared" ca="1" si="30"/>
        <v>#N/A</v>
      </c>
      <c r="AW202" s="96" t="e">
        <f t="shared" ca="1" si="31"/>
        <v>#N/A</v>
      </c>
      <c r="AX202" s="96" t="e">
        <f t="shared" ca="1" si="32"/>
        <v>#N/A</v>
      </c>
      <c r="AY202" s="96" t="e">
        <f t="shared" ca="1" si="33"/>
        <v>#N/A</v>
      </c>
      <c r="AZ202" s="96" t="e">
        <f t="shared" ca="1" si="34"/>
        <v>#N/A</v>
      </c>
      <c r="BA202" s="96" t="e">
        <f t="shared" ca="1" si="35"/>
        <v>#N/A</v>
      </c>
      <c r="BB202" s="96" t="e">
        <f t="shared" ca="1" si="36"/>
        <v>#N/A</v>
      </c>
      <c r="BC202" s="96" t="e">
        <f t="shared" ca="1" si="37"/>
        <v>#N/A</v>
      </c>
      <c r="BD202" s="96" t="e">
        <f t="shared" ca="1" si="38"/>
        <v>#N/A</v>
      </c>
      <c r="BE202" s="96" t="e">
        <f t="shared" ca="1" si="39"/>
        <v>#N/A</v>
      </c>
      <c r="BF202" s="96" t="e">
        <f t="shared" ca="1" si="40"/>
        <v>#N/A</v>
      </c>
      <c r="BG202" s="96" t="e">
        <f t="shared" ca="1" si="41"/>
        <v>#N/A</v>
      </c>
    </row>
    <row r="203" spans="2:59" ht="15" customHeight="1">
      <c r="B203" s="2"/>
      <c r="Q203" s="2"/>
      <c r="AF203" s="2"/>
      <c r="AU203" s="2" t="e">
        <f t="shared" si="29"/>
        <v>#N/A</v>
      </c>
      <c r="AV203" s="96" t="e">
        <f t="shared" ca="1" si="30"/>
        <v>#N/A</v>
      </c>
      <c r="AW203" s="96" t="e">
        <f t="shared" ca="1" si="31"/>
        <v>#N/A</v>
      </c>
      <c r="AX203" s="96" t="e">
        <f t="shared" ca="1" si="32"/>
        <v>#N/A</v>
      </c>
      <c r="AY203" s="96" t="e">
        <f t="shared" ca="1" si="33"/>
        <v>#N/A</v>
      </c>
      <c r="AZ203" s="96" t="e">
        <f t="shared" ca="1" si="34"/>
        <v>#N/A</v>
      </c>
      <c r="BA203" s="96" t="e">
        <f t="shared" ca="1" si="35"/>
        <v>#N/A</v>
      </c>
      <c r="BB203" s="96" t="e">
        <f t="shared" ca="1" si="36"/>
        <v>#N/A</v>
      </c>
      <c r="BC203" s="96" t="e">
        <f t="shared" ca="1" si="37"/>
        <v>#N/A</v>
      </c>
      <c r="BD203" s="96" t="e">
        <f t="shared" ca="1" si="38"/>
        <v>#N/A</v>
      </c>
      <c r="BE203" s="96" t="e">
        <f t="shared" ca="1" si="39"/>
        <v>#N/A</v>
      </c>
      <c r="BF203" s="96" t="e">
        <f t="shared" ca="1" si="40"/>
        <v>#N/A</v>
      </c>
      <c r="BG203" s="96" t="e">
        <f t="shared" ca="1" si="41"/>
        <v>#N/A</v>
      </c>
    </row>
    <row r="204" spans="2:59" ht="15" customHeight="1">
      <c r="B204" s="2"/>
      <c r="Q204" s="2"/>
      <c r="AF204" s="2"/>
      <c r="AU204" s="2" t="e">
        <f t="shared" si="29"/>
        <v>#N/A</v>
      </c>
      <c r="AV204" s="96" t="e">
        <f t="shared" ca="1" si="30"/>
        <v>#N/A</v>
      </c>
      <c r="AW204" s="96" t="e">
        <f t="shared" ca="1" si="31"/>
        <v>#N/A</v>
      </c>
      <c r="AX204" s="96" t="e">
        <f t="shared" ca="1" si="32"/>
        <v>#N/A</v>
      </c>
      <c r="AY204" s="96" t="e">
        <f t="shared" ca="1" si="33"/>
        <v>#N/A</v>
      </c>
      <c r="AZ204" s="96" t="e">
        <f t="shared" ca="1" si="34"/>
        <v>#N/A</v>
      </c>
      <c r="BA204" s="96" t="e">
        <f t="shared" ca="1" si="35"/>
        <v>#N/A</v>
      </c>
      <c r="BB204" s="96" t="e">
        <f t="shared" ca="1" si="36"/>
        <v>#N/A</v>
      </c>
      <c r="BC204" s="96" t="e">
        <f t="shared" ca="1" si="37"/>
        <v>#N/A</v>
      </c>
      <c r="BD204" s="96" t="e">
        <f t="shared" ca="1" si="38"/>
        <v>#N/A</v>
      </c>
      <c r="BE204" s="96" t="e">
        <f t="shared" ca="1" si="39"/>
        <v>#N/A</v>
      </c>
      <c r="BF204" s="96" t="e">
        <f t="shared" ca="1" si="40"/>
        <v>#N/A</v>
      </c>
      <c r="BG204" s="96" t="e">
        <f t="shared" ca="1" si="41"/>
        <v>#N/A</v>
      </c>
    </row>
    <row r="205" spans="2:59" ht="15" customHeight="1">
      <c r="B205" s="2"/>
      <c r="Q205" s="2"/>
      <c r="AF205" s="2"/>
      <c r="AU205" s="2" t="e">
        <f t="shared" ref="AU205:AU268" si="42">IF(TRIM(B205)&lt;&gt;"", B205, NA())</f>
        <v>#N/A</v>
      </c>
      <c r="AV205" s="96" t="e">
        <f t="shared" ref="AV205:AV268" ca="1" si="43">IF(ISERROR(ABS(IF(AG$10="Y",100-AG205,AG205)-IF(R$10="Y",100-R205,R205))/C205), NA(), ABS(IF(AG$10="Y",100-AG205,AG205)-IF(R$10="Y",100-R205,R205))/C205)</f>
        <v>#N/A</v>
      </c>
      <c r="AW205" s="96" t="e">
        <f t="shared" ref="AW205:AW268" ca="1" si="44">IF(ISERROR(ABS(IF(AH$10="Y",100-AH205,AH205)-IF(S$10="Y",100-S205,S205))/D205), NA(), ABS(IF(AH$10="Y",100-AH205,AH205)-IF(S$10="Y",100-S205,S205))/D205)</f>
        <v>#N/A</v>
      </c>
      <c r="AX205" s="96" t="e">
        <f t="shared" ref="AX205:AX268" ca="1" si="45">IF(ISERROR(ABS(IF(AI$10="Y",100-AI205,AI205)-IF(T$10="Y",100-T205,T205))/E205), NA(), ABS(IF(AI$10="Y",100-AI205,AI205)-IF(T$10="Y",100-T205,T205))/E205)</f>
        <v>#N/A</v>
      </c>
      <c r="AY205" s="96" t="e">
        <f t="shared" ref="AY205:AY268" ca="1" si="46">IF(ISERROR(ABS(IF(AJ$10="Y",100-AJ205,AJ205)-IF(U$10="Y",100-U205,U205))/F205), NA(), ABS(IF(AJ$10="Y",100-AJ205,AJ205)-IF(U$10="Y",100-U205,U205))/F205)</f>
        <v>#N/A</v>
      </c>
      <c r="AZ205" s="96" t="e">
        <f t="shared" ref="AZ205:AZ268" ca="1" si="47">IF(ISERROR(ABS(IF(AK$10="Y",100-AK205,AK205)-IF(V$10="Y",100-V205,V205))/G205), NA(), ABS(IF(AK$10="Y",100-AK205,AK205)-IF(V$10="Y",100-V205,V205))/G205)</f>
        <v>#N/A</v>
      </c>
      <c r="BA205" s="96" t="e">
        <f t="shared" ref="BA205:BA268" ca="1" si="48">IF(ISERROR(ABS(IF(AL$10="Y",100-AL205,AL205)-IF(W$10="Y",100-W205,W205))/H205), NA(), ABS(IF(AL$10="Y",100-AL205,AL205)-IF(W$10="Y",100-W205,W205))/H205)</f>
        <v>#N/A</v>
      </c>
      <c r="BB205" s="96" t="e">
        <f t="shared" ref="BB205:BB268" ca="1" si="49">IF(ISERROR(ABS(IF(AM$10="Y",100-AM205,AM205)-IF(X$10="Y",100-X205,X205))/I205), NA(), ABS(IF(AM$10="Y",100-AM205,AM205)-IF(X$10="Y",100-X205,X205))/I205)</f>
        <v>#N/A</v>
      </c>
      <c r="BC205" s="96" t="e">
        <f t="shared" ref="BC205:BC268" ca="1" si="50">IF(ISERROR(ABS(IF(AN$10="Y",100-AN205,AN205)-IF(Y$10="Y",100-Y205,Y205))/J205), NA(), ABS(IF(AN$10="Y",100-AN205,AN205)-IF(Y$10="Y",100-Y205,Y205))/J205)</f>
        <v>#N/A</v>
      </c>
      <c r="BD205" s="96" t="e">
        <f t="shared" ref="BD205:BD268" ca="1" si="51">IF(ISERROR(ABS(IF(AO$10="Y",100-AO205,AO205)-IF(Z$10="Y",100-Z205,Z205))/K205), NA(), ABS(IF(AO$10="Y",100-AO205,AO205)-IF(Z$10="Y",100-Z205,Z205))/K205)</f>
        <v>#N/A</v>
      </c>
      <c r="BE205" s="96" t="e">
        <f t="shared" ref="BE205:BE268" ca="1" si="52">IF(ISERROR(ABS(IF(AP$10="Y",100-AP205,AP205)-IF(AA$10="Y",100-AA205,AA205))/L205), NA(), ABS(IF(AP$10="Y",100-AP205,AP205)-IF(AA$10="Y",100-AA205,AA205))/L205)</f>
        <v>#N/A</v>
      </c>
      <c r="BF205" s="96" t="e">
        <f t="shared" ref="BF205:BF268" ca="1" si="53">IF(ISERROR(ABS(IF(AQ$10="Y",100-AQ205,AQ205)-IF(AB$10="Y",100-AB205,AB205))/M205), NA(), ABS(IF(AQ$10="Y",100-AQ205,AQ205)-IF(AB$10="Y",100-AB205,AB205))/M205)</f>
        <v>#N/A</v>
      </c>
      <c r="BG205" s="96" t="e">
        <f t="shared" ref="BG205:BG268" ca="1" si="54">IF(ISERROR(ABS(IF(AR$10="Y",100-AR205,AR205)-IF(AC$10="Y",100-AC205,AC205))/N205), NA(), ABS(IF(AR$10="Y",100-AR205,AR205)-IF(AC$10="Y",100-AC205,AC205))/N205)</f>
        <v>#N/A</v>
      </c>
    </row>
    <row r="206" spans="2:59" ht="15" customHeight="1">
      <c r="B206" s="2"/>
      <c r="Q206" s="2"/>
      <c r="AF206" s="2"/>
      <c r="AU206" s="2" t="e">
        <f t="shared" si="42"/>
        <v>#N/A</v>
      </c>
      <c r="AV206" s="96" t="e">
        <f t="shared" ca="1" si="43"/>
        <v>#N/A</v>
      </c>
      <c r="AW206" s="96" t="e">
        <f t="shared" ca="1" si="44"/>
        <v>#N/A</v>
      </c>
      <c r="AX206" s="96" t="e">
        <f t="shared" ca="1" si="45"/>
        <v>#N/A</v>
      </c>
      <c r="AY206" s="96" t="e">
        <f t="shared" ca="1" si="46"/>
        <v>#N/A</v>
      </c>
      <c r="AZ206" s="96" t="e">
        <f t="shared" ca="1" si="47"/>
        <v>#N/A</v>
      </c>
      <c r="BA206" s="96" t="e">
        <f t="shared" ca="1" si="48"/>
        <v>#N/A</v>
      </c>
      <c r="BB206" s="96" t="e">
        <f t="shared" ca="1" si="49"/>
        <v>#N/A</v>
      </c>
      <c r="BC206" s="96" t="e">
        <f t="shared" ca="1" si="50"/>
        <v>#N/A</v>
      </c>
      <c r="BD206" s="96" t="e">
        <f t="shared" ca="1" si="51"/>
        <v>#N/A</v>
      </c>
      <c r="BE206" s="96" t="e">
        <f t="shared" ca="1" si="52"/>
        <v>#N/A</v>
      </c>
      <c r="BF206" s="96" t="e">
        <f t="shared" ca="1" si="53"/>
        <v>#N/A</v>
      </c>
      <c r="BG206" s="96" t="e">
        <f t="shared" ca="1" si="54"/>
        <v>#N/A</v>
      </c>
    </row>
    <row r="207" spans="2:59" ht="15" customHeight="1">
      <c r="B207" s="2"/>
      <c r="Q207" s="2"/>
      <c r="AF207" s="2"/>
      <c r="AU207" s="2" t="e">
        <f t="shared" si="42"/>
        <v>#N/A</v>
      </c>
      <c r="AV207" s="96" t="e">
        <f t="shared" ca="1" si="43"/>
        <v>#N/A</v>
      </c>
      <c r="AW207" s="96" t="e">
        <f t="shared" ca="1" si="44"/>
        <v>#N/A</v>
      </c>
      <c r="AX207" s="96" t="e">
        <f t="shared" ca="1" si="45"/>
        <v>#N/A</v>
      </c>
      <c r="AY207" s="96" t="e">
        <f t="shared" ca="1" si="46"/>
        <v>#N/A</v>
      </c>
      <c r="AZ207" s="96" t="e">
        <f t="shared" ca="1" si="47"/>
        <v>#N/A</v>
      </c>
      <c r="BA207" s="96" t="e">
        <f t="shared" ca="1" si="48"/>
        <v>#N/A</v>
      </c>
      <c r="BB207" s="96" t="e">
        <f t="shared" ca="1" si="49"/>
        <v>#N/A</v>
      </c>
      <c r="BC207" s="96" t="e">
        <f t="shared" ca="1" si="50"/>
        <v>#N/A</v>
      </c>
      <c r="BD207" s="96" t="e">
        <f t="shared" ca="1" si="51"/>
        <v>#N/A</v>
      </c>
      <c r="BE207" s="96" t="e">
        <f t="shared" ca="1" si="52"/>
        <v>#N/A</v>
      </c>
      <c r="BF207" s="96" t="e">
        <f t="shared" ca="1" si="53"/>
        <v>#N/A</v>
      </c>
      <c r="BG207" s="96" t="e">
        <f t="shared" ca="1" si="54"/>
        <v>#N/A</v>
      </c>
    </row>
    <row r="208" spans="2:59" ht="15" customHeight="1">
      <c r="B208" s="2"/>
      <c r="Q208" s="2"/>
      <c r="AF208" s="2"/>
      <c r="AU208" s="2" t="e">
        <f t="shared" si="42"/>
        <v>#N/A</v>
      </c>
      <c r="AV208" s="96" t="e">
        <f t="shared" ca="1" si="43"/>
        <v>#N/A</v>
      </c>
      <c r="AW208" s="96" t="e">
        <f t="shared" ca="1" si="44"/>
        <v>#N/A</v>
      </c>
      <c r="AX208" s="96" t="e">
        <f t="shared" ca="1" si="45"/>
        <v>#N/A</v>
      </c>
      <c r="AY208" s="96" t="e">
        <f t="shared" ca="1" si="46"/>
        <v>#N/A</v>
      </c>
      <c r="AZ208" s="96" t="e">
        <f t="shared" ca="1" si="47"/>
        <v>#N/A</v>
      </c>
      <c r="BA208" s="96" t="e">
        <f t="shared" ca="1" si="48"/>
        <v>#N/A</v>
      </c>
      <c r="BB208" s="96" t="e">
        <f t="shared" ca="1" si="49"/>
        <v>#N/A</v>
      </c>
      <c r="BC208" s="96" t="e">
        <f t="shared" ca="1" si="50"/>
        <v>#N/A</v>
      </c>
      <c r="BD208" s="96" t="e">
        <f t="shared" ca="1" si="51"/>
        <v>#N/A</v>
      </c>
      <c r="BE208" s="96" t="e">
        <f t="shared" ca="1" si="52"/>
        <v>#N/A</v>
      </c>
      <c r="BF208" s="96" t="e">
        <f t="shared" ca="1" si="53"/>
        <v>#N/A</v>
      </c>
      <c r="BG208" s="96" t="e">
        <f t="shared" ca="1" si="54"/>
        <v>#N/A</v>
      </c>
    </row>
    <row r="209" spans="2:59" ht="15" customHeight="1">
      <c r="B209" s="2"/>
      <c r="Q209" s="2"/>
      <c r="AF209" s="2"/>
      <c r="AU209" s="2" t="e">
        <f t="shared" si="42"/>
        <v>#N/A</v>
      </c>
      <c r="AV209" s="96" t="e">
        <f t="shared" ca="1" si="43"/>
        <v>#N/A</v>
      </c>
      <c r="AW209" s="96" t="e">
        <f t="shared" ca="1" si="44"/>
        <v>#N/A</v>
      </c>
      <c r="AX209" s="96" t="e">
        <f t="shared" ca="1" si="45"/>
        <v>#N/A</v>
      </c>
      <c r="AY209" s="96" t="e">
        <f t="shared" ca="1" si="46"/>
        <v>#N/A</v>
      </c>
      <c r="AZ209" s="96" t="e">
        <f t="shared" ca="1" si="47"/>
        <v>#N/A</v>
      </c>
      <c r="BA209" s="96" t="e">
        <f t="shared" ca="1" si="48"/>
        <v>#N/A</v>
      </c>
      <c r="BB209" s="96" t="e">
        <f t="shared" ca="1" si="49"/>
        <v>#N/A</v>
      </c>
      <c r="BC209" s="96" t="e">
        <f t="shared" ca="1" si="50"/>
        <v>#N/A</v>
      </c>
      <c r="BD209" s="96" t="e">
        <f t="shared" ca="1" si="51"/>
        <v>#N/A</v>
      </c>
      <c r="BE209" s="96" t="e">
        <f t="shared" ca="1" si="52"/>
        <v>#N/A</v>
      </c>
      <c r="BF209" s="96" t="e">
        <f t="shared" ca="1" si="53"/>
        <v>#N/A</v>
      </c>
      <c r="BG209" s="96" t="e">
        <f t="shared" ca="1" si="54"/>
        <v>#N/A</v>
      </c>
    </row>
    <row r="210" spans="2:59" ht="15" customHeight="1">
      <c r="B210" s="2"/>
      <c r="Q210" s="2"/>
      <c r="AF210" s="2"/>
      <c r="AU210" s="2" t="e">
        <f t="shared" si="42"/>
        <v>#N/A</v>
      </c>
      <c r="AV210" s="96" t="e">
        <f t="shared" ca="1" si="43"/>
        <v>#N/A</v>
      </c>
      <c r="AW210" s="96" t="e">
        <f t="shared" ca="1" si="44"/>
        <v>#N/A</v>
      </c>
      <c r="AX210" s="96" t="e">
        <f t="shared" ca="1" si="45"/>
        <v>#N/A</v>
      </c>
      <c r="AY210" s="96" t="e">
        <f t="shared" ca="1" si="46"/>
        <v>#N/A</v>
      </c>
      <c r="AZ210" s="96" t="e">
        <f t="shared" ca="1" si="47"/>
        <v>#N/A</v>
      </c>
      <c r="BA210" s="96" t="e">
        <f t="shared" ca="1" si="48"/>
        <v>#N/A</v>
      </c>
      <c r="BB210" s="96" t="e">
        <f t="shared" ca="1" si="49"/>
        <v>#N/A</v>
      </c>
      <c r="BC210" s="96" t="e">
        <f t="shared" ca="1" si="50"/>
        <v>#N/A</v>
      </c>
      <c r="BD210" s="96" t="e">
        <f t="shared" ca="1" si="51"/>
        <v>#N/A</v>
      </c>
      <c r="BE210" s="96" t="e">
        <f t="shared" ca="1" si="52"/>
        <v>#N/A</v>
      </c>
      <c r="BF210" s="96" t="e">
        <f t="shared" ca="1" si="53"/>
        <v>#N/A</v>
      </c>
      <c r="BG210" s="96" t="e">
        <f t="shared" ca="1" si="54"/>
        <v>#N/A</v>
      </c>
    </row>
    <row r="211" spans="2:59" ht="15" customHeight="1">
      <c r="B211" s="2"/>
      <c r="Q211" s="2"/>
      <c r="AF211" s="2"/>
      <c r="AU211" s="2" t="e">
        <f t="shared" si="42"/>
        <v>#N/A</v>
      </c>
      <c r="AV211" s="96" t="e">
        <f t="shared" ca="1" si="43"/>
        <v>#N/A</v>
      </c>
      <c r="AW211" s="96" t="e">
        <f t="shared" ca="1" si="44"/>
        <v>#N/A</v>
      </c>
      <c r="AX211" s="96" t="e">
        <f t="shared" ca="1" si="45"/>
        <v>#N/A</v>
      </c>
      <c r="AY211" s="96" t="e">
        <f t="shared" ca="1" si="46"/>
        <v>#N/A</v>
      </c>
      <c r="AZ211" s="96" t="e">
        <f t="shared" ca="1" si="47"/>
        <v>#N/A</v>
      </c>
      <c r="BA211" s="96" t="e">
        <f t="shared" ca="1" si="48"/>
        <v>#N/A</v>
      </c>
      <c r="BB211" s="96" t="e">
        <f t="shared" ca="1" si="49"/>
        <v>#N/A</v>
      </c>
      <c r="BC211" s="96" t="e">
        <f t="shared" ca="1" si="50"/>
        <v>#N/A</v>
      </c>
      <c r="BD211" s="96" t="e">
        <f t="shared" ca="1" si="51"/>
        <v>#N/A</v>
      </c>
      <c r="BE211" s="96" t="e">
        <f t="shared" ca="1" si="52"/>
        <v>#N/A</v>
      </c>
      <c r="BF211" s="96" t="e">
        <f t="shared" ca="1" si="53"/>
        <v>#N/A</v>
      </c>
      <c r="BG211" s="96" t="e">
        <f t="shared" ca="1" si="54"/>
        <v>#N/A</v>
      </c>
    </row>
    <row r="212" spans="2:59" ht="15" customHeight="1">
      <c r="B212" s="2"/>
      <c r="Q212" s="2"/>
      <c r="AF212" s="2"/>
      <c r="AU212" s="2" t="e">
        <f t="shared" si="42"/>
        <v>#N/A</v>
      </c>
      <c r="AV212" s="96" t="e">
        <f t="shared" ca="1" si="43"/>
        <v>#N/A</v>
      </c>
      <c r="AW212" s="96" t="e">
        <f t="shared" ca="1" si="44"/>
        <v>#N/A</v>
      </c>
      <c r="AX212" s="96" t="e">
        <f t="shared" ca="1" si="45"/>
        <v>#N/A</v>
      </c>
      <c r="AY212" s="96" t="e">
        <f t="shared" ca="1" si="46"/>
        <v>#N/A</v>
      </c>
      <c r="AZ212" s="96" t="e">
        <f t="shared" ca="1" si="47"/>
        <v>#N/A</v>
      </c>
      <c r="BA212" s="96" t="e">
        <f t="shared" ca="1" si="48"/>
        <v>#N/A</v>
      </c>
      <c r="BB212" s="96" t="e">
        <f t="shared" ca="1" si="49"/>
        <v>#N/A</v>
      </c>
      <c r="BC212" s="96" t="e">
        <f t="shared" ca="1" si="50"/>
        <v>#N/A</v>
      </c>
      <c r="BD212" s="96" t="e">
        <f t="shared" ca="1" si="51"/>
        <v>#N/A</v>
      </c>
      <c r="BE212" s="96" t="e">
        <f t="shared" ca="1" si="52"/>
        <v>#N/A</v>
      </c>
      <c r="BF212" s="96" t="e">
        <f t="shared" ca="1" si="53"/>
        <v>#N/A</v>
      </c>
      <c r="BG212" s="96" t="e">
        <f t="shared" ca="1" si="54"/>
        <v>#N/A</v>
      </c>
    </row>
    <row r="213" spans="2:59" ht="15" customHeight="1">
      <c r="B213" s="2"/>
      <c r="Q213" s="2"/>
      <c r="AF213" s="2"/>
      <c r="AU213" s="2" t="e">
        <f t="shared" si="42"/>
        <v>#N/A</v>
      </c>
      <c r="AV213" s="96" t="e">
        <f t="shared" ca="1" si="43"/>
        <v>#N/A</v>
      </c>
      <c r="AW213" s="96" t="e">
        <f t="shared" ca="1" si="44"/>
        <v>#N/A</v>
      </c>
      <c r="AX213" s="96" t="e">
        <f t="shared" ca="1" si="45"/>
        <v>#N/A</v>
      </c>
      <c r="AY213" s="96" t="e">
        <f t="shared" ca="1" si="46"/>
        <v>#N/A</v>
      </c>
      <c r="AZ213" s="96" t="e">
        <f t="shared" ca="1" si="47"/>
        <v>#N/A</v>
      </c>
      <c r="BA213" s="96" t="e">
        <f t="shared" ca="1" si="48"/>
        <v>#N/A</v>
      </c>
      <c r="BB213" s="96" t="e">
        <f t="shared" ca="1" si="49"/>
        <v>#N/A</v>
      </c>
      <c r="BC213" s="96" t="e">
        <f t="shared" ca="1" si="50"/>
        <v>#N/A</v>
      </c>
      <c r="BD213" s="96" t="e">
        <f t="shared" ca="1" si="51"/>
        <v>#N/A</v>
      </c>
      <c r="BE213" s="96" t="e">
        <f t="shared" ca="1" si="52"/>
        <v>#N/A</v>
      </c>
      <c r="BF213" s="96" t="e">
        <f t="shared" ca="1" si="53"/>
        <v>#N/A</v>
      </c>
      <c r="BG213" s="96" t="e">
        <f t="shared" ca="1" si="54"/>
        <v>#N/A</v>
      </c>
    </row>
    <row r="214" spans="2:59" ht="15" customHeight="1">
      <c r="B214" s="2"/>
      <c r="Q214" s="2"/>
      <c r="AF214" s="2"/>
      <c r="AU214" s="2" t="e">
        <f t="shared" si="42"/>
        <v>#N/A</v>
      </c>
      <c r="AV214" s="96" t="e">
        <f t="shared" ca="1" si="43"/>
        <v>#N/A</v>
      </c>
      <c r="AW214" s="96" t="e">
        <f t="shared" ca="1" si="44"/>
        <v>#N/A</v>
      </c>
      <c r="AX214" s="96" t="e">
        <f t="shared" ca="1" si="45"/>
        <v>#N/A</v>
      </c>
      <c r="AY214" s="96" t="e">
        <f t="shared" ca="1" si="46"/>
        <v>#N/A</v>
      </c>
      <c r="AZ214" s="96" t="e">
        <f t="shared" ca="1" si="47"/>
        <v>#N/A</v>
      </c>
      <c r="BA214" s="96" t="e">
        <f t="shared" ca="1" si="48"/>
        <v>#N/A</v>
      </c>
      <c r="BB214" s="96" t="e">
        <f t="shared" ca="1" si="49"/>
        <v>#N/A</v>
      </c>
      <c r="BC214" s="96" t="e">
        <f t="shared" ca="1" si="50"/>
        <v>#N/A</v>
      </c>
      <c r="BD214" s="96" t="e">
        <f t="shared" ca="1" si="51"/>
        <v>#N/A</v>
      </c>
      <c r="BE214" s="96" t="e">
        <f t="shared" ca="1" si="52"/>
        <v>#N/A</v>
      </c>
      <c r="BF214" s="96" t="e">
        <f t="shared" ca="1" si="53"/>
        <v>#N/A</v>
      </c>
      <c r="BG214" s="96" t="e">
        <f t="shared" ca="1" si="54"/>
        <v>#N/A</v>
      </c>
    </row>
    <row r="215" spans="2:59" ht="15" customHeight="1">
      <c r="B215" s="2"/>
      <c r="Q215" s="2"/>
      <c r="AF215" s="2"/>
      <c r="AU215" s="2" t="e">
        <f t="shared" si="42"/>
        <v>#N/A</v>
      </c>
      <c r="AV215" s="96" t="e">
        <f t="shared" ca="1" si="43"/>
        <v>#N/A</v>
      </c>
      <c r="AW215" s="96" t="e">
        <f t="shared" ca="1" si="44"/>
        <v>#N/A</v>
      </c>
      <c r="AX215" s="96" t="e">
        <f t="shared" ca="1" si="45"/>
        <v>#N/A</v>
      </c>
      <c r="AY215" s="96" t="e">
        <f t="shared" ca="1" si="46"/>
        <v>#N/A</v>
      </c>
      <c r="AZ215" s="96" t="e">
        <f t="shared" ca="1" si="47"/>
        <v>#N/A</v>
      </c>
      <c r="BA215" s="96" t="e">
        <f t="shared" ca="1" si="48"/>
        <v>#N/A</v>
      </c>
      <c r="BB215" s="96" t="e">
        <f t="shared" ca="1" si="49"/>
        <v>#N/A</v>
      </c>
      <c r="BC215" s="96" t="e">
        <f t="shared" ca="1" si="50"/>
        <v>#N/A</v>
      </c>
      <c r="BD215" s="96" t="e">
        <f t="shared" ca="1" si="51"/>
        <v>#N/A</v>
      </c>
      <c r="BE215" s="96" t="e">
        <f t="shared" ca="1" si="52"/>
        <v>#N/A</v>
      </c>
      <c r="BF215" s="96" t="e">
        <f t="shared" ca="1" si="53"/>
        <v>#N/A</v>
      </c>
      <c r="BG215" s="96" t="e">
        <f t="shared" ca="1" si="54"/>
        <v>#N/A</v>
      </c>
    </row>
    <row r="216" spans="2:59" ht="15" customHeight="1">
      <c r="B216" s="2"/>
      <c r="Q216" s="2"/>
      <c r="AF216" s="2"/>
      <c r="AU216" s="2" t="e">
        <f t="shared" si="42"/>
        <v>#N/A</v>
      </c>
      <c r="AV216" s="96" t="e">
        <f t="shared" ca="1" si="43"/>
        <v>#N/A</v>
      </c>
      <c r="AW216" s="96" t="e">
        <f t="shared" ca="1" si="44"/>
        <v>#N/A</v>
      </c>
      <c r="AX216" s="96" t="e">
        <f t="shared" ca="1" si="45"/>
        <v>#N/A</v>
      </c>
      <c r="AY216" s="96" t="e">
        <f t="shared" ca="1" si="46"/>
        <v>#N/A</v>
      </c>
      <c r="AZ216" s="96" t="e">
        <f t="shared" ca="1" si="47"/>
        <v>#N/A</v>
      </c>
      <c r="BA216" s="96" t="e">
        <f t="shared" ca="1" si="48"/>
        <v>#N/A</v>
      </c>
      <c r="BB216" s="96" t="e">
        <f t="shared" ca="1" si="49"/>
        <v>#N/A</v>
      </c>
      <c r="BC216" s="96" t="e">
        <f t="shared" ca="1" si="50"/>
        <v>#N/A</v>
      </c>
      <c r="BD216" s="96" t="e">
        <f t="shared" ca="1" si="51"/>
        <v>#N/A</v>
      </c>
      <c r="BE216" s="96" t="e">
        <f t="shared" ca="1" si="52"/>
        <v>#N/A</v>
      </c>
      <c r="BF216" s="96" t="e">
        <f t="shared" ca="1" si="53"/>
        <v>#N/A</v>
      </c>
      <c r="BG216" s="96" t="e">
        <f t="shared" ca="1" si="54"/>
        <v>#N/A</v>
      </c>
    </row>
    <row r="217" spans="2:59" ht="15" customHeight="1">
      <c r="B217" s="2"/>
      <c r="Q217" s="2"/>
      <c r="AF217" s="2"/>
      <c r="AU217" s="2" t="e">
        <f t="shared" si="42"/>
        <v>#N/A</v>
      </c>
      <c r="AV217" s="96" t="e">
        <f t="shared" ca="1" si="43"/>
        <v>#N/A</v>
      </c>
      <c r="AW217" s="96" t="e">
        <f t="shared" ca="1" si="44"/>
        <v>#N/A</v>
      </c>
      <c r="AX217" s="96" t="e">
        <f t="shared" ca="1" si="45"/>
        <v>#N/A</v>
      </c>
      <c r="AY217" s="96" t="e">
        <f t="shared" ca="1" si="46"/>
        <v>#N/A</v>
      </c>
      <c r="AZ217" s="96" t="e">
        <f t="shared" ca="1" si="47"/>
        <v>#N/A</v>
      </c>
      <c r="BA217" s="96" t="e">
        <f t="shared" ca="1" si="48"/>
        <v>#N/A</v>
      </c>
      <c r="BB217" s="96" t="e">
        <f t="shared" ca="1" si="49"/>
        <v>#N/A</v>
      </c>
      <c r="BC217" s="96" t="e">
        <f t="shared" ca="1" si="50"/>
        <v>#N/A</v>
      </c>
      <c r="BD217" s="96" t="e">
        <f t="shared" ca="1" si="51"/>
        <v>#N/A</v>
      </c>
      <c r="BE217" s="96" t="e">
        <f t="shared" ca="1" si="52"/>
        <v>#N/A</v>
      </c>
      <c r="BF217" s="96" t="e">
        <f t="shared" ca="1" si="53"/>
        <v>#N/A</v>
      </c>
      <c r="BG217" s="96" t="e">
        <f t="shared" ca="1" si="54"/>
        <v>#N/A</v>
      </c>
    </row>
    <row r="218" spans="2:59" ht="15" customHeight="1">
      <c r="B218" s="2"/>
      <c r="Q218" s="2"/>
      <c r="AF218" s="2"/>
      <c r="AU218" s="2" t="e">
        <f t="shared" si="42"/>
        <v>#N/A</v>
      </c>
      <c r="AV218" s="96" t="e">
        <f t="shared" ca="1" si="43"/>
        <v>#N/A</v>
      </c>
      <c r="AW218" s="96" t="e">
        <f t="shared" ca="1" si="44"/>
        <v>#N/A</v>
      </c>
      <c r="AX218" s="96" t="e">
        <f t="shared" ca="1" si="45"/>
        <v>#N/A</v>
      </c>
      <c r="AY218" s="96" t="e">
        <f t="shared" ca="1" si="46"/>
        <v>#N/A</v>
      </c>
      <c r="AZ218" s="96" t="e">
        <f t="shared" ca="1" si="47"/>
        <v>#N/A</v>
      </c>
      <c r="BA218" s="96" t="e">
        <f t="shared" ca="1" si="48"/>
        <v>#N/A</v>
      </c>
      <c r="BB218" s="96" t="e">
        <f t="shared" ca="1" si="49"/>
        <v>#N/A</v>
      </c>
      <c r="BC218" s="96" t="e">
        <f t="shared" ca="1" si="50"/>
        <v>#N/A</v>
      </c>
      <c r="BD218" s="96" t="e">
        <f t="shared" ca="1" si="51"/>
        <v>#N/A</v>
      </c>
      <c r="BE218" s="96" t="e">
        <f t="shared" ca="1" si="52"/>
        <v>#N/A</v>
      </c>
      <c r="BF218" s="96" t="e">
        <f t="shared" ca="1" si="53"/>
        <v>#N/A</v>
      </c>
      <c r="BG218" s="96" t="e">
        <f t="shared" ca="1" si="54"/>
        <v>#N/A</v>
      </c>
    </row>
    <row r="219" spans="2:59" ht="15" customHeight="1">
      <c r="B219" s="2"/>
      <c r="Q219" s="2"/>
      <c r="AF219" s="2"/>
      <c r="AU219" s="2" t="e">
        <f t="shared" si="42"/>
        <v>#N/A</v>
      </c>
      <c r="AV219" s="96" t="e">
        <f t="shared" ca="1" si="43"/>
        <v>#N/A</v>
      </c>
      <c r="AW219" s="96" t="e">
        <f t="shared" ca="1" si="44"/>
        <v>#N/A</v>
      </c>
      <c r="AX219" s="96" t="e">
        <f t="shared" ca="1" si="45"/>
        <v>#N/A</v>
      </c>
      <c r="AY219" s="96" t="e">
        <f t="shared" ca="1" si="46"/>
        <v>#N/A</v>
      </c>
      <c r="AZ219" s="96" t="e">
        <f t="shared" ca="1" si="47"/>
        <v>#N/A</v>
      </c>
      <c r="BA219" s="96" t="e">
        <f t="shared" ca="1" si="48"/>
        <v>#N/A</v>
      </c>
      <c r="BB219" s="96" t="e">
        <f t="shared" ca="1" si="49"/>
        <v>#N/A</v>
      </c>
      <c r="BC219" s="96" t="e">
        <f t="shared" ca="1" si="50"/>
        <v>#N/A</v>
      </c>
      <c r="BD219" s="96" t="e">
        <f t="shared" ca="1" si="51"/>
        <v>#N/A</v>
      </c>
      <c r="BE219" s="96" t="e">
        <f t="shared" ca="1" si="52"/>
        <v>#N/A</v>
      </c>
      <c r="BF219" s="96" t="e">
        <f t="shared" ca="1" si="53"/>
        <v>#N/A</v>
      </c>
      <c r="BG219" s="96" t="e">
        <f t="shared" ca="1" si="54"/>
        <v>#N/A</v>
      </c>
    </row>
    <row r="220" spans="2:59" ht="15" customHeight="1">
      <c r="B220" s="2"/>
      <c r="Q220" s="2"/>
      <c r="AF220" s="2"/>
      <c r="AU220" s="2" t="e">
        <f t="shared" si="42"/>
        <v>#N/A</v>
      </c>
      <c r="AV220" s="96" t="e">
        <f t="shared" ca="1" si="43"/>
        <v>#N/A</v>
      </c>
      <c r="AW220" s="96" t="e">
        <f t="shared" ca="1" si="44"/>
        <v>#N/A</v>
      </c>
      <c r="AX220" s="96" t="e">
        <f t="shared" ca="1" si="45"/>
        <v>#N/A</v>
      </c>
      <c r="AY220" s="96" t="e">
        <f t="shared" ca="1" si="46"/>
        <v>#N/A</v>
      </c>
      <c r="AZ220" s="96" t="e">
        <f t="shared" ca="1" si="47"/>
        <v>#N/A</v>
      </c>
      <c r="BA220" s="96" t="e">
        <f t="shared" ca="1" si="48"/>
        <v>#N/A</v>
      </c>
      <c r="BB220" s="96" t="e">
        <f t="shared" ca="1" si="49"/>
        <v>#N/A</v>
      </c>
      <c r="BC220" s="96" t="e">
        <f t="shared" ca="1" si="50"/>
        <v>#N/A</v>
      </c>
      <c r="BD220" s="96" t="e">
        <f t="shared" ca="1" si="51"/>
        <v>#N/A</v>
      </c>
      <c r="BE220" s="96" t="e">
        <f t="shared" ca="1" si="52"/>
        <v>#N/A</v>
      </c>
      <c r="BF220" s="96" t="e">
        <f t="shared" ca="1" si="53"/>
        <v>#N/A</v>
      </c>
      <c r="BG220" s="96" t="e">
        <f t="shared" ca="1" si="54"/>
        <v>#N/A</v>
      </c>
    </row>
    <row r="221" spans="2:59" ht="15" customHeight="1">
      <c r="B221" s="2"/>
      <c r="Q221" s="2"/>
      <c r="AF221" s="2"/>
      <c r="AU221" s="2" t="e">
        <f t="shared" si="42"/>
        <v>#N/A</v>
      </c>
      <c r="AV221" s="96" t="e">
        <f t="shared" ca="1" si="43"/>
        <v>#N/A</v>
      </c>
      <c r="AW221" s="96" t="e">
        <f t="shared" ca="1" si="44"/>
        <v>#N/A</v>
      </c>
      <c r="AX221" s="96" t="e">
        <f t="shared" ca="1" si="45"/>
        <v>#N/A</v>
      </c>
      <c r="AY221" s="96" t="e">
        <f t="shared" ca="1" si="46"/>
        <v>#N/A</v>
      </c>
      <c r="AZ221" s="96" t="e">
        <f t="shared" ca="1" si="47"/>
        <v>#N/A</v>
      </c>
      <c r="BA221" s="96" t="e">
        <f t="shared" ca="1" si="48"/>
        <v>#N/A</v>
      </c>
      <c r="BB221" s="96" t="e">
        <f t="shared" ca="1" si="49"/>
        <v>#N/A</v>
      </c>
      <c r="BC221" s="96" t="e">
        <f t="shared" ca="1" si="50"/>
        <v>#N/A</v>
      </c>
      <c r="BD221" s="96" t="e">
        <f t="shared" ca="1" si="51"/>
        <v>#N/A</v>
      </c>
      <c r="BE221" s="96" t="e">
        <f t="shared" ca="1" si="52"/>
        <v>#N/A</v>
      </c>
      <c r="BF221" s="96" t="e">
        <f t="shared" ca="1" si="53"/>
        <v>#N/A</v>
      </c>
      <c r="BG221" s="96" t="e">
        <f t="shared" ca="1" si="54"/>
        <v>#N/A</v>
      </c>
    </row>
    <row r="222" spans="2:59" ht="15" customHeight="1">
      <c r="B222" s="2"/>
      <c r="Q222" s="2"/>
      <c r="AF222" s="2"/>
      <c r="AU222" s="2" t="e">
        <f t="shared" si="42"/>
        <v>#N/A</v>
      </c>
      <c r="AV222" s="96" t="e">
        <f t="shared" ca="1" si="43"/>
        <v>#N/A</v>
      </c>
      <c r="AW222" s="96" t="e">
        <f t="shared" ca="1" si="44"/>
        <v>#N/A</v>
      </c>
      <c r="AX222" s="96" t="e">
        <f t="shared" ca="1" si="45"/>
        <v>#N/A</v>
      </c>
      <c r="AY222" s="96" t="e">
        <f t="shared" ca="1" si="46"/>
        <v>#N/A</v>
      </c>
      <c r="AZ222" s="96" t="e">
        <f t="shared" ca="1" si="47"/>
        <v>#N/A</v>
      </c>
      <c r="BA222" s="96" t="e">
        <f t="shared" ca="1" si="48"/>
        <v>#N/A</v>
      </c>
      <c r="BB222" s="96" t="e">
        <f t="shared" ca="1" si="49"/>
        <v>#N/A</v>
      </c>
      <c r="BC222" s="96" t="e">
        <f t="shared" ca="1" si="50"/>
        <v>#N/A</v>
      </c>
      <c r="BD222" s="96" t="e">
        <f t="shared" ca="1" si="51"/>
        <v>#N/A</v>
      </c>
      <c r="BE222" s="96" t="e">
        <f t="shared" ca="1" si="52"/>
        <v>#N/A</v>
      </c>
      <c r="BF222" s="96" t="e">
        <f t="shared" ca="1" si="53"/>
        <v>#N/A</v>
      </c>
      <c r="BG222" s="96" t="e">
        <f t="shared" ca="1" si="54"/>
        <v>#N/A</v>
      </c>
    </row>
    <row r="223" spans="2:59" ht="15" customHeight="1">
      <c r="B223" s="2"/>
      <c r="Q223" s="2"/>
      <c r="AF223" s="2"/>
      <c r="AU223" s="2" t="e">
        <f t="shared" si="42"/>
        <v>#N/A</v>
      </c>
      <c r="AV223" s="96" t="e">
        <f t="shared" ca="1" si="43"/>
        <v>#N/A</v>
      </c>
      <c r="AW223" s="96" t="e">
        <f t="shared" ca="1" si="44"/>
        <v>#N/A</v>
      </c>
      <c r="AX223" s="96" t="e">
        <f t="shared" ca="1" si="45"/>
        <v>#N/A</v>
      </c>
      <c r="AY223" s="96" t="e">
        <f t="shared" ca="1" si="46"/>
        <v>#N/A</v>
      </c>
      <c r="AZ223" s="96" t="e">
        <f t="shared" ca="1" si="47"/>
        <v>#N/A</v>
      </c>
      <c r="BA223" s="96" t="e">
        <f t="shared" ca="1" si="48"/>
        <v>#N/A</v>
      </c>
      <c r="BB223" s="96" t="e">
        <f t="shared" ca="1" si="49"/>
        <v>#N/A</v>
      </c>
      <c r="BC223" s="96" t="e">
        <f t="shared" ca="1" si="50"/>
        <v>#N/A</v>
      </c>
      <c r="BD223" s="96" t="e">
        <f t="shared" ca="1" si="51"/>
        <v>#N/A</v>
      </c>
      <c r="BE223" s="96" t="e">
        <f t="shared" ca="1" si="52"/>
        <v>#N/A</v>
      </c>
      <c r="BF223" s="96" t="e">
        <f t="shared" ca="1" si="53"/>
        <v>#N/A</v>
      </c>
      <c r="BG223" s="96" t="e">
        <f t="shared" ca="1" si="54"/>
        <v>#N/A</v>
      </c>
    </row>
    <row r="224" spans="2:59" ht="15" customHeight="1">
      <c r="B224" s="2"/>
      <c r="Q224" s="2"/>
      <c r="AF224" s="2"/>
      <c r="AU224" s="2" t="e">
        <f t="shared" si="42"/>
        <v>#N/A</v>
      </c>
      <c r="AV224" s="96" t="e">
        <f t="shared" ca="1" si="43"/>
        <v>#N/A</v>
      </c>
      <c r="AW224" s="96" t="e">
        <f t="shared" ca="1" si="44"/>
        <v>#N/A</v>
      </c>
      <c r="AX224" s="96" t="e">
        <f t="shared" ca="1" si="45"/>
        <v>#N/A</v>
      </c>
      <c r="AY224" s="96" t="e">
        <f t="shared" ca="1" si="46"/>
        <v>#N/A</v>
      </c>
      <c r="AZ224" s="96" t="e">
        <f t="shared" ca="1" si="47"/>
        <v>#N/A</v>
      </c>
      <c r="BA224" s="96" t="e">
        <f t="shared" ca="1" si="48"/>
        <v>#N/A</v>
      </c>
      <c r="BB224" s="96" t="e">
        <f t="shared" ca="1" si="49"/>
        <v>#N/A</v>
      </c>
      <c r="BC224" s="96" t="e">
        <f t="shared" ca="1" si="50"/>
        <v>#N/A</v>
      </c>
      <c r="BD224" s="96" t="e">
        <f t="shared" ca="1" si="51"/>
        <v>#N/A</v>
      </c>
      <c r="BE224" s="96" t="e">
        <f t="shared" ca="1" si="52"/>
        <v>#N/A</v>
      </c>
      <c r="BF224" s="96" t="e">
        <f t="shared" ca="1" si="53"/>
        <v>#N/A</v>
      </c>
      <c r="BG224" s="96" t="e">
        <f t="shared" ca="1" si="54"/>
        <v>#N/A</v>
      </c>
    </row>
    <row r="225" spans="2:59" ht="15" customHeight="1">
      <c r="B225" s="2"/>
      <c r="Q225" s="2"/>
      <c r="AF225" s="2"/>
      <c r="AU225" s="2" t="e">
        <f t="shared" si="42"/>
        <v>#N/A</v>
      </c>
      <c r="AV225" s="96" t="e">
        <f t="shared" ca="1" si="43"/>
        <v>#N/A</v>
      </c>
      <c r="AW225" s="96" t="e">
        <f t="shared" ca="1" si="44"/>
        <v>#N/A</v>
      </c>
      <c r="AX225" s="96" t="e">
        <f t="shared" ca="1" si="45"/>
        <v>#N/A</v>
      </c>
      <c r="AY225" s="96" t="e">
        <f t="shared" ca="1" si="46"/>
        <v>#N/A</v>
      </c>
      <c r="AZ225" s="96" t="e">
        <f t="shared" ca="1" si="47"/>
        <v>#N/A</v>
      </c>
      <c r="BA225" s="96" t="e">
        <f t="shared" ca="1" si="48"/>
        <v>#N/A</v>
      </c>
      <c r="BB225" s="96" t="e">
        <f t="shared" ca="1" si="49"/>
        <v>#N/A</v>
      </c>
      <c r="BC225" s="96" t="e">
        <f t="shared" ca="1" si="50"/>
        <v>#N/A</v>
      </c>
      <c r="BD225" s="96" t="e">
        <f t="shared" ca="1" si="51"/>
        <v>#N/A</v>
      </c>
      <c r="BE225" s="96" t="e">
        <f t="shared" ca="1" si="52"/>
        <v>#N/A</v>
      </c>
      <c r="BF225" s="96" t="e">
        <f t="shared" ca="1" si="53"/>
        <v>#N/A</v>
      </c>
      <c r="BG225" s="96" t="e">
        <f t="shared" ca="1" si="54"/>
        <v>#N/A</v>
      </c>
    </row>
    <row r="226" spans="2:59" ht="15" customHeight="1">
      <c r="B226" s="2"/>
      <c r="Q226" s="2"/>
      <c r="AF226" s="2"/>
      <c r="AU226" s="2" t="e">
        <f t="shared" si="42"/>
        <v>#N/A</v>
      </c>
      <c r="AV226" s="96" t="e">
        <f t="shared" ca="1" si="43"/>
        <v>#N/A</v>
      </c>
      <c r="AW226" s="96" t="e">
        <f t="shared" ca="1" si="44"/>
        <v>#N/A</v>
      </c>
      <c r="AX226" s="96" t="e">
        <f t="shared" ca="1" si="45"/>
        <v>#N/A</v>
      </c>
      <c r="AY226" s="96" t="e">
        <f t="shared" ca="1" si="46"/>
        <v>#N/A</v>
      </c>
      <c r="AZ226" s="96" t="e">
        <f t="shared" ca="1" si="47"/>
        <v>#N/A</v>
      </c>
      <c r="BA226" s="96" t="e">
        <f t="shared" ca="1" si="48"/>
        <v>#N/A</v>
      </c>
      <c r="BB226" s="96" t="e">
        <f t="shared" ca="1" si="49"/>
        <v>#N/A</v>
      </c>
      <c r="BC226" s="96" t="e">
        <f t="shared" ca="1" si="50"/>
        <v>#N/A</v>
      </c>
      <c r="BD226" s="96" t="e">
        <f t="shared" ca="1" si="51"/>
        <v>#N/A</v>
      </c>
      <c r="BE226" s="96" t="e">
        <f t="shared" ca="1" si="52"/>
        <v>#N/A</v>
      </c>
      <c r="BF226" s="96" t="e">
        <f t="shared" ca="1" si="53"/>
        <v>#N/A</v>
      </c>
      <c r="BG226" s="96" t="e">
        <f t="shared" ca="1" si="54"/>
        <v>#N/A</v>
      </c>
    </row>
    <row r="227" spans="2:59" ht="15" customHeight="1">
      <c r="B227" s="2"/>
      <c r="Q227" s="2"/>
      <c r="AF227" s="2"/>
      <c r="AU227" s="2" t="e">
        <f t="shared" si="42"/>
        <v>#N/A</v>
      </c>
      <c r="AV227" s="96" t="e">
        <f t="shared" ca="1" si="43"/>
        <v>#N/A</v>
      </c>
      <c r="AW227" s="96" t="e">
        <f t="shared" ca="1" si="44"/>
        <v>#N/A</v>
      </c>
      <c r="AX227" s="96" t="e">
        <f t="shared" ca="1" si="45"/>
        <v>#N/A</v>
      </c>
      <c r="AY227" s="96" t="e">
        <f t="shared" ca="1" si="46"/>
        <v>#N/A</v>
      </c>
      <c r="AZ227" s="96" t="e">
        <f t="shared" ca="1" si="47"/>
        <v>#N/A</v>
      </c>
      <c r="BA227" s="96" t="e">
        <f t="shared" ca="1" si="48"/>
        <v>#N/A</v>
      </c>
      <c r="BB227" s="96" t="e">
        <f t="shared" ca="1" si="49"/>
        <v>#N/A</v>
      </c>
      <c r="BC227" s="96" t="e">
        <f t="shared" ca="1" si="50"/>
        <v>#N/A</v>
      </c>
      <c r="BD227" s="96" t="e">
        <f t="shared" ca="1" si="51"/>
        <v>#N/A</v>
      </c>
      <c r="BE227" s="96" t="e">
        <f t="shared" ca="1" si="52"/>
        <v>#N/A</v>
      </c>
      <c r="BF227" s="96" t="e">
        <f t="shared" ca="1" si="53"/>
        <v>#N/A</v>
      </c>
      <c r="BG227" s="96" t="e">
        <f t="shared" ca="1" si="54"/>
        <v>#N/A</v>
      </c>
    </row>
    <row r="228" spans="2:59" ht="15" customHeight="1">
      <c r="B228" s="2"/>
      <c r="Q228" s="2"/>
      <c r="AF228" s="2"/>
      <c r="AU228" s="2" t="e">
        <f t="shared" si="42"/>
        <v>#N/A</v>
      </c>
      <c r="AV228" s="96" t="e">
        <f t="shared" ca="1" si="43"/>
        <v>#N/A</v>
      </c>
      <c r="AW228" s="96" t="e">
        <f t="shared" ca="1" si="44"/>
        <v>#N/A</v>
      </c>
      <c r="AX228" s="96" t="e">
        <f t="shared" ca="1" si="45"/>
        <v>#N/A</v>
      </c>
      <c r="AY228" s="96" t="e">
        <f t="shared" ca="1" si="46"/>
        <v>#N/A</v>
      </c>
      <c r="AZ228" s="96" t="e">
        <f t="shared" ca="1" si="47"/>
        <v>#N/A</v>
      </c>
      <c r="BA228" s="96" t="e">
        <f t="shared" ca="1" si="48"/>
        <v>#N/A</v>
      </c>
      <c r="BB228" s="96" t="e">
        <f t="shared" ca="1" si="49"/>
        <v>#N/A</v>
      </c>
      <c r="BC228" s="96" t="e">
        <f t="shared" ca="1" si="50"/>
        <v>#N/A</v>
      </c>
      <c r="BD228" s="96" t="e">
        <f t="shared" ca="1" si="51"/>
        <v>#N/A</v>
      </c>
      <c r="BE228" s="96" t="e">
        <f t="shared" ca="1" si="52"/>
        <v>#N/A</v>
      </c>
      <c r="BF228" s="96" t="e">
        <f t="shared" ca="1" si="53"/>
        <v>#N/A</v>
      </c>
      <c r="BG228" s="96" t="e">
        <f t="shared" ca="1" si="54"/>
        <v>#N/A</v>
      </c>
    </row>
    <row r="229" spans="2:59" ht="15" customHeight="1">
      <c r="B229" s="2"/>
      <c r="Q229" s="2"/>
      <c r="AF229" s="2"/>
      <c r="AU229" s="2" t="e">
        <f t="shared" si="42"/>
        <v>#N/A</v>
      </c>
      <c r="AV229" s="96" t="e">
        <f t="shared" ca="1" si="43"/>
        <v>#N/A</v>
      </c>
      <c r="AW229" s="96" t="e">
        <f t="shared" ca="1" si="44"/>
        <v>#N/A</v>
      </c>
      <c r="AX229" s="96" t="e">
        <f t="shared" ca="1" si="45"/>
        <v>#N/A</v>
      </c>
      <c r="AY229" s="96" t="e">
        <f t="shared" ca="1" si="46"/>
        <v>#N/A</v>
      </c>
      <c r="AZ229" s="96" t="e">
        <f t="shared" ca="1" si="47"/>
        <v>#N/A</v>
      </c>
      <c r="BA229" s="96" t="e">
        <f t="shared" ca="1" si="48"/>
        <v>#N/A</v>
      </c>
      <c r="BB229" s="96" t="e">
        <f t="shared" ca="1" si="49"/>
        <v>#N/A</v>
      </c>
      <c r="BC229" s="96" t="e">
        <f t="shared" ca="1" si="50"/>
        <v>#N/A</v>
      </c>
      <c r="BD229" s="96" t="e">
        <f t="shared" ca="1" si="51"/>
        <v>#N/A</v>
      </c>
      <c r="BE229" s="96" t="e">
        <f t="shared" ca="1" si="52"/>
        <v>#N/A</v>
      </c>
      <c r="BF229" s="96" t="e">
        <f t="shared" ca="1" si="53"/>
        <v>#N/A</v>
      </c>
      <c r="BG229" s="96" t="e">
        <f t="shared" ca="1" si="54"/>
        <v>#N/A</v>
      </c>
    </row>
    <row r="230" spans="2:59" ht="15" customHeight="1">
      <c r="B230" s="2"/>
      <c r="Q230" s="2"/>
      <c r="AF230" s="2"/>
      <c r="AU230" s="2" t="e">
        <f t="shared" si="42"/>
        <v>#N/A</v>
      </c>
      <c r="AV230" s="96" t="e">
        <f t="shared" ca="1" si="43"/>
        <v>#N/A</v>
      </c>
      <c r="AW230" s="96" t="e">
        <f t="shared" ca="1" si="44"/>
        <v>#N/A</v>
      </c>
      <c r="AX230" s="96" t="e">
        <f t="shared" ca="1" si="45"/>
        <v>#N/A</v>
      </c>
      <c r="AY230" s="96" t="e">
        <f t="shared" ca="1" si="46"/>
        <v>#N/A</v>
      </c>
      <c r="AZ230" s="96" t="e">
        <f t="shared" ca="1" si="47"/>
        <v>#N/A</v>
      </c>
      <c r="BA230" s="96" t="e">
        <f t="shared" ca="1" si="48"/>
        <v>#N/A</v>
      </c>
      <c r="BB230" s="96" t="e">
        <f t="shared" ca="1" si="49"/>
        <v>#N/A</v>
      </c>
      <c r="BC230" s="96" t="e">
        <f t="shared" ca="1" si="50"/>
        <v>#N/A</v>
      </c>
      <c r="BD230" s="96" t="e">
        <f t="shared" ca="1" si="51"/>
        <v>#N/A</v>
      </c>
      <c r="BE230" s="96" t="e">
        <f t="shared" ca="1" si="52"/>
        <v>#N/A</v>
      </c>
      <c r="BF230" s="96" t="e">
        <f t="shared" ca="1" si="53"/>
        <v>#N/A</v>
      </c>
      <c r="BG230" s="96" t="e">
        <f t="shared" ca="1" si="54"/>
        <v>#N/A</v>
      </c>
    </row>
    <row r="231" spans="2:59" ht="15" customHeight="1">
      <c r="B231" s="2"/>
      <c r="Q231" s="2"/>
      <c r="AF231" s="2"/>
      <c r="AU231" s="2" t="e">
        <f t="shared" si="42"/>
        <v>#N/A</v>
      </c>
      <c r="AV231" s="96" t="e">
        <f t="shared" ca="1" si="43"/>
        <v>#N/A</v>
      </c>
      <c r="AW231" s="96" t="e">
        <f t="shared" ca="1" si="44"/>
        <v>#N/A</v>
      </c>
      <c r="AX231" s="96" t="e">
        <f t="shared" ca="1" si="45"/>
        <v>#N/A</v>
      </c>
      <c r="AY231" s="96" t="e">
        <f t="shared" ca="1" si="46"/>
        <v>#N/A</v>
      </c>
      <c r="AZ231" s="96" t="e">
        <f t="shared" ca="1" si="47"/>
        <v>#N/A</v>
      </c>
      <c r="BA231" s="96" t="e">
        <f t="shared" ca="1" si="48"/>
        <v>#N/A</v>
      </c>
      <c r="BB231" s="96" t="e">
        <f t="shared" ca="1" si="49"/>
        <v>#N/A</v>
      </c>
      <c r="BC231" s="96" t="e">
        <f t="shared" ca="1" si="50"/>
        <v>#N/A</v>
      </c>
      <c r="BD231" s="96" t="e">
        <f t="shared" ca="1" si="51"/>
        <v>#N/A</v>
      </c>
      <c r="BE231" s="96" t="e">
        <f t="shared" ca="1" si="52"/>
        <v>#N/A</v>
      </c>
      <c r="BF231" s="96" t="e">
        <f t="shared" ca="1" si="53"/>
        <v>#N/A</v>
      </c>
      <c r="BG231" s="96" t="e">
        <f t="shared" ca="1" si="54"/>
        <v>#N/A</v>
      </c>
    </row>
    <row r="232" spans="2:59" ht="15" customHeight="1">
      <c r="B232" s="2"/>
      <c r="Q232" s="2"/>
      <c r="AF232" s="2"/>
      <c r="AU232" s="2" t="e">
        <f t="shared" si="42"/>
        <v>#N/A</v>
      </c>
      <c r="AV232" s="96" t="e">
        <f t="shared" ca="1" si="43"/>
        <v>#N/A</v>
      </c>
      <c r="AW232" s="96" t="e">
        <f t="shared" ca="1" si="44"/>
        <v>#N/A</v>
      </c>
      <c r="AX232" s="96" t="e">
        <f t="shared" ca="1" si="45"/>
        <v>#N/A</v>
      </c>
      <c r="AY232" s="96" t="e">
        <f t="shared" ca="1" si="46"/>
        <v>#N/A</v>
      </c>
      <c r="AZ232" s="96" t="e">
        <f t="shared" ca="1" si="47"/>
        <v>#N/A</v>
      </c>
      <c r="BA232" s="96" t="e">
        <f t="shared" ca="1" si="48"/>
        <v>#N/A</v>
      </c>
      <c r="BB232" s="96" t="e">
        <f t="shared" ca="1" si="49"/>
        <v>#N/A</v>
      </c>
      <c r="BC232" s="96" t="e">
        <f t="shared" ca="1" si="50"/>
        <v>#N/A</v>
      </c>
      <c r="BD232" s="96" t="e">
        <f t="shared" ca="1" si="51"/>
        <v>#N/A</v>
      </c>
      <c r="BE232" s="96" t="e">
        <f t="shared" ca="1" si="52"/>
        <v>#N/A</v>
      </c>
      <c r="BF232" s="96" t="e">
        <f t="shared" ca="1" si="53"/>
        <v>#N/A</v>
      </c>
      <c r="BG232" s="96" t="e">
        <f t="shared" ca="1" si="54"/>
        <v>#N/A</v>
      </c>
    </row>
    <row r="233" spans="2:59" ht="15" customHeight="1">
      <c r="B233" s="2"/>
      <c r="Q233" s="2"/>
      <c r="AF233" s="2"/>
      <c r="AU233" s="2" t="e">
        <f t="shared" si="42"/>
        <v>#N/A</v>
      </c>
      <c r="AV233" s="96" t="e">
        <f t="shared" ca="1" si="43"/>
        <v>#N/A</v>
      </c>
      <c r="AW233" s="96" t="e">
        <f t="shared" ca="1" si="44"/>
        <v>#N/A</v>
      </c>
      <c r="AX233" s="96" t="e">
        <f t="shared" ca="1" si="45"/>
        <v>#N/A</v>
      </c>
      <c r="AY233" s="96" t="e">
        <f t="shared" ca="1" si="46"/>
        <v>#N/A</v>
      </c>
      <c r="AZ233" s="96" t="e">
        <f t="shared" ca="1" si="47"/>
        <v>#N/A</v>
      </c>
      <c r="BA233" s="96" t="e">
        <f t="shared" ca="1" si="48"/>
        <v>#N/A</v>
      </c>
      <c r="BB233" s="96" t="e">
        <f t="shared" ca="1" si="49"/>
        <v>#N/A</v>
      </c>
      <c r="BC233" s="96" t="e">
        <f t="shared" ca="1" si="50"/>
        <v>#N/A</v>
      </c>
      <c r="BD233" s="96" t="e">
        <f t="shared" ca="1" si="51"/>
        <v>#N/A</v>
      </c>
      <c r="BE233" s="96" t="e">
        <f t="shared" ca="1" si="52"/>
        <v>#N/A</v>
      </c>
      <c r="BF233" s="96" t="e">
        <f t="shared" ca="1" si="53"/>
        <v>#N/A</v>
      </c>
      <c r="BG233" s="96" t="e">
        <f t="shared" ca="1" si="54"/>
        <v>#N/A</v>
      </c>
    </row>
    <row r="234" spans="2:59" ht="15" customHeight="1">
      <c r="B234" s="2"/>
      <c r="Q234" s="2"/>
      <c r="AF234" s="2"/>
      <c r="AU234" s="2" t="e">
        <f t="shared" si="42"/>
        <v>#N/A</v>
      </c>
      <c r="AV234" s="96" t="e">
        <f t="shared" ca="1" si="43"/>
        <v>#N/A</v>
      </c>
      <c r="AW234" s="96" t="e">
        <f t="shared" ca="1" si="44"/>
        <v>#N/A</v>
      </c>
      <c r="AX234" s="96" t="e">
        <f t="shared" ca="1" si="45"/>
        <v>#N/A</v>
      </c>
      <c r="AY234" s="96" t="e">
        <f t="shared" ca="1" si="46"/>
        <v>#N/A</v>
      </c>
      <c r="AZ234" s="96" t="e">
        <f t="shared" ca="1" si="47"/>
        <v>#N/A</v>
      </c>
      <c r="BA234" s="96" t="e">
        <f t="shared" ca="1" si="48"/>
        <v>#N/A</v>
      </c>
      <c r="BB234" s="96" t="e">
        <f t="shared" ca="1" si="49"/>
        <v>#N/A</v>
      </c>
      <c r="BC234" s="96" t="e">
        <f t="shared" ca="1" si="50"/>
        <v>#N/A</v>
      </c>
      <c r="BD234" s="96" t="e">
        <f t="shared" ca="1" si="51"/>
        <v>#N/A</v>
      </c>
      <c r="BE234" s="96" t="e">
        <f t="shared" ca="1" si="52"/>
        <v>#N/A</v>
      </c>
      <c r="BF234" s="96" t="e">
        <f t="shared" ca="1" si="53"/>
        <v>#N/A</v>
      </c>
      <c r="BG234" s="96" t="e">
        <f t="shared" ca="1" si="54"/>
        <v>#N/A</v>
      </c>
    </row>
    <row r="235" spans="2:59" ht="15" customHeight="1">
      <c r="B235" s="2"/>
      <c r="Q235" s="2"/>
      <c r="AF235" s="2"/>
      <c r="AU235" s="2" t="e">
        <f t="shared" si="42"/>
        <v>#N/A</v>
      </c>
      <c r="AV235" s="96" t="e">
        <f t="shared" ca="1" si="43"/>
        <v>#N/A</v>
      </c>
      <c r="AW235" s="96" t="e">
        <f t="shared" ca="1" si="44"/>
        <v>#N/A</v>
      </c>
      <c r="AX235" s="96" t="e">
        <f t="shared" ca="1" si="45"/>
        <v>#N/A</v>
      </c>
      <c r="AY235" s="96" t="e">
        <f t="shared" ca="1" si="46"/>
        <v>#N/A</v>
      </c>
      <c r="AZ235" s="96" t="e">
        <f t="shared" ca="1" si="47"/>
        <v>#N/A</v>
      </c>
      <c r="BA235" s="96" t="e">
        <f t="shared" ca="1" si="48"/>
        <v>#N/A</v>
      </c>
      <c r="BB235" s="96" t="e">
        <f t="shared" ca="1" si="49"/>
        <v>#N/A</v>
      </c>
      <c r="BC235" s="96" t="e">
        <f t="shared" ca="1" si="50"/>
        <v>#N/A</v>
      </c>
      <c r="BD235" s="96" t="e">
        <f t="shared" ca="1" si="51"/>
        <v>#N/A</v>
      </c>
      <c r="BE235" s="96" t="e">
        <f t="shared" ca="1" si="52"/>
        <v>#N/A</v>
      </c>
      <c r="BF235" s="96" t="e">
        <f t="shared" ca="1" si="53"/>
        <v>#N/A</v>
      </c>
      <c r="BG235" s="96" t="e">
        <f t="shared" ca="1" si="54"/>
        <v>#N/A</v>
      </c>
    </row>
    <row r="236" spans="2:59" ht="15" customHeight="1">
      <c r="B236" s="2"/>
      <c r="Q236" s="2"/>
      <c r="AF236" s="2"/>
      <c r="AU236" s="2" t="e">
        <f t="shared" si="42"/>
        <v>#N/A</v>
      </c>
      <c r="AV236" s="96" t="e">
        <f t="shared" ca="1" si="43"/>
        <v>#N/A</v>
      </c>
      <c r="AW236" s="96" t="e">
        <f t="shared" ca="1" si="44"/>
        <v>#N/A</v>
      </c>
      <c r="AX236" s="96" t="e">
        <f t="shared" ca="1" si="45"/>
        <v>#N/A</v>
      </c>
      <c r="AY236" s="96" t="e">
        <f t="shared" ca="1" si="46"/>
        <v>#N/A</v>
      </c>
      <c r="AZ236" s="96" t="e">
        <f t="shared" ca="1" si="47"/>
        <v>#N/A</v>
      </c>
      <c r="BA236" s="96" t="e">
        <f t="shared" ca="1" si="48"/>
        <v>#N/A</v>
      </c>
      <c r="BB236" s="96" t="e">
        <f t="shared" ca="1" si="49"/>
        <v>#N/A</v>
      </c>
      <c r="BC236" s="96" t="e">
        <f t="shared" ca="1" si="50"/>
        <v>#N/A</v>
      </c>
      <c r="BD236" s="96" t="e">
        <f t="shared" ca="1" si="51"/>
        <v>#N/A</v>
      </c>
      <c r="BE236" s="96" t="e">
        <f t="shared" ca="1" si="52"/>
        <v>#N/A</v>
      </c>
      <c r="BF236" s="96" t="e">
        <f t="shared" ca="1" si="53"/>
        <v>#N/A</v>
      </c>
      <c r="BG236" s="96" t="e">
        <f t="shared" ca="1" si="54"/>
        <v>#N/A</v>
      </c>
    </row>
    <row r="237" spans="2:59" ht="15" customHeight="1">
      <c r="B237" s="2"/>
      <c r="Q237" s="2"/>
      <c r="AF237" s="2"/>
      <c r="AU237" s="2" t="e">
        <f t="shared" si="42"/>
        <v>#N/A</v>
      </c>
      <c r="AV237" s="96" t="e">
        <f t="shared" ca="1" si="43"/>
        <v>#N/A</v>
      </c>
      <c r="AW237" s="96" t="e">
        <f t="shared" ca="1" si="44"/>
        <v>#N/A</v>
      </c>
      <c r="AX237" s="96" t="e">
        <f t="shared" ca="1" si="45"/>
        <v>#N/A</v>
      </c>
      <c r="AY237" s="96" t="e">
        <f t="shared" ca="1" si="46"/>
        <v>#N/A</v>
      </c>
      <c r="AZ237" s="96" t="e">
        <f t="shared" ca="1" si="47"/>
        <v>#N/A</v>
      </c>
      <c r="BA237" s="96" t="e">
        <f t="shared" ca="1" si="48"/>
        <v>#N/A</v>
      </c>
      <c r="BB237" s="96" t="e">
        <f t="shared" ca="1" si="49"/>
        <v>#N/A</v>
      </c>
      <c r="BC237" s="96" t="e">
        <f t="shared" ca="1" si="50"/>
        <v>#N/A</v>
      </c>
      <c r="BD237" s="96" t="e">
        <f t="shared" ca="1" si="51"/>
        <v>#N/A</v>
      </c>
      <c r="BE237" s="96" t="e">
        <f t="shared" ca="1" si="52"/>
        <v>#N/A</v>
      </c>
      <c r="BF237" s="96" t="e">
        <f t="shared" ca="1" si="53"/>
        <v>#N/A</v>
      </c>
      <c r="BG237" s="96" t="e">
        <f t="shared" ca="1" si="54"/>
        <v>#N/A</v>
      </c>
    </row>
    <row r="238" spans="2:59" ht="15" customHeight="1">
      <c r="B238" s="2"/>
      <c r="Q238" s="2"/>
      <c r="AF238" s="2"/>
      <c r="AU238" s="2" t="e">
        <f t="shared" si="42"/>
        <v>#N/A</v>
      </c>
      <c r="AV238" s="96" t="e">
        <f t="shared" ca="1" si="43"/>
        <v>#N/A</v>
      </c>
      <c r="AW238" s="96" t="e">
        <f t="shared" ca="1" si="44"/>
        <v>#N/A</v>
      </c>
      <c r="AX238" s="96" t="e">
        <f t="shared" ca="1" si="45"/>
        <v>#N/A</v>
      </c>
      <c r="AY238" s="96" t="e">
        <f t="shared" ca="1" si="46"/>
        <v>#N/A</v>
      </c>
      <c r="AZ238" s="96" t="e">
        <f t="shared" ca="1" si="47"/>
        <v>#N/A</v>
      </c>
      <c r="BA238" s="96" t="e">
        <f t="shared" ca="1" si="48"/>
        <v>#N/A</v>
      </c>
      <c r="BB238" s="96" t="e">
        <f t="shared" ca="1" si="49"/>
        <v>#N/A</v>
      </c>
      <c r="BC238" s="96" t="e">
        <f t="shared" ca="1" si="50"/>
        <v>#N/A</v>
      </c>
      <c r="BD238" s="96" t="e">
        <f t="shared" ca="1" si="51"/>
        <v>#N/A</v>
      </c>
      <c r="BE238" s="96" t="e">
        <f t="shared" ca="1" si="52"/>
        <v>#N/A</v>
      </c>
      <c r="BF238" s="96" t="e">
        <f t="shared" ca="1" si="53"/>
        <v>#N/A</v>
      </c>
      <c r="BG238" s="96" t="e">
        <f t="shared" ca="1" si="54"/>
        <v>#N/A</v>
      </c>
    </row>
    <row r="239" spans="2:59" ht="15" customHeight="1">
      <c r="B239" s="2"/>
      <c r="Q239" s="2"/>
      <c r="AF239" s="2"/>
      <c r="AU239" s="2" t="e">
        <f t="shared" si="42"/>
        <v>#N/A</v>
      </c>
      <c r="AV239" s="96" t="e">
        <f t="shared" ca="1" si="43"/>
        <v>#N/A</v>
      </c>
      <c r="AW239" s="96" t="e">
        <f t="shared" ca="1" si="44"/>
        <v>#N/A</v>
      </c>
      <c r="AX239" s="96" t="e">
        <f t="shared" ca="1" si="45"/>
        <v>#N/A</v>
      </c>
      <c r="AY239" s="96" t="e">
        <f t="shared" ca="1" si="46"/>
        <v>#N/A</v>
      </c>
      <c r="AZ239" s="96" t="e">
        <f t="shared" ca="1" si="47"/>
        <v>#N/A</v>
      </c>
      <c r="BA239" s="96" t="e">
        <f t="shared" ca="1" si="48"/>
        <v>#N/A</v>
      </c>
      <c r="BB239" s="96" t="e">
        <f t="shared" ca="1" si="49"/>
        <v>#N/A</v>
      </c>
      <c r="BC239" s="96" t="e">
        <f t="shared" ca="1" si="50"/>
        <v>#N/A</v>
      </c>
      <c r="BD239" s="96" t="e">
        <f t="shared" ca="1" si="51"/>
        <v>#N/A</v>
      </c>
      <c r="BE239" s="96" t="e">
        <f t="shared" ca="1" si="52"/>
        <v>#N/A</v>
      </c>
      <c r="BF239" s="96" t="e">
        <f t="shared" ca="1" si="53"/>
        <v>#N/A</v>
      </c>
      <c r="BG239" s="96" t="e">
        <f t="shared" ca="1" si="54"/>
        <v>#N/A</v>
      </c>
    </row>
    <row r="240" spans="2:59" ht="15" customHeight="1">
      <c r="B240" s="2"/>
      <c r="Q240" s="2"/>
      <c r="AF240" s="2"/>
      <c r="AU240" s="2" t="e">
        <f t="shared" si="42"/>
        <v>#N/A</v>
      </c>
      <c r="AV240" s="96" t="e">
        <f t="shared" ca="1" si="43"/>
        <v>#N/A</v>
      </c>
      <c r="AW240" s="96" t="e">
        <f t="shared" ca="1" si="44"/>
        <v>#N/A</v>
      </c>
      <c r="AX240" s="96" t="e">
        <f t="shared" ca="1" si="45"/>
        <v>#N/A</v>
      </c>
      <c r="AY240" s="96" t="e">
        <f t="shared" ca="1" si="46"/>
        <v>#N/A</v>
      </c>
      <c r="AZ240" s="96" t="e">
        <f t="shared" ca="1" si="47"/>
        <v>#N/A</v>
      </c>
      <c r="BA240" s="96" t="e">
        <f t="shared" ca="1" si="48"/>
        <v>#N/A</v>
      </c>
      <c r="BB240" s="96" t="e">
        <f t="shared" ca="1" si="49"/>
        <v>#N/A</v>
      </c>
      <c r="BC240" s="96" t="e">
        <f t="shared" ca="1" si="50"/>
        <v>#N/A</v>
      </c>
      <c r="BD240" s="96" t="e">
        <f t="shared" ca="1" si="51"/>
        <v>#N/A</v>
      </c>
      <c r="BE240" s="96" t="e">
        <f t="shared" ca="1" si="52"/>
        <v>#N/A</v>
      </c>
      <c r="BF240" s="96" t="e">
        <f t="shared" ca="1" si="53"/>
        <v>#N/A</v>
      </c>
      <c r="BG240" s="96" t="e">
        <f t="shared" ca="1" si="54"/>
        <v>#N/A</v>
      </c>
    </row>
    <row r="241" spans="2:59" ht="15" customHeight="1">
      <c r="B241" s="2"/>
      <c r="Q241" s="2"/>
      <c r="AF241" s="2"/>
      <c r="AU241" s="2" t="e">
        <f t="shared" si="42"/>
        <v>#N/A</v>
      </c>
      <c r="AV241" s="96" t="e">
        <f t="shared" ca="1" si="43"/>
        <v>#N/A</v>
      </c>
      <c r="AW241" s="96" t="e">
        <f t="shared" ca="1" si="44"/>
        <v>#N/A</v>
      </c>
      <c r="AX241" s="96" t="e">
        <f t="shared" ca="1" si="45"/>
        <v>#N/A</v>
      </c>
      <c r="AY241" s="96" t="e">
        <f t="shared" ca="1" si="46"/>
        <v>#N/A</v>
      </c>
      <c r="AZ241" s="96" t="e">
        <f t="shared" ca="1" si="47"/>
        <v>#N/A</v>
      </c>
      <c r="BA241" s="96" t="e">
        <f t="shared" ca="1" si="48"/>
        <v>#N/A</v>
      </c>
      <c r="BB241" s="96" t="e">
        <f t="shared" ca="1" si="49"/>
        <v>#N/A</v>
      </c>
      <c r="BC241" s="96" t="e">
        <f t="shared" ca="1" si="50"/>
        <v>#N/A</v>
      </c>
      <c r="BD241" s="96" t="e">
        <f t="shared" ca="1" si="51"/>
        <v>#N/A</v>
      </c>
      <c r="BE241" s="96" t="e">
        <f t="shared" ca="1" si="52"/>
        <v>#N/A</v>
      </c>
      <c r="BF241" s="96" t="e">
        <f t="shared" ca="1" si="53"/>
        <v>#N/A</v>
      </c>
      <c r="BG241" s="96" t="e">
        <f t="shared" ca="1" si="54"/>
        <v>#N/A</v>
      </c>
    </row>
    <row r="242" spans="2:59" ht="15" customHeight="1">
      <c r="B242" s="2"/>
      <c r="Q242" s="2"/>
      <c r="AF242" s="2"/>
      <c r="AU242" s="2" t="e">
        <f t="shared" si="42"/>
        <v>#N/A</v>
      </c>
      <c r="AV242" s="96" t="e">
        <f t="shared" ca="1" si="43"/>
        <v>#N/A</v>
      </c>
      <c r="AW242" s="96" t="e">
        <f t="shared" ca="1" si="44"/>
        <v>#N/A</v>
      </c>
      <c r="AX242" s="96" t="e">
        <f t="shared" ca="1" si="45"/>
        <v>#N/A</v>
      </c>
      <c r="AY242" s="96" t="e">
        <f t="shared" ca="1" si="46"/>
        <v>#N/A</v>
      </c>
      <c r="AZ242" s="96" t="e">
        <f t="shared" ca="1" si="47"/>
        <v>#N/A</v>
      </c>
      <c r="BA242" s="96" t="e">
        <f t="shared" ca="1" si="48"/>
        <v>#N/A</v>
      </c>
      <c r="BB242" s="96" t="e">
        <f t="shared" ca="1" si="49"/>
        <v>#N/A</v>
      </c>
      <c r="BC242" s="96" t="e">
        <f t="shared" ca="1" si="50"/>
        <v>#N/A</v>
      </c>
      <c r="BD242" s="96" t="e">
        <f t="shared" ca="1" si="51"/>
        <v>#N/A</v>
      </c>
      <c r="BE242" s="96" t="e">
        <f t="shared" ca="1" si="52"/>
        <v>#N/A</v>
      </c>
      <c r="BF242" s="96" t="e">
        <f t="shared" ca="1" si="53"/>
        <v>#N/A</v>
      </c>
      <c r="BG242" s="96" t="e">
        <f t="shared" ca="1" si="54"/>
        <v>#N/A</v>
      </c>
    </row>
    <row r="243" spans="2:59" ht="15" customHeight="1">
      <c r="B243" s="2"/>
      <c r="Q243" s="2"/>
      <c r="AF243" s="2"/>
      <c r="AU243" s="2" t="e">
        <f t="shared" si="42"/>
        <v>#N/A</v>
      </c>
      <c r="AV243" s="96" t="e">
        <f t="shared" ca="1" si="43"/>
        <v>#N/A</v>
      </c>
      <c r="AW243" s="96" t="e">
        <f t="shared" ca="1" si="44"/>
        <v>#N/A</v>
      </c>
      <c r="AX243" s="96" t="e">
        <f t="shared" ca="1" si="45"/>
        <v>#N/A</v>
      </c>
      <c r="AY243" s="96" t="e">
        <f t="shared" ca="1" si="46"/>
        <v>#N/A</v>
      </c>
      <c r="AZ243" s="96" t="e">
        <f t="shared" ca="1" si="47"/>
        <v>#N/A</v>
      </c>
      <c r="BA243" s="96" t="e">
        <f t="shared" ca="1" si="48"/>
        <v>#N/A</v>
      </c>
      <c r="BB243" s="96" t="e">
        <f t="shared" ca="1" si="49"/>
        <v>#N/A</v>
      </c>
      <c r="BC243" s="96" t="e">
        <f t="shared" ca="1" si="50"/>
        <v>#N/A</v>
      </c>
      <c r="BD243" s="96" t="e">
        <f t="shared" ca="1" si="51"/>
        <v>#N/A</v>
      </c>
      <c r="BE243" s="96" t="e">
        <f t="shared" ca="1" si="52"/>
        <v>#N/A</v>
      </c>
      <c r="BF243" s="96" t="e">
        <f t="shared" ca="1" si="53"/>
        <v>#N/A</v>
      </c>
      <c r="BG243" s="96" t="e">
        <f t="shared" ca="1" si="54"/>
        <v>#N/A</v>
      </c>
    </row>
    <row r="244" spans="2:59" ht="15" customHeight="1">
      <c r="B244" s="2"/>
      <c r="Q244" s="2"/>
      <c r="AF244" s="2"/>
      <c r="AU244" s="2" t="e">
        <f t="shared" si="42"/>
        <v>#N/A</v>
      </c>
      <c r="AV244" s="96" t="e">
        <f t="shared" ca="1" si="43"/>
        <v>#N/A</v>
      </c>
      <c r="AW244" s="96" t="e">
        <f t="shared" ca="1" si="44"/>
        <v>#N/A</v>
      </c>
      <c r="AX244" s="96" t="e">
        <f t="shared" ca="1" si="45"/>
        <v>#N/A</v>
      </c>
      <c r="AY244" s="96" t="e">
        <f t="shared" ca="1" si="46"/>
        <v>#N/A</v>
      </c>
      <c r="AZ244" s="96" t="e">
        <f t="shared" ca="1" si="47"/>
        <v>#N/A</v>
      </c>
      <c r="BA244" s="96" t="e">
        <f t="shared" ca="1" si="48"/>
        <v>#N/A</v>
      </c>
      <c r="BB244" s="96" t="e">
        <f t="shared" ca="1" si="49"/>
        <v>#N/A</v>
      </c>
      <c r="BC244" s="96" t="e">
        <f t="shared" ca="1" si="50"/>
        <v>#N/A</v>
      </c>
      <c r="BD244" s="96" t="e">
        <f t="shared" ca="1" si="51"/>
        <v>#N/A</v>
      </c>
      <c r="BE244" s="96" t="e">
        <f t="shared" ca="1" si="52"/>
        <v>#N/A</v>
      </c>
      <c r="BF244" s="96" t="e">
        <f t="shared" ca="1" si="53"/>
        <v>#N/A</v>
      </c>
      <c r="BG244" s="96" t="e">
        <f t="shared" ca="1" si="54"/>
        <v>#N/A</v>
      </c>
    </row>
    <row r="245" spans="2:59" ht="15" customHeight="1">
      <c r="B245" s="2"/>
      <c r="Q245" s="2"/>
      <c r="AF245" s="2"/>
      <c r="AU245" s="2" t="e">
        <f t="shared" si="42"/>
        <v>#N/A</v>
      </c>
      <c r="AV245" s="96" t="e">
        <f t="shared" ca="1" si="43"/>
        <v>#N/A</v>
      </c>
      <c r="AW245" s="96" t="e">
        <f t="shared" ca="1" si="44"/>
        <v>#N/A</v>
      </c>
      <c r="AX245" s="96" t="e">
        <f t="shared" ca="1" si="45"/>
        <v>#N/A</v>
      </c>
      <c r="AY245" s="96" t="e">
        <f t="shared" ca="1" si="46"/>
        <v>#N/A</v>
      </c>
      <c r="AZ245" s="96" t="e">
        <f t="shared" ca="1" si="47"/>
        <v>#N/A</v>
      </c>
      <c r="BA245" s="96" t="e">
        <f t="shared" ca="1" si="48"/>
        <v>#N/A</v>
      </c>
      <c r="BB245" s="96" t="e">
        <f t="shared" ca="1" si="49"/>
        <v>#N/A</v>
      </c>
      <c r="BC245" s="96" t="e">
        <f t="shared" ca="1" si="50"/>
        <v>#N/A</v>
      </c>
      <c r="BD245" s="96" t="e">
        <f t="shared" ca="1" si="51"/>
        <v>#N/A</v>
      </c>
      <c r="BE245" s="96" t="e">
        <f t="shared" ca="1" si="52"/>
        <v>#N/A</v>
      </c>
      <c r="BF245" s="96" t="e">
        <f t="shared" ca="1" si="53"/>
        <v>#N/A</v>
      </c>
      <c r="BG245" s="96" t="e">
        <f t="shared" ca="1" si="54"/>
        <v>#N/A</v>
      </c>
    </row>
    <row r="246" spans="2:59" ht="15" customHeight="1">
      <c r="B246" s="2"/>
      <c r="Q246" s="2"/>
      <c r="AF246" s="2"/>
      <c r="AU246" s="2" t="e">
        <f t="shared" si="42"/>
        <v>#N/A</v>
      </c>
      <c r="AV246" s="96" t="e">
        <f t="shared" ca="1" si="43"/>
        <v>#N/A</v>
      </c>
      <c r="AW246" s="96" t="e">
        <f t="shared" ca="1" si="44"/>
        <v>#N/A</v>
      </c>
      <c r="AX246" s="96" t="e">
        <f t="shared" ca="1" si="45"/>
        <v>#N/A</v>
      </c>
      <c r="AY246" s="96" t="e">
        <f t="shared" ca="1" si="46"/>
        <v>#N/A</v>
      </c>
      <c r="AZ246" s="96" t="e">
        <f t="shared" ca="1" si="47"/>
        <v>#N/A</v>
      </c>
      <c r="BA246" s="96" t="e">
        <f t="shared" ca="1" si="48"/>
        <v>#N/A</v>
      </c>
      <c r="BB246" s="96" t="e">
        <f t="shared" ca="1" si="49"/>
        <v>#N/A</v>
      </c>
      <c r="BC246" s="96" t="e">
        <f t="shared" ca="1" si="50"/>
        <v>#N/A</v>
      </c>
      <c r="BD246" s="96" t="e">
        <f t="shared" ca="1" si="51"/>
        <v>#N/A</v>
      </c>
      <c r="BE246" s="96" t="e">
        <f t="shared" ca="1" si="52"/>
        <v>#N/A</v>
      </c>
      <c r="BF246" s="96" t="e">
        <f t="shared" ca="1" si="53"/>
        <v>#N/A</v>
      </c>
      <c r="BG246" s="96" t="e">
        <f t="shared" ca="1" si="54"/>
        <v>#N/A</v>
      </c>
    </row>
    <row r="247" spans="2:59" ht="15" customHeight="1">
      <c r="B247" s="2"/>
      <c r="Q247" s="2"/>
      <c r="AF247" s="2"/>
      <c r="AU247" s="2" t="e">
        <f t="shared" si="42"/>
        <v>#N/A</v>
      </c>
      <c r="AV247" s="96" t="e">
        <f t="shared" ca="1" si="43"/>
        <v>#N/A</v>
      </c>
      <c r="AW247" s="96" t="e">
        <f t="shared" ca="1" si="44"/>
        <v>#N/A</v>
      </c>
      <c r="AX247" s="96" t="e">
        <f t="shared" ca="1" si="45"/>
        <v>#N/A</v>
      </c>
      <c r="AY247" s="96" t="e">
        <f t="shared" ca="1" si="46"/>
        <v>#N/A</v>
      </c>
      <c r="AZ247" s="96" t="e">
        <f t="shared" ca="1" si="47"/>
        <v>#N/A</v>
      </c>
      <c r="BA247" s="96" t="e">
        <f t="shared" ca="1" si="48"/>
        <v>#N/A</v>
      </c>
      <c r="BB247" s="96" t="e">
        <f t="shared" ca="1" si="49"/>
        <v>#N/A</v>
      </c>
      <c r="BC247" s="96" t="e">
        <f t="shared" ca="1" si="50"/>
        <v>#N/A</v>
      </c>
      <c r="BD247" s="96" t="e">
        <f t="shared" ca="1" si="51"/>
        <v>#N/A</v>
      </c>
      <c r="BE247" s="96" t="e">
        <f t="shared" ca="1" si="52"/>
        <v>#N/A</v>
      </c>
      <c r="BF247" s="96" t="e">
        <f t="shared" ca="1" si="53"/>
        <v>#N/A</v>
      </c>
      <c r="BG247" s="96" t="e">
        <f t="shared" ca="1" si="54"/>
        <v>#N/A</v>
      </c>
    </row>
    <row r="248" spans="2:59" ht="15" customHeight="1">
      <c r="B248" s="2"/>
      <c r="Q248" s="2"/>
      <c r="AF248" s="2"/>
      <c r="AU248" s="2" t="e">
        <f t="shared" si="42"/>
        <v>#N/A</v>
      </c>
      <c r="AV248" s="96" t="e">
        <f t="shared" ca="1" si="43"/>
        <v>#N/A</v>
      </c>
      <c r="AW248" s="96" t="e">
        <f t="shared" ca="1" si="44"/>
        <v>#N/A</v>
      </c>
      <c r="AX248" s="96" t="e">
        <f t="shared" ca="1" si="45"/>
        <v>#N/A</v>
      </c>
      <c r="AY248" s="96" t="e">
        <f t="shared" ca="1" si="46"/>
        <v>#N/A</v>
      </c>
      <c r="AZ248" s="96" t="e">
        <f t="shared" ca="1" si="47"/>
        <v>#N/A</v>
      </c>
      <c r="BA248" s="96" t="e">
        <f t="shared" ca="1" si="48"/>
        <v>#N/A</v>
      </c>
      <c r="BB248" s="96" t="e">
        <f t="shared" ca="1" si="49"/>
        <v>#N/A</v>
      </c>
      <c r="BC248" s="96" t="e">
        <f t="shared" ca="1" si="50"/>
        <v>#N/A</v>
      </c>
      <c r="BD248" s="96" t="e">
        <f t="shared" ca="1" si="51"/>
        <v>#N/A</v>
      </c>
      <c r="BE248" s="96" t="e">
        <f t="shared" ca="1" si="52"/>
        <v>#N/A</v>
      </c>
      <c r="BF248" s="96" t="e">
        <f t="shared" ca="1" si="53"/>
        <v>#N/A</v>
      </c>
      <c r="BG248" s="96" t="e">
        <f t="shared" ca="1" si="54"/>
        <v>#N/A</v>
      </c>
    </row>
    <row r="249" spans="2:59" ht="15" customHeight="1">
      <c r="B249" s="2"/>
      <c r="Q249" s="2"/>
      <c r="AF249" s="2"/>
      <c r="AU249" s="2" t="e">
        <f t="shared" si="42"/>
        <v>#N/A</v>
      </c>
      <c r="AV249" s="96" t="e">
        <f t="shared" ca="1" si="43"/>
        <v>#N/A</v>
      </c>
      <c r="AW249" s="96" t="e">
        <f t="shared" ca="1" si="44"/>
        <v>#N/A</v>
      </c>
      <c r="AX249" s="96" t="e">
        <f t="shared" ca="1" si="45"/>
        <v>#N/A</v>
      </c>
      <c r="AY249" s="96" t="e">
        <f t="shared" ca="1" si="46"/>
        <v>#N/A</v>
      </c>
      <c r="AZ249" s="96" t="e">
        <f t="shared" ca="1" si="47"/>
        <v>#N/A</v>
      </c>
      <c r="BA249" s="96" t="e">
        <f t="shared" ca="1" si="48"/>
        <v>#N/A</v>
      </c>
      <c r="BB249" s="96" t="e">
        <f t="shared" ca="1" si="49"/>
        <v>#N/A</v>
      </c>
      <c r="BC249" s="96" t="e">
        <f t="shared" ca="1" si="50"/>
        <v>#N/A</v>
      </c>
      <c r="BD249" s="96" t="e">
        <f t="shared" ca="1" si="51"/>
        <v>#N/A</v>
      </c>
      <c r="BE249" s="96" t="e">
        <f t="shared" ca="1" si="52"/>
        <v>#N/A</v>
      </c>
      <c r="BF249" s="96" t="e">
        <f t="shared" ca="1" si="53"/>
        <v>#N/A</v>
      </c>
      <c r="BG249" s="96" t="e">
        <f t="shared" ca="1" si="54"/>
        <v>#N/A</v>
      </c>
    </row>
    <row r="250" spans="2:59" ht="15" customHeight="1">
      <c r="B250" s="2"/>
      <c r="Q250" s="2"/>
      <c r="AF250" s="2"/>
      <c r="AU250" s="2" t="e">
        <f t="shared" si="42"/>
        <v>#N/A</v>
      </c>
      <c r="AV250" s="96" t="e">
        <f t="shared" ca="1" si="43"/>
        <v>#N/A</v>
      </c>
      <c r="AW250" s="96" t="e">
        <f t="shared" ca="1" si="44"/>
        <v>#N/A</v>
      </c>
      <c r="AX250" s="96" t="e">
        <f t="shared" ca="1" si="45"/>
        <v>#N/A</v>
      </c>
      <c r="AY250" s="96" t="e">
        <f t="shared" ca="1" si="46"/>
        <v>#N/A</v>
      </c>
      <c r="AZ250" s="96" t="e">
        <f t="shared" ca="1" si="47"/>
        <v>#N/A</v>
      </c>
      <c r="BA250" s="96" t="e">
        <f t="shared" ca="1" si="48"/>
        <v>#N/A</v>
      </c>
      <c r="BB250" s="96" t="e">
        <f t="shared" ca="1" si="49"/>
        <v>#N/A</v>
      </c>
      <c r="BC250" s="96" t="e">
        <f t="shared" ca="1" si="50"/>
        <v>#N/A</v>
      </c>
      <c r="BD250" s="96" t="e">
        <f t="shared" ca="1" si="51"/>
        <v>#N/A</v>
      </c>
      <c r="BE250" s="96" t="e">
        <f t="shared" ca="1" si="52"/>
        <v>#N/A</v>
      </c>
      <c r="BF250" s="96" t="e">
        <f t="shared" ca="1" si="53"/>
        <v>#N/A</v>
      </c>
      <c r="BG250" s="96" t="e">
        <f t="shared" ca="1" si="54"/>
        <v>#N/A</v>
      </c>
    </row>
    <row r="251" spans="2:59" ht="15" customHeight="1">
      <c r="B251" s="2"/>
      <c r="Q251" s="2"/>
      <c r="AF251" s="2"/>
      <c r="AU251" s="2" t="e">
        <f t="shared" si="42"/>
        <v>#N/A</v>
      </c>
      <c r="AV251" s="96" t="e">
        <f t="shared" ca="1" si="43"/>
        <v>#N/A</v>
      </c>
      <c r="AW251" s="96" t="e">
        <f t="shared" ca="1" si="44"/>
        <v>#N/A</v>
      </c>
      <c r="AX251" s="96" t="e">
        <f t="shared" ca="1" si="45"/>
        <v>#N/A</v>
      </c>
      <c r="AY251" s="96" t="e">
        <f t="shared" ca="1" si="46"/>
        <v>#N/A</v>
      </c>
      <c r="AZ251" s="96" t="e">
        <f t="shared" ca="1" si="47"/>
        <v>#N/A</v>
      </c>
      <c r="BA251" s="96" t="e">
        <f t="shared" ca="1" si="48"/>
        <v>#N/A</v>
      </c>
      <c r="BB251" s="96" t="e">
        <f t="shared" ca="1" si="49"/>
        <v>#N/A</v>
      </c>
      <c r="BC251" s="96" t="e">
        <f t="shared" ca="1" si="50"/>
        <v>#N/A</v>
      </c>
      <c r="BD251" s="96" t="e">
        <f t="shared" ca="1" si="51"/>
        <v>#N/A</v>
      </c>
      <c r="BE251" s="96" t="e">
        <f t="shared" ca="1" si="52"/>
        <v>#N/A</v>
      </c>
      <c r="BF251" s="96" t="e">
        <f t="shared" ca="1" si="53"/>
        <v>#N/A</v>
      </c>
      <c r="BG251" s="96" t="e">
        <f t="shared" ca="1" si="54"/>
        <v>#N/A</v>
      </c>
    </row>
    <row r="252" spans="2:59" ht="15" customHeight="1">
      <c r="B252" s="2"/>
      <c r="Q252" s="2"/>
      <c r="AF252" s="2"/>
      <c r="AU252" s="2" t="e">
        <f t="shared" si="42"/>
        <v>#N/A</v>
      </c>
      <c r="AV252" s="96" t="e">
        <f t="shared" ca="1" si="43"/>
        <v>#N/A</v>
      </c>
      <c r="AW252" s="96" t="e">
        <f t="shared" ca="1" si="44"/>
        <v>#N/A</v>
      </c>
      <c r="AX252" s="96" t="e">
        <f t="shared" ca="1" si="45"/>
        <v>#N/A</v>
      </c>
      <c r="AY252" s="96" t="e">
        <f t="shared" ca="1" si="46"/>
        <v>#N/A</v>
      </c>
      <c r="AZ252" s="96" t="e">
        <f t="shared" ca="1" si="47"/>
        <v>#N/A</v>
      </c>
      <c r="BA252" s="96" t="e">
        <f t="shared" ca="1" si="48"/>
        <v>#N/A</v>
      </c>
      <c r="BB252" s="96" t="e">
        <f t="shared" ca="1" si="49"/>
        <v>#N/A</v>
      </c>
      <c r="BC252" s="96" t="e">
        <f t="shared" ca="1" si="50"/>
        <v>#N/A</v>
      </c>
      <c r="BD252" s="96" t="e">
        <f t="shared" ca="1" si="51"/>
        <v>#N/A</v>
      </c>
      <c r="BE252" s="96" t="e">
        <f t="shared" ca="1" si="52"/>
        <v>#N/A</v>
      </c>
      <c r="BF252" s="96" t="e">
        <f t="shared" ca="1" si="53"/>
        <v>#N/A</v>
      </c>
      <c r="BG252" s="96" t="e">
        <f t="shared" ca="1" si="54"/>
        <v>#N/A</v>
      </c>
    </row>
    <row r="253" spans="2:59" ht="15" customHeight="1">
      <c r="B253" s="2"/>
      <c r="Q253" s="2"/>
      <c r="AF253" s="2"/>
      <c r="AU253" s="2" t="e">
        <f t="shared" si="42"/>
        <v>#N/A</v>
      </c>
      <c r="AV253" s="96" t="e">
        <f t="shared" ca="1" si="43"/>
        <v>#N/A</v>
      </c>
      <c r="AW253" s="96" t="e">
        <f t="shared" ca="1" si="44"/>
        <v>#N/A</v>
      </c>
      <c r="AX253" s="96" t="e">
        <f t="shared" ca="1" si="45"/>
        <v>#N/A</v>
      </c>
      <c r="AY253" s="96" t="e">
        <f t="shared" ca="1" si="46"/>
        <v>#N/A</v>
      </c>
      <c r="AZ253" s="96" t="e">
        <f t="shared" ca="1" si="47"/>
        <v>#N/A</v>
      </c>
      <c r="BA253" s="96" t="e">
        <f t="shared" ca="1" si="48"/>
        <v>#N/A</v>
      </c>
      <c r="BB253" s="96" t="e">
        <f t="shared" ca="1" si="49"/>
        <v>#N/A</v>
      </c>
      <c r="BC253" s="96" t="e">
        <f t="shared" ca="1" si="50"/>
        <v>#N/A</v>
      </c>
      <c r="BD253" s="96" t="e">
        <f t="shared" ca="1" si="51"/>
        <v>#N/A</v>
      </c>
      <c r="BE253" s="96" t="e">
        <f t="shared" ca="1" si="52"/>
        <v>#N/A</v>
      </c>
      <c r="BF253" s="96" t="e">
        <f t="shared" ca="1" si="53"/>
        <v>#N/A</v>
      </c>
      <c r="BG253" s="96" t="e">
        <f t="shared" ca="1" si="54"/>
        <v>#N/A</v>
      </c>
    </row>
    <row r="254" spans="2:59" ht="15" customHeight="1">
      <c r="B254" s="2"/>
      <c r="Q254" s="2"/>
      <c r="AF254" s="2"/>
      <c r="AU254" s="2" t="e">
        <f t="shared" si="42"/>
        <v>#N/A</v>
      </c>
      <c r="AV254" s="96" t="e">
        <f t="shared" ca="1" si="43"/>
        <v>#N/A</v>
      </c>
      <c r="AW254" s="96" t="e">
        <f t="shared" ca="1" si="44"/>
        <v>#N/A</v>
      </c>
      <c r="AX254" s="96" t="e">
        <f t="shared" ca="1" si="45"/>
        <v>#N/A</v>
      </c>
      <c r="AY254" s="96" t="e">
        <f t="shared" ca="1" si="46"/>
        <v>#N/A</v>
      </c>
      <c r="AZ254" s="96" t="e">
        <f t="shared" ca="1" si="47"/>
        <v>#N/A</v>
      </c>
      <c r="BA254" s="96" t="e">
        <f t="shared" ca="1" si="48"/>
        <v>#N/A</v>
      </c>
      <c r="BB254" s="96" t="e">
        <f t="shared" ca="1" si="49"/>
        <v>#N/A</v>
      </c>
      <c r="BC254" s="96" t="e">
        <f t="shared" ca="1" si="50"/>
        <v>#N/A</v>
      </c>
      <c r="BD254" s="96" t="e">
        <f t="shared" ca="1" si="51"/>
        <v>#N/A</v>
      </c>
      <c r="BE254" s="96" t="e">
        <f t="shared" ca="1" si="52"/>
        <v>#N/A</v>
      </c>
      <c r="BF254" s="96" t="e">
        <f t="shared" ca="1" si="53"/>
        <v>#N/A</v>
      </c>
      <c r="BG254" s="96" t="e">
        <f t="shared" ca="1" si="54"/>
        <v>#N/A</v>
      </c>
    </row>
    <row r="255" spans="2:59" ht="15" customHeight="1">
      <c r="B255" s="2"/>
      <c r="Q255" s="2"/>
      <c r="AF255" s="2"/>
      <c r="AU255" s="2" t="e">
        <f t="shared" si="42"/>
        <v>#N/A</v>
      </c>
      <c r="AV255" s="96" t="e">
        <f t="shared" ca="1" si="43"/>
        <v>#N/A</v>
      </c>
      <c r="AW255" s="96" t="e">
        <f t="shared" ca="1" si="44"/>
        <v>#N/A</v>
      </c>
      <c r="AX255" s="96" t="e">
        <f t="shared" ca="1" si="45"/>
        <v>#N/A</v>
      </c>
      <c r="AY255" s="96" t="e">
        <f t="shared" ca="1" si="46"/>
        <v>#N/A</v>
      </c>
      <c r="AZ255" s="96" t="e">
        <f t="shared" ca="1" si="47"/>
        <v>#N/A</v>
      </c>
      <c r="BA255" s="96" t="e">
        <f t="shared" ca="1" si="48"/>
        <v>#N/A</v>
      </c>
      <c r="BB255" s="96" t="e">
        <f t="shared" ca="1" si="49"/>
        <v>#N/A</v>
      </c>
      <c r="BC255" s="96" t="e">
        <f t="shared" ca="1" si="50"/>
        <v>#N/A</v>
      </c>
      <c r="BD255" s="96" t="e">
        <f t="shared" ca="1" si="51"/>
        <v>#N/A</v>
      </c>
      <c r="BE255" s="96" t="e">
        <f t="shared" ca="1" si="52"/>
        <v>#N/A</v>
      </c>
      <c r="BF255" s="96" t="e">
        <f t="shared" ca="1" si="53"/>
        <v>#N/A</v>
      </c>
      <c r="BG255" s="96" t="e">
        <f t="shared" ca="1" si="54"/>
        <v>#N/A</v>
      </c>
    </row>
    <row r="256" spans="2:59" ht="15" customHeight="1">
      <c r="B256" s="2"/>
      <c r="Q256" s="2"/>
      <c r="AF256" s="2"/>
      <c r="AU256" s="2" t="e">
        <f t="shared" si="42"/>
        <v>#N/A</v>
      </c>
      <c r="AV256" s="96" t="e">
        <f t="shared" ca="1" si="43"/>
        <v>#N/A</v>
      </c>
      <c r="AW256" s="96" t="e">
        <f t="shared" ca="1" si="44"/>
        <v>#N/A</v>
      </c>
      <c r="AX256" s="96" t="e">
        <f t="shared" ca="1" si="45"/>
        <v>#N/A</v>
      </c>
      <c r="AY256" s="96" t="e">
        <f t="shared" ca="1" si="46"/>
        <v>#N/A</v>
      </c>
      <c r="AZ256" s="96" t="e">
        <f t="shared" ca="1" si="47"/>
        <v>#N/A</v>
      </c>
      <c r="BA256" s="96" t="e">
        <f t="shared" ca="1" si="48"/>
        <v>#N/A</v>
      </c>
      <c r="BB256" s="96" t="e">
        <f t="shared" ca="1" si="49"/>
        <v>#N/A</v>
      </c>
      <c r="BC256" s="96" t="e">
        <f t="shared" ca="1" si="50"/>
        <v>#N/A</v>
      </c>
      <c r="BD256" s="96" t="e">
        <f t="shared" ca="1" si="51"/>
        <v>#N/A</v>
      </c>
      <c r="BE256" s="96" t="e">
        <f t="shared" ca="1" si="52"/>
        <v>#N/A</v>
      </c>
      <c r="BF256" s="96" t="e">
        <f t="shared" ca="1" si="53"/>
        <v>#N/A</v>
      </c>
      <c r="BG256" s="96" t="e">
        <f t="shared" ca="1" si="54"/>
        <v>#N/A</v>
      </c>
    </row>
    <row r="257" spans="2:59" ht="15" customHeight="1">
      <c r="B257" s="2"/>
      <c r="Q257" s="2"/>
      <c r="AF257" s="2"/>
      <c r="AU257" s="2" t="e">
        <f t="shared" si="42"/>
        <v>#N/A</v>
      </c>
      <c r="AV257" s="96" t="e">
        <f t="shared" ca="1" si="43"/>
        <v>#N/A</v>
      </c>
      <c r="AW257" s="96" t="e">
        <f t="shared" ca="1" si="44"/>
        <v>#N/A</v>
      </c>
      <c r="AX257" s="96" t="e">
        <f t="shared" ca="1" si="45"/>
        <v>#N/A</v>
      </c>
      <c r="AY257" s="96" t="e">
        <f t="shared" ca="1" si="46"/>
        <v>#N/A</v>
      </c>
      <c r="AZ257" s="96" t="e">
        <f t="shared" ca="1" si="47"/>
        <v>#N/A</v>
      </c>
      <c r="BA257" s="96" t="e">
        <f t="shared" ca="1" si="48"/>
        <v>#N/A</v>
      </c>
      <c r="BB257" s="96" t="e">
        <f t="shared" ca="1" si="49"/>
        <v>#N/A</v>
      </c>
      <c r="BC257" s="96" t="e">
        <f t="shared" ca="1" si="50"/>
        <v>#N/A</v>
      </c>
      <c r="BD257" s="96" t="e">
        <f t="shared" ca="1" si="51"/>
        <v>#N/A</v>
      </c>
      <c r="BE257" s="96" t="e">
        <f t="shared" ca="1" si="52"/>
        <v>#N/A</v>
      </c>
      <c r="BF257" s="96" t="e">
        <f t="shared" ca="1" si="53"/>
        <v>#N/A</v>
      </c>
      <c r="BG257" s="96" t="e">
        <f t="shared" ca="1" si="54"/>
        <v>#N/A</v>
      </c>
    </row>
    <row r="258" spans="2:59" ht="15" customHeight="1">
      <c r="B258" s="2"/>
      <c r="Q258" s="2"/>
      <c r="AF258" s="2"/>
      <c r="AU258" s="2" t="e">
        <f t="shared" si="42"/>
        <v>#N/A</v>
      </c>
      <c r="AV258" s="96" t="e">
        <f t="shared" ca="1" si="43"/>
        <v>#N/A</v>
      </c>
      <c r="AW258" s="96" t="e">
        <f t="shared" ca="1" si="44"/>
        <v>#N/A</v>
      </c>
      <c r="AX258" s="96" t="e">
        <f t="shared" ca="1" si="45"/>
        <v>#N/A</v>
      </c>
      <c r="AY258" s="96" t="e">
        <f t="shared" ca="1" si="46"/>
        <v>#N/A</v>
      </c>
      <c r="AZ258" s="96" t="e">
        <f t="shared" ca="1" si="47"/>
        <v>#N/A</v>
      </c>
      <c r="BA258" s="96" t="e">
        <f t="shared" ca="1" si="48"/>
        <v>#N/A</v>
      </c>
      <c r="BB258" s="96" t="e">
        <f t="shared" ca="1" si="49"/>
        <v>#N/A</v>
      </c>
      <c r="BC258" s="96" t="e">
        <f t="shared" ca="1" si="50"/>
        <v>#N/A</v>
      </c>
      <c r="BD258" s="96" t="e">
        <f t="shared" ca="1" si="51"/>
        <v>#N/A</v>
      </c>
      <c r="BE258" s="96" t="e">
        <f t="shared" ca="1" si="52"/>
        <v>#N/A</v>
      </c>
      <c r="BF258" s="96" t="e">
        <f t="shared" ca="1" si="53"/>
        <v>#N/A</v>
      </c>
      <c r="BG258" s="96" t="e">
        <f t="shared" ca="1" si="54"/>
        <v>#N/A</v>
      </c>
    </row>
    <row r="259" spans="2:59" ht="15" customHeight="1">
      <c r="B259" s="2"/>
      <c r="Q259" s="2"/>
      <c r="AF259" s="2"/>
      <c r="AU259" s="2" t="e">
        <f t="shared" si="42"/>
        <v>#N/A</v>
      </c>
      <c r="AV259" s="96" t="e">
        <f t="shared" ca="1" si="43"/>
        <v>#N/A</v>
      </c>
      <c r="AW259" s="96" t="e">
        <f t="shared" ca="1" si="44"/>
        <v>#N/A</v>
      </c>
      <c r="AX259" s="96" t="e">
        <f t="shared" ca="1" si="45"/>
        <v>#N/A</v>
      </c>
      <c r="AY259" s="96" t="e">
        <f t="shared" ca="1" si="46"/>
        <v>#N/A</v>
      </c>
      <c r="AZ259" s="96" t="e">
        <f t="shared" ca="1" si="47"/>
        <v>#N/A</v>
      </c>
      <c r="BA259" s="96" t="e">
        <f t="shared" ca="1" si="48"/>
        <v>#N/A</v>
      </c>
      <c r="BB259" s="96" t="e">
        <f t="shared" ca="1" si="49"/>
        <v>#N/A</v>
      </c>
      <c r="BC259" s="96" t="e">
        <f t="shared" ca="1" si="50"/>
        <v>#N/A</v>
      </c>
      <c r="BD259" s="96" t="e">
        <f t="shared" ca="1" si="51"/>
        <v>#N/A</v>
      </c>
      <c r="BE259" s="96" t="e">
        <f t="shared" ca="1" si="52"/>
        <v>#N/A</v>
      </c>
      <c r="BF259" s="96" t="e">
        <f t="shared" ca="1" si="53"/>
        <v>#N/A</v>
      </c>
      <c r="BG259" s="96" t="e">
        <f t="shared" ca="1" si="54"/>
        <v>#N/A</v>
      </c>
    </row>
    <row r="260" spans="2:59" ht="15" customHeight="1">
      <c r="B260" s="2"/>
      <c r="Q260" s="2"/>
      <c r="AF260" s="2"/>
      <c r="AU260" s="2" t="e">
        <f t="shared" si="42"/>
        <v>#N/A</v>
      </c>
      <c r="AV260" s="96" t="e">
        <f t="shared" ca="1" si="43"/>
        <v>#N/A</v>
      </c>
      <c r="AW260" s="96" t="e">
        <f t="shared" ca="1" si="44"/>
        <v>#N/A</v>
      </c>
      <c r="AX260" s="96" t="e">
        <f t="shared" ca="1" si="45"/>
        <v>#N/A</v>
      </c>
      <c r="AY260" s="96" t="e">
        <f t="shared" ca="1" si="46"/>
        <v>#N/A</v>
      </c>
      <c r="AZ260" s="96" t="e">
        <f t="shared" ca="1" si="47"/>
        <v>#N/A</v>
      </c>
      <c r="BA260" s="96" t="e">
        <f t="shared" ca="1" si="48"/>
        <v>#N/A</v>
      </c>
      <c r="BB260" s="96" t="e">
        <f t="shared" ca="1" si="49"/>
        <v>#N/A</v>
      </c>
      <c r="BC260" s="96" t="e">
        <f t="shared" ca="1" si="50"/>
        <v>#N/A</v>
      </c>
      <c r="BD260" s="96" t="e">
        <f t="shared" ca="1" si="51"/>
        <v>#N/A</v>
      </c>
      <c r="BE260" s="96" t="e">
        <f t="shared" ca="1" si="52"/>
        <v>#N/A</v>
      </c>
      <c r="BF260" s="96" t="e">
        <f t="shared" ca="1" si="53"/>
        <v>#N/A</v>
      </c>
      <c r="BG260" s="96" t="e">
        <f t="shared" ca="1" si="54"/>
        <v>#N/A</v>
      </c>
    </row>
    <row r="261" spans="2:59" ht="15" customHeight="1">
      <c r="B261" s="2"/>
      <c r="Q261" s="2"/>
      <c r="AF261" s="2"/>
      <c r="AU261" s="2" t="e">
        <f t="shared" si="42"/>
        <v>#N/A</v>
      </c>
      <c r="AV261" s="96" t="e">
        <f t="shared" ca="1" si="43"/>
        <v>#N/A</v>
      </c>
      <c r="AW261" s="96" t="e">
        <f t="shared" ca="1" si="44"/>
        <v>#N/A</v>
      </c>
      <c r="AX261" s="96" t="e">
        <f t="shared" ca="1" si="45"/>
        <v>#N/A</v>
      </c>
      <c r="AY261" s="96" t="e">
        <f t="shared" ca="1" si="46"/>
        <v>#N/A</v>
      </c>
      <c r="AZ261" s="96" t="e">
        <f t="shared" ca="1" si="47"/>
        <v>#N/A</v>
      </c>
      <c r="BA261" s="96" t="e">
        <f t="shared" ca="1" si="48"/>
        <v>#N/A</v>
      </c>
      <c r="BB261" s="96" t="e">
        <f t="shared" ca="1" si="49"/>
        <v>#N/A</v>
      </c>
      <c r="BC261" s="96" t="e">
        <f t="shared" ca="1" si="50"/>
        <v>#N/A</v>
      </c>
      <c r="BD261" s="96" t="e">
        <f t="shared" ca="1" si="51"/>
        <v>#N/A</v>
      </c>
      <c r="BE261" s="96" t="e">
        <f t="shared" ca="1" si="52"/>
        <v>#N/A</v>
      </c>
      <c r="BF261" s="96" t="e">
        <f t="shared" ca="1" si="53"/>
        <v>#N/A</v>
      </c>
      <c r="BG261" s="96" t="e">
        <f t="shared" ca="1" si="54"/>
        <v>#N/A</v>
      </c>
    </row>
    <row r="262" spans="2:59" ht="15" customHeight="1">
      <c r="B262" s="2"/>
      <c r="Q262" s="2"/>
      <c r="AF262" s="2"/>
      <c r="AU262" s="2" t="e">
        <f t="shared" si="42"/>
        <v>#N/A</v>
      </c>
      <c r="AV262" s="96" t="e">
        <f t="shared" ca="1" si="43"/>
        <v>#N/A</v>
      </c>
      <c r="AW262" s="96" t="e">
        <f t="shared" ca="1" si="44"/>
        <v>#N/A</v>
      </c>
      <c r="AX262" s="96" t="e">
        <f t="shared" ca="1" si="45"/>
        <v>#N/A</v>
      </c>
      <c r="AY262" s="96" t="e">
        <f t="shared" ca="1" si="46"/>
        <v>#N/A</v>
      </c>
      <c r="AZ262" s="96" t="e">
        <f t="shared" ca="1" si="47"/>
        <v>#N/A</v>
      </c>
      <c r="BA262" s="96" t="e">
        <f t="shared" ca="1" si="48"/>
        <v>#N/A</v>
      </c>
      <c r="BB262" s="96" t="e">
        <f t="shared" ca="1" si="49"/>
        <v>#N/A</v>
      </c>
      <c r="BC262" s="96" t="e">
        <f t="shared" ca="1" si="50"/>
        <v>#N/A</v>
      </c>
      <c r="BD262" s="96" t="e">
        <f t="shared" ca="1" si="51"/>
        <v>#N/A</v>
      </c>
      <c r="BE262" s="96" t="e">
        <f t="shared" ca="1" si="52"/>
        <v>#N/A</v>
      </c>
      <c r="BF262" s="96" t="e">
        <f t="shared" ca="1" si="53"/>
        <v>#N/A</v>
      </c>
      <c r="BG262" s="96" t="e">
        <f t="shared" ca="1" si="54"/>
        <v>#N/A</v>
      </c>
    </row>
    <row r="263" spans="2:59" ht="15" customHeight="1">
      <c r="B263" s="2"/>
      <c r="Q263" s="2"/>
      <c r="AF263" s="2"/>
      <c r="AU263" s="2" t="e">
        <f t="shared" si="42"/>
        <v>#N/A</v>
      </c>
      <c r="AV263" s="96" t="e">
        <f t="shared" ca="1" si="43"/>
        <v>#N/A</v>
      </c>
      <c r="AW263" s="96" t="e">
        <f t="shared" ca="1" si="44"/>
        <v>#N/A</v>
      </c>
      <c r="AX263" s="96" t="e">
        <f t="shared" ca="1" si="45"/>
        <v>#N/A</v>
      </c>
      <c r="AY263" s="96" t="e">
        <f t="shared" ca="1" si="46"/>
        <v>#N/A</v>
      </c>
      <c r="AZ263" s="96" t="e">
        <f t="shared" ca="1" si="47"/>
        <v>#N/A</v>
      </c>
      <c r="BA263" s="96" t="e">
        <f t="shared" ca="1" si="48"/>
        <v>#N/A</v>
      </c>
      <c r="BB263" s="96" t="e">
        <f t="shared" ca="1" si="49"/>
        <v>#N/A</v>
      </c>
      <c r="BC263" s="96" t="e">
        <f t="shared" ca="1" si="50"/>
        <v>#N/A</v>
      </c>
      <c r="BD263" s="96" t="e">
        <f t="shared" ca="1" si="51"/>
        <v>#N/A</v>
      </c>
      <c r="BE263" s="96" t="e">
        <f t="shared" ca="1" si="52"/>
        <v>#N/A</v>
      </c>
      <c r="BF263" s="96" t="e">
        <f t="shared" ca="1" si="53"/>
        <v>#N/A</v>
      </c>
      <c r="BG263" s="96" t="e">
        <f t="shared" ca="1" si="54"/>
        <v>#N/A</v>
      </c>
    </row>
    <row r="264" spans="2:59" ht="15" customHeight="1">
      <c r="B264" s="2"/>
      <c r="Q264" s="2"/>
      <c r="AF264" s="2"/>
      <c r="AU264" s="2" t="e">
        <f t="shared" si="42"/>
        <v>#N/A</v>
      </c>
      <c r="AV264" s="96" t="e">
        <f t="shared" ca="1" si="43"/>
        <v>#N/A</v>
      </c>
      <c r="AW264" s="96" t="e">
        <f t="shared" ca="1" si="44"/>
        <v>#N/A</v>
      </c>
      <c r="AX264" s="96" t="e">
        <f t="shared" ca="1" si="45"/>
        <v>#N/A</v>
      </c>
      <c r="AY264" s="96" t="e">
        <f t="shared" ca="1" si="46"/>
        <v>#N/A</v>
      </c>
      <c r="AZ264" s="96" t="e">
        <f t="shared" ca="1" si="47"/>
        <v>#N/A</v>
      </c>
      <c r="BA264" s="96" t="e">
        <f t="shared" ca="1" si="48"/>
        <v>#N/A</v>
      </c>
      <c r="BB264" s="96" t="e">
        <f t="shared" ca="1" si="49"/>
        <v>#N/A</v>
      </c>
      <c r="BC264" s="96" t="e">
        <f t="shared" ca="1" si="50"/>
        <v>#N/A</v>
      </c>
      <c r="BD264" s="96" t="e">
        <f t="shared" ca="1" si="51"/>
        <v>#N/A</v>
      </c>
      <c r="BE264" s="96" t="e">
        <f t="shared" ca="1" si="52"/>
        <v>#N/A</v>
      </c>
      <c r="BF264" s="96" t="e">
        <f t="shared" ca="1" si="53"/>
        <v>#N/A</v>
      </c>
      <c r="BG264" s="96" t="e">
        <f t="shared" ca="1" si="54"/>
        <v>#N/A</v>
      </c>
    </row>
    <row r="265" spans="2:59" ht="15" customHeight="1">
      <c r="B265" s="2"/>
      <c r="Q265" s="2"/>
      <c r="AF265" s="2"/>
      <c r="AU265" s="2" t="e">
        <f t="shared" si="42"/>
        <v>#N/A</v>
      </c>
      <c r="AV265" s="96" t="e">
        <f t="shared" ca="1" si="43"/>
        <v>#N/A</v>
      </c>
      <c r="AW265" s="96" t="e">
        <f t="shared" ca="1" si="44"/>
        <v>#N/A</v>
      </c>
      <c r="AX265" s="96" t="e">
        <f t="shared" ca="1" si="45"/>
        <v>#N/A</v>
      </c>
      <c r="AY265" s="96" t="e">
        <f t="shared" ca="1" si="46"/>
        <v>#N/A</v>
      </c>
      <c r="AZ265" s="96" t="e">
        <f t="shared" ca="1" si="47"/>
        <v>#N/A</v>
      </c>
      <c r="BA265" s="96" t="e">
        <f t="shared" ca="1" si="48"/>
        <v>#N/A</v>
      </c>
      <c r="BB265" s="96" t="e">
        <f t="shared" ca="1" si="49"/>
        <v>#N/A</v>
      </c>
      <c r="BC265" s="96" t="e">
        <f t="shared" ca="1" si="50"/>
        <v>#N/A</v>
      </c>
      <c r="BD265" s="96" t="e">
        <f t="shared" ca="1" si="51"/>
        <v>#N/A</v>
      </c>
      <c r="BE265" s="96" t="e">
        <f t="shared" ca="1" si="52"/>
        <v>#N/A</v>
      </c>
      <c r="BF265" s="96" t="e">
        <f t="shared" ca="1" si="53"/>
        <v>#N/A</v>
      </c>
      <c r="BG265" s="96" t="e">
        <f t="shared" ca="1" si="54"/>
        <v>#N/A</v>
      </c>
    </row>
    <row r="266" spans="2:59" ht="15" customHeight="1">
      <c r="B266" s="2"/>
      <c r="Q266" s="2"/>
      <c r="AF266" s="2"/>
      <c r="AU266" s="2" t="e">
        <f t="shared" si="42"/>
        <v>#N/A</v>
      </c>
      <c r="AV266" s="96" t="e">
        <f t="shared" ca="1" si="43"/>
        <v>#N/A</v>
      </c>
      <c r="AW266" s="96" t="e">
        <f t="shared" ca="1" si="44"/>
        <v>#N/A</v>
      </c>
      <c r="AX266" s="96" t="e">
        <f t="shared" ca="1" si="45"/>
        <v>#N/A</v>
      </c>
      <c r="AY266" s="96" t="e">
        <f t="shared" ca="1" si="46"/>
        <v>#N/A</v>
      </c>
      <c r="AZ266" s="96" t="e">
        <f t="shared" ca="1" si="47"/>
        <v>#N/A</v>
      </c>
      <c r="BA266" s="96" t="e">
        <f t="shared" ca="1" si="48"/>
        <v>#N/A</v>
      </c>
      <c r="BB266" s="96" t="e">
        <f t="shared" ca="1" si="49"/>
        <v>#N/A</v>
      </c>
      <c r="BC266" s="96" t="e">
        <f t="shared" ca="1" si="50"/>
        <v>#N/A</v>
      </c>
      <c r="BD266" s="96" t="e">
        <f t="shared" ca="1" si="51"/>
        <v>#N/A</v>
      </c>
      <c r="BE266" s="96" t="e">
        <f t="shared" ca="1" si="52"/>
        <v>#N/A</v>
      </c>
      <c r="BF266" s="96" t="e">
        <f t="shared" ca="1" si="53"/>
        <v>#N/A</v>
      </c>
      <c r="BG266" s="96" t="e">
        <f t="shared" ca="1" si="54"/>
        <v>#N/A</v>
      </c>
    </row>
    <row r="267" spans="2:59" ht="15" customHeight="1">
      <c r="B267" s="2"/>
      <c r="Q267" s="2"/>
      <c r="AF267" s="2"/>
      <c r="AU267" s="2" t="e">
        <f t="shared" si="42"/>
        <v>#N/A</v>
      </c>
      <c r="AV267" s="96" t="e">
        <f t="shared" ca="1" si="43"/>
        <v>#N/A</v>
      </c>
      <c r="AW267" s="96" t="e">
        <f t="shared" ca="1" si="44"/>
        <v>#N/A</v>
      </c>
      <c r="AX267" s="96" t="e">
        <f t="shared" ca="1" si="45"/>
        <v>#N/A</v>
      </c>
      <c r="AY267" s="96" t="e">
        <f t="shared" ca="1" si="46"/>
        <v>#N/A</v>
      </c>
      <c r="AZ267" s="96" t="e">
        <f t="shared" ca="1" si="47"/>
        <v>#N/A</v>
      </c>
      <c r="BA267" s="96" t="e">
        <f t="shared" ca="1" si="48"/>
        <v>#N/A</v>
      </c>
      <c r="BB267" s="96" t="e">
        <f t="shared" ca="1" si="49"/>
        <v>#N/A</v>
      </c>
      <c r="BC267" s="96" t="e">
        <f t="shared" ca="1" si="50"/>
        <v>#N/A</v>
      </c>
      <c r="BD267" s="96" t="e">
        <f t="shared" ca="1" si="51"/>
        <v>#N/A</v>
      </c>
      <c r="BE267" s="96" t="e">
        <f t="shared" ca="1" si="52"/>
        <v>#N/A</v>
      </c>
      <c r="BF267" s="96" t="e">
        <f t="shared" ca="1" si="53"/>
        <v>#N/A</v>
      </c>
      <c r="BG267" s="96" t="e">
        <f t="shared" ca="1" si="54"/>
        <v>#N/A</v>
      </c>
    </row>
    <row r="268" spans="2:59" ht="15" customHeight="1">
      <c r="B268" s="2"/>
      <c r="Q268" s="2"/>
      <c r="AF268" s="2"/>
      <c r="AU268" s="2" t="e">
        <f t="shared" si="42"/>
        <v>#N/A</v>
      </c>
      <c r="AV268" s="96" t="e">
        <f t="shared" ca="1" si="43"/>
        <v>#N/A</v>
      </c>
      <c r="AW268" s="96" t="e">
        <f t="shared" ca="1" si="44"/>
        <v>#N/A</v>
      </c>
      <c r="AX268" s="96" t="e">
        <f t="shared" ca="1" si="45"/>
        <v>#N/A</v>
      </c>
      <c r="AY268" s="96" t="e">
        <f t="shared" ca="1" si="46"/>
        <v>#N/A</v>
      </c>
      <c r="AZ268" s="96" t="e">
        <f t="shared" ca="1" si="47"/>
        <v>#N/A</v>
      </c>
      <c r="BA268" s="96" t="e">
        <f t="shared" ca="1" si="48"/>
        <v>#N/A</v>
      </c>
      <c r="BB268" s="96" t="e">
        <f t="shared" ca="1" si="49"/>
        <v>#N/A</v>
      </c>
      <c r="BC268" s="96" t="e">
        <f t="shared" ca="1" si="50"/>
        <v>#N/A</v>
      </c>
      <c r="BD268" s="96" t="e">
        <f t="shared" ca="1" si="51"/>
        <v>#N/A</v>
      </c>
      <c r="BE268" s="96" t="e">
        <f t="shared" ca="1" si="52"/>
        <v>#N/A</v>
      </c>
      <c r="BF268" s="96" t="e">
        <f t="shared" ca="1" si="53"/>
        <v>#N/A</v>
      </c>
      <c r="BG268" s="96" t="e">
        <f t="shared" ca="1" si="54"/>
        <v>#N/A</v>
      </c>
    </row>
    <row r="269" spans="2:59" ht="15" customHeight="1">
      <c r="B269" s="2"/>
      <c r="Q269" s="2"/>
      <c r="AF269" s="2"/>
      <c r="AU269" s="2" t="e">
        <f>IF(TRIM(B269)&lt;&gt;"", B269, NA())</f>
        <v>#N/A</v>
      </c>
      <c r="AV269" s="96" t="e">
        <f t="shared" ref="AV269:AV273" ca="1" si="55">IF(ISERROR(ABS(IF(AG$10="Y",100-AG269,AG269)-IF(R$10="Y",100-R269,R269))/C269), NA(), ABS(IF(AG$10="Y",100-AG269,AG269)-IF(R$10="Y",100-R269,R269))/C269)</f>
        <v>#N/A</v>
      </c>
      <c r="AW269" s="96" t="e">
        <f t="shared" ref="AW269:AW273" ca="1" si="56">IF(ISERROR(ABS(IF(AH$10="Y",100-AH269,AH269)-IF(S$10="Y",100-S269,S269))/D269), NA(), ABS(IF(AH$10="Y",100-AH269,AH269)-IF(S$10="Y",100-S269,S269))/D269)</f>
        <v>#N/A</v>
      </c>
      <c r="AX269" s="96" t="e">
        <f t="shared" ref="AX269:AX273" ca="1" si="57">IF(ISERROR(ABS(IF(AI$10="Y",100-AI269,AI269)-IF(T$10="Y",100-T269,T269))/E269), NA(), ABS(IF(AI$10="Y",100-AI269,AI269)-IF(T$10="Y",100-T269,T269))/E269)</f>
        <v>#N/A</v>
      </c>
      <c r="AY269" s="96" t="e">
        <f t="shared" ref="AY269:AY273" ca="1" si="58">IF(ISERROR(ABS(IF(AJ$10="Y",100-AJ269,AJ269)-IF(U$10="Y",100-U269,U269))/F269), NA(), ABS(IF(AJ$10="Y",100-AJ269,AJ269)-IF(U$10="Y",100-U269,U269))/F269)</f>
        <v>#N/A</v>
      </c>
      <c r="AZ269" s="96" t="e">
        <f t="shared" ref="AZ269:AZ273" ca="1" si="59">IF(ISERROR(ABS(IF(AK$10="Y",100-AK269,AK269)-IF(V$10="Y",100-V269,V269))/G269), NA(), ABS(IF(AK$10="Y",100-AK269,AK269)-IF(V$10="Y",100-V269,V269))/G269)</f>
        <v>#N/A</v>
      </c>
      <c r="BA269" s="96" t="e">
        <f t="shared" ref="BA269:BA273" ca="1" si="60">IF(ISERROR(ABS(IF(AL$10="Y",100-AL269,AL269)-IF(W$10="Y",100-W269,W269))/H269), NA(), ABS(IF(AL$10="Y",100-AL269,AL269)-IF(W$10="Y",100-W269,W269))/H269)</f>
        <v>#N/A</v>
      </c>
      <c r="BB269" s="96" t="e">
        <f t="shared" ref="BB269:BB273" ca="1" si="61">IF(ISERROR(ABS(IF(AM$10="Y",100-AM269,AM269)-IF(X$10="Y",100-X269,X269))/I269), NA(), ABS(IF(AM$10="Y",100-AM269,AM269)-IF(X$10="Y",100-X269,X269))/I269)</f>
        <v>#N/A</v>
      </c>
      <c r="BC269" s="96" t="e">
        <f t="shared" ref="BC269:BC273" ca="1" si="62">IF(ISERROR(ABS(IF(AN$10="Y",100-AN269,AN269)-IF(Y$10="Y",100-Y269,Y269))/J269), NA(), ABS(IF(AN$10="Y",100-AN269,AN269)-IF(Y$10="Y",100-Y269,Y269))/J269)</f>
        <v>#N/A</v>
      </c>
      <c r="BD269" s="96" t="e">
        <f t="shared" ref="BD269:BD273" ca="1" si="63">IF(ISERROR(ABS(IF(AO$10="Y",100-AO269,AO269)-IF(Z$10="Y",100-Z269,Z269))/K269), NA(), ABS(IF(AO$10="Y",100-AO269,AO269)-IF(Z$10="Y",100-Z269,Z269))/K269)</f>
        <v>#N/A</v>
      </c>
      <c r="BE269" s="96" t="e">
        <f t="shared" ref="BE269:BE273" ca="1" si="64">IF(ISERROR(ABS(IF(AP$10="Y",100-AP269,AP269)-IF(AA$10="Y",100-AA269,AA269))/L269), NA(), ABS(IF(AP$10="Y",100-AP269,AP269)-IF(AA$10="Y",100-AA269,AA269))/L269)</f>
        <v>#N/A</v>
      </c>
      <c r="BF269" s="96" t="e">
        <f t="shared" ref="BF269:BF273" ca="1" si="65">IF(ISERROR(ABS(IF(AQ$10="Y",100-AQ269,AQ269)-IF(AB$10="Y",100-AB269,AB269))/M269), NA(), ABS(IF(AQ$10="Y",100-AQ269,AQ269)-IF(AB$10="Y",100-AB269,AB269))/M269)</f>
        <v>#N/A</v>
      </c>
      <c r="BG269" s="96" t="e">
        <f t="shared" ref="BG269:BG273" ca="1" si="66">IF(ISERROR(ABS(IF(AR$10="Y",100-AR269,AR269)-IF(AC$10="Y",100-AC269,AC269))/N269), NA(), ABS(IF(AR$10="Y",100-AR269,AR269)-IF(AC$10="Y",100-AC269,AC269))/N269)</f>
        <v>#N/A</v>
      </c>
    </row>
    <row r="270" spans="2:59" ht="15" customHeight="1">
      <c r="B270" s="2"/>
      <c r="Q270" s="2"/>
      <c r="AF270" s="2"/>
      <c r="AU270" s="2" t="e">
        <f>IF(TRIM(B270)&lt;&gt;"", B270, NA())</f>
        <v>#N/A</v>
      </c>
      <c r="AV270" s="96" t="e">
        <f t="shared" ca="1" si="55"/>
        <v>#N/A</v>
      </c>
      <c r="AW270" s="96" t="e">
        <f t="shared" ca="1" si="56"/>
        <v>#N/A</v>
      </c>
      <c r="AX270" s="96" t="e">
        <f t="shared" ca="1" si="57"/>
        <v>#N/A</v>
      </c>
      <c r="AY270" s="96" t="e">
        <f t="shared" ca="1" si="58"/>
        <v>#N/A</v>
      </c>
      <c r="AZ270" s="96" t="e">
        <f t="shared" ca="1" si="59"/>
        <v>#N/A</v>
      </c>
      <c r="BA270" s="96" t="e">
        <f t="shared" ca="1" si="60"/>
        <v>#N/A</v>
      </c>
      <c r="BB270" s="96" t="e">
        <f t="shared" ca="1" si="61"/>
        <v>#N/A</v>
      </c>
      <c r="BC270" s="96" t="e">
        <f t="shared" ca="1" si="62"/>
        <v>#N/A</v>
      </c>
      <c r="BD270" s="96" t="e">
        <f t="shared" ca="1" si="63"/>
        <v>#N/A</v>
      </c>
      <c r="BE270" s="96" t="e">
        <f t="shared" ca="1" si="64"/>
        <v>#N/A</v>
      </c>
      <c r="BF270" s="96" t="e">
        <f t="shared" ca="1" si="65"/>
        <v>#N/A</v>
      </c>
      <c r="BG270" s="96" t="e">
        <f t="shared" ca="1" si="66"/>
        <v>#N/A</v>
      </c>
    </row>
    <row r="271" spans="2:59" ht="15" customHeight="1">
      <c r="B271" s="2"/>
      <c r="Q271" s="2"/>
      <c r="AF271" s="2"/>
      <c r="AU271" s="2" t="e">
        <f>IF(TRIM(B271)&lt;&gt;"", B271, NA())</f>
        <v>#N/A</v>
      </c>
      <c r="AV271" s="96" t="e">
        <f t="shared" ca="1" si="55"/>
        <v>#N/A</v>
      </c>
      <c r="AW271" s="96" t="e">
        <f t="shared" ca="1" si="56"/>
        <v>#N/A</v>
      </c>
      <c r="AX271" s="96" t="e">
        <f t="shared" ca="1" si="57"/>
        <v>#N/A</v>
      </c>
      <c r="AY271" s="96" t="e">
        <f t="shared" ca="1" si="58"/>
        <v>#N/A</v>
      </c>
      <c r="AZ271" s="96" t="e">
        <f t="shared" ca="1" si="59"/>
        <v>#N/A</v>
      </c>
      <c r="BA271" s="96" t="e">
        <f t="shared" ca="1" si="60"/>
        <v>#N/A</v>
      </c>
      <c r="BB271" s="96" t="e">
        <f t="shared" ca="1" si="61"/>
        <v>#N/A</v>
      </c>
      <c r="BC271" s="96" t="e">
        <f t="shared" ca="1" si="62"/>
        <v>#N/A</v>
      </c>
      <c r="BD271" s="96" t="e">
        <f t="shared" ca="1" si="63"/>
        <v>#N/A</v>
      </c>
      <c r="BE271" s="96" t="e">
        <f t="shared" ca="1" si="64"/>
        <v>#N/A</v>
      </c>
      <c r="BF271" s="96" t="e">
        <f t="shared" ca="1" si="65"/>
        <v>#N/A</v>
      </c>
      <c r="BG271" s="96" t="e">
        <f t="shared" ca="1" si="66"/>
        <v>#N/A</v>
      </c>
    </row>
    <row r="272" spans="2:59" ht="15" customHeight="1">
      <c r="B272" s="2"/>
      <c r="Q272" s="2"/>
      <c r="AF272" s="2"/>
      <c r="AU272" s="2" t="e">
        <f>IF(TRIM(B272)&lt;&gt;"", B272, NA())</f>
        <v>#N/A</v>
      </c>
      <c r="AV272" s="96" t="e">
        <f t="shared" ca="1" si="55"/>
        <v>#N/A</v>
      </c>
      <c r="AW272" s="96" t="e">
        <f t="shared" ca="1" si="56"/>
        <v>#N/A</v>
      </c>
      <c r="AX272" s="96" t="e">
        <f t="shared" ca="1" si="57"/>
        <v>#N/A</v>
      </c>
      <c r="AY272" s="96" t="e">
        <f t="shared" ca="1" si="58"/>
        <v>#N/A</v>
      </c>
      <c r="AZ272" s="96" t="e">
        <f t="shared" ca="1" si="59"/>
        <v>#N/A</v>
      </c>
      <c r="BA272" s="96" t="e">
        <f t="shared" ca="1" si="60"/>
        <v>#N/A</v>
      </c>
      <c r="BB272" s="96" t="e">
        <f t="shared" ca="1" si="61"/>
        <v>#N/A</v>
      </c>
      <c r="BC272" s="96" t="e">
        <f t="shared" ca="1" si="62"/>
        <v>#N/A</v>
      </c>
      <c r="BD272" s="96" t="e">
        <f t="shared" ca="1" si="63"/>
        <v>#N/A</v>
      </c>
      <c r="BE272" s="96" t="e">
        <f t="shared" ca="1" si="64"/>
        <v>#N/A</v>
      </c>
      <c r="BF272" s="96" t="e">
        <f t="shared" ca="1" si="65"/>
        <v>#N/A</v>
      </c>
      <c r="BG272" s="96" t="e">
        <f t="shared" ca="1" si="66"/>
        <v>#N/A</v>
      </c>
    </row>
    <row r="273" spans="2:59" ht="15" customHeight="1">
      <c r="B273" s="2"/>
      <c r="Q273" s="2"/>
      <c r="AF273" s="2"/>
      <c r="AU273" s="2" t="e">
        <f>IF(TRIM(B273)&lt;&gt;"", B273, NA())</f>
        <v>#N/A</v>
      </c>
      <c r="AV273" s="96" t="e">
        <f t="shared" ca="1" si="55"/>
        <v>#N/A</v>
      </c>
      <c r="AW273" s="96" t="e">
        <f t="shared" ca="1" si="56"/>
        <v>#N/A</v>
      </c>
      <c r="AX273" s="96" t="e">
        <f t="shared" ca="1" si="57"/>
        <v>#N/A</v>
      </c>
      <c r="AY273" s="96" t="e">
        <f t="shared" ca="1" si="58"/>
        <v>#N/A</v>
      </c>
      <c r="AZ273" s="96" t="e">
        <f t="shared" ca="1" si="59"/>
        <v>#N/A</v>
      </c>
      <c r="BA273" s="96" t="e">
        <f t="shared" ca="1" si="60"/>
        <v>#N/A</v>
      </c>
      <c r="BB273" s="96" t="e">
        <f t="shared" ca="1" si="61"/>
        <v>#N/A</v>
      </c>
      <c r="BC273" s="96" t="e">
        <f t="shared" ca="1" si="62"/>
        <v>#N/A</v>
      </c>
      <c r="BD273" s="96" t="e">
        <f t="shared" ca="1" si="63"/>
        <v>#N/A</v>
      </c>
      <c r="BE273" s="96" t="e">
        <f t="shared" ca="1" si="64"/>
        <v>#N/A</v>
      </c>
      <c r="BF273" s="96" t="e">
        <f t="shared" ca="1" si="65"/>
        <v>#N/A</v>
      </c>
      <c r="BG273" s="96" t="e">
        <f t="shared" ca="1" si="66"/>
        <v>#N/A</v>
      </c>
    </row>
    <row r="274" spans="2:59" ht="15" customHeight="1">
      <c r="B274" s="2"/>
      <c r="Q274" s="2"/>
      <c r="AF274" s="2"/>
    </row>
    <row r="275" spans="2:59" ht="15" customHeight="1">
      <c r="B275" s="2"/>
      <c r="Q275" s="2">
        <v>44881</v>
      </c>
      <c r="R275">
        <v>3.9241000000000001</v>
      </c>
      <c r="AF275" s="2"/>
    </row>
    <row r="276" spans="2:59" ht="15" customHeight="1">
      <c r="B276" s="2"/>
      <c r="AF276" s="2"/>
    </row>
    <row r="277" spans="2:59" ht="15" customHeight="1">
      <c r="B277" s="2"/>
      <c r="AF277" s="2"/>
    </row>
    <row r="278" spans="2:59" ht="15" customHeight="1">
      <c r="B278" s="2"/>
      <c r="AF278" s="2"/>
    </row>
    <row r="279" spans="2:59" ht="15" customHeight="1">
      <c r="B279" s="2"/>
      <c r="AF279" s="2"/>
    </row>
    <row r="280" spans="2:59" ht="15" customHeight="1">
      <c r="B280" s="2"/>
      <c r="AF280" s="2"/>
    </row>
    <row r="281" spans="2:59" ht="15" customHeight="1">
      <c r="B281" s="2"/>
      <c r="AF281" s="2"/>
    </row>
    <row r="282" spans="2:59" ht="15" customHeight="1">
      <c r="B282" s="2"/>
      <c r="AF282" s="2"/>
    </row>
    <row r="283" spans="2:59" ht="15" customHeight="1">
      <c r="B283" s="2"/>
      <c r="AF283" s="2"/>
    </row>
    <row r="284" spans="2:59" ht="15" customHeight="1">
      <c r="B284" s="2"/>
      <c r="AF284" s="2"/>
    </row>
    <row r="285" spans="2:59" ht="15" customHeight="1">
      <c r="B285" s="2"/>
      <c r="AF285" s="2"/>
    </row>
    <row r="286" spans="2:59" ht="15" customHeight="1">
      <c r="B286" s="2"/>
      <c r="AF286" s="2"/>
    </row>
    <row r="287" spans="2:59" ht="15" customHeight="1">
      <c r="B287" s="2"/>
      <c r="AF287" s="2"/>
    </row>
    <row r="288" spans="2:59" ht="15" customHeight="1">
      <c r="B288" s="2"/>
      <c r="AF288" s="2"/>
    </row>
    <row r="289" spans="2:32" ht="15" customHeight="1">
      <c r="B289" s="2"/>
      <c r="AF289" s="2"/>
    </row>
    <row r="290" spans="2:32" ht="15" customHeight="1">
      <c r="B290" s="2"/>
      <c r="AF290" s="2"/>
    </row>
    <row r="291" spans="2:32" ht="15" customHeight="1">
      <c r="B291" s="2"/>
      <c r="AF291" s="2"/>
    </row>
    <row r="292" spans="2:32" ht="15" customHeight="1">
      <c r="B292" s="2"/>
      <c r="AF292" s="2"/>
    </row>
    <row r="293" spans="2:32" ht="15" customHeight="1">
      <c r="B293" s="2"/>
      <c r="AF293" s="2"/>
    </row>
    <row r="294" spans="2:32" ht="15" customHeight="1">
      <c r="B294" s="2"/>
      <c r="AF294" s="2"/>
    </row>
    <row r="295" spans="2:32" ht="15" customHeight="1">
      <c r="B295" s="2"/>
      <c r="AF295" s="2"/>
    </row>
    <row r="296" spans="2:32" ht="15" customHeight="1">
      <c r="B296" s="2"/>
      <c r="AF296" s="2"/>
    </row>
    <row r="297" spans="2:32" ht="15" customHeight="1">
      <c r="B297" s="2"/>
      <c r="AF297" s="2"/>
    </row>
    <row r="298" spans="2:32" ht="15" customHeight="1">
      <c r="B298" s="2"/>
      <c r="AF298" s="2"/>
    </row>
    <row r="299" spans="2:32" ht="15" customHeight="1">
      <c r="B299" s="2"/>
      <c r="AF299" s="2"/>
    </row>
    <row r="300" spans="2:32" ht="15" customHeight="1">
      <c r="B300" s="2"/>
      <c r="AF300" s="2"/>
    </row>
    <row r="301" spans="2:32" ht="15" customHeight="1">
      <c r="B301" s="2"/>
      <c r="AF301" s="2"/>
    </row>
    <row r="302" spans="2:32" ht="15" customHeight="1">
      <c r="B302" s="2"/>
      <c r="AF302" s="2"/>
    </row>
    <row r="303" spans="2:32" ht="15" customHeight="1">
      <c r="B303" s="2"/>
      <c r="AF303" s="2"/>
    </row>
    <row r="304" spans="2:32" ht="15" customHeight="1">
      <c r="B304" s="2"/>
      <c r="AF304" s="2"/>
    </row>
    <row r="305" spans="2:32" ht="15" customHeight="1">
      <c r="B305" s="2"/>
      <c r="AF305" s="2"/>
    </row>
    <row r="306" spans="2:32" ht="15" customHeight="1">
      <c r="B306" s="2"/>
      <c r="AF306" s="2"/>
    </row>
    <row r="307" spans="2:32" ht="15" customHeight="1">
      <c r="B307" s="2"/>
      <c r="AF307" s="2"/>
    </row>
    <row r="308" spans="2:32" ht="15" customHeight="1">
      <c r="B308" s="2"/>
      <c r="AF308" s="2"/>
    </row>
    <row r="309" spans="2:32" ht="15" customHeight="1">
      <c r="B309" s="2"/>
      <c r="AF309" s="2"/>
    </row>
    <row r="310" spans="2:32" ht="15" customHeight="1">
      <c r="B310" s="2"/>
      <c r="AF310" s="2"/>
    </row>
    <row r="311" spans="2:32" ht="15" customHeight="1">
      <c r="B311" s="2"/>
      <c r="AF311" s="2"/>
    </row>
    <row r="312" spans="2:32" ht="15" customHeight="1">
      <c r="B312" s="2"/>
      <c r="AF312" s="2"/>
    </row>
    <row r="313" spans="2:32" ht="15" customHeight="1">
      <c r="B313" s="2"/>
      <c r="AF313" s="2"/>
    </row>
    <row r="314" spans="2:32" ht="15" customHeight="1">
      <c r="B314" s="2"/>
      <c r="AF314" s="2"/>
    </row>
    <row r="315" spans="2:32" ht="15" customHeight="1">
      <c r="B315" s="2"/>
      <c r="AF315" s="2"/>
    </row>
    <row r="316" spans="2:32" ht="15" customHeight="1">
      <c r="B316" s="2"/>
      <c r="AF316" s="2"/>
    </row>
    <row r="317" spans="2:32" ht="15" customHeight="1">
      <c r="B317" s="2"/>
      <c r="AF317" s="2"/>
    </row>
    <row r="318" spans="2:32" ht="15" customHeight="1">
      <c r="B318" s="2"/>
      <c r="AF318" s="2"/>
    </row>
    <row r="319" spans="2:32" ht="15" customHeight="1">
      <c r="B319" s="2"/>
      <c r="AF319" s="2"/>
    </row>
    <row r="320" spans="2:32" ht="15" customHeight="1">
      <c r="B320" s="2"/>
      <c r="AF320" s="2"/>
    </row>
    <row r="321" spans="2:32" ht="15" customHeight="1">
      <c r="B321" s="2"/>
      <c r="AF321" s="2"/>
    </row>
    <row r="322" spans="2:32" ht="15" customHeight="1">
      <c r="B322" s="2"/>
      <c r="AF322" s="2"/>
    </row>
    <row r="323" spans="2:32" ht="15" customHeight="1">
      <c r="B323" s="2"/>
      <c r="AF323" s="2"/>
    </row>
    <row r="324" spans="2:32" ht="15" customHeight="1">
      <c r="B324" s="2"/>
      <c r="AF324" s="2"/>
    </row>
    <row r="325" spans="2:32" ht="15" customHeight="1">
      <c r="B325" s="2"/>
      <c r="AF325" s="2"/>
    </row>
    <row r="326" spans="2:32" ht="15" customHeight="1">
      <c r="B326" s="2"/>
      <c r="AF326" s="2"/>
    </row>
    <row r="327" spans="2:32" ht="15" customHeight="1">
      <c r="B327" s="2"/>
      <c r="AF327" s="2"/>
    </row>
    <row r="328" spans="2:32" ht="15" customHeight="1">
      <c r="B328" s="2"/>
      <c r="AF328" s="2"/>
    </row>
    <row r="329" spans="2:32" ht="15" customHeight="1">
      <c r="B329" s="2"/>
      <c r="AF329" s="2"/>
    </row>
    <row r="330" spans="2:32" ht="15" customHeight="1">
      <c r="B330" s="2"/>
      <c r="AF330" s="2"/>
    </row>
    <row r="331" spans="2:32" ht="15" customHeight="1">
      <c r="B331" s="2"/>
      <c r="AF331" s="2"/>
    </row>
    <row r="332" spans="2:32" ht="15" customHeight="1">
      <c r="B332" s="2"/>
      <c r="AF332" s="2"/>
    </row>
    <row r="333" spans="2:32" ht="15" customHeight="1">
      <c r="B333" s="2"/>
      <c r="AF333" s="2"/>
    </row>
    <row r="334" spans="2:32" ht="15" customHeight="1">
      <c r="B334" s="2"/>
      <c r="AF334" s="2"/>
    </row>
    <row r="335" spans="2:32" ht="15" customHeight="1">
      <c r="B335" s="2"/>
      <c r="AF335" s="2"/>
    </row>
    <row r="336" spans="2:32" ht="15" customHeight="1">
      <c r="B336" s="2"/>
      <c r="AF336" s="2"/>
    </row>
    <row r="337" spans="2:32" ht="15" customHeight="1">
      <c r="B337" s="2"/>
      <c r="AF337" s="2"/>
    </row>
    <row r="338" spans="2:32" ht="15" customHeight="1">
      <c r="B338" s="2"/>
      <c r="AF338" s="2"/>
    </row>
    <row r="339" spans="2:32" ht="15" customHeight="1">
      <c r="B339" s="2"/>
      <c r="AF339" s="2"/>
    </row>
    <row r="340" spans="2:32" ht="15" customHeight="1">
      <c r="B340" s="2"/>
      <c r="AF340" s="2"/>
    </row>
    <row r="341" spans="2:32" ht="15" customHeight="1">
      <c r="B341" s="2"/>
      <c r="AF341" s="2"/>
    </row>
    <row r="342" spans="2:32" ht="15" customHeight="1">
      <c r="B342" s="2"/>
      <c r="AF342" s="2"/>
    </row>
    <row r="343" spans="2:32" ht="15" customHeight="1">
      <c r="B343" s="2"/>
      <c r="AF343" s="2"/>
    </row>
    <row r="344" spans="2:32" ht="15" customHeight="1">
      <c r="B344" s="2"/>
      <c r="AF344" s="2"/>
    </row>
    <row r="345" spans="2:32" ht="15" customHeight="1">
      <c r="B345" s="2"/>
      <c r="AF345" s="2"/>
    </row>
    <row r="346" spans="2:32" ht="15" customHeight="1">
      <c r="B346" s="2"/>
      <c r="AF346" s="2"/>
    </row>
    <row r="347" spans="2:32" ht="15" customHeight="1">
      <c r="B347" s="2"/>
      <c r="AF347" s="2"/>
    </row>
    <row r="348" spans="2:32" ht="15" customHeight="1">
      <c r="B348" s="2"/>
      <c r="AF348" s="2"/>
    </row>
    <row r="349" spans="2:32" ht="15" customHeight="1">
      <c r="B349" s="2"/>
      <c r="AF349" s="2"/>
    </row>
    <row r="350" spans="2:32" ht="15" customHeight="1">
      <c r="B350" s="2"/>
      <c r="AF350" s="2"/>
    </row>
    <row r="351" spans="2:32" ht="15" customHeight="1">
      <c r="B351" s="2"/>
      <c r="AF351" s="2"/>
    </row>
    <row r="352" spans="2:32" ht="15" customHeight="1">
      <c r="B352" s="2"/>
      <c r="AF352" s="2"/>
    </row>
    <row r="353" spans="2:32" ht="15" customHeight="1">
      <c r="B353" s="2"/>
      <c r="AF353" s="2"/>
    </row>
    <row r="354" spans="2:32" ht="15" customHeight="1">
      <c r="B354" s="2"/>
      <c r="AF354" s="2"/>
    </row>
    <row r="355" spans="2:32" ht="15" customHeight="1">
      <c r="B355" s="2"/>
      <c r="AF355" s="2"/>
    </row>
    <row r="356" spans="2:32" ht="15" customHeight="1">
      <c r="B356" s="2"/>
      <c r="AF356" s="2"/>
    </row>
    <row r="357" spans="2:32" ht="15" customHeight="1">
      <c r="B357" s="2"/>
      <c r="AF357" s="2"/>
    </row>
    <row r="358" spans="2:32" ht="15" customHeight="1">
      <c r="B358" s="2"/>
      <c r="AF358" s="2"/>
    </row>
    <row r="359" spans="2:32" ht="15" customHeight="1">
      <c r="B359" s="2"/>
      <c r="AF359" s="2"/>
    </row>
    <row r="360" spans="2:32" ht="15" customHeight="1">
      <c r="B360" s="2"/>
      <c r="AF360" s="2"/>
    </row>
    <row r="361" spans="2:32" ht="15" customHeight="1">
      <c r="B361" s="2"/>
      <c r="AF361" s="2"/>
    </row>
    <row r="362" spans="2:32" ht="15" customHeight="1">
      <c r="B362" s="2"/>
      <c r="AF362" s="2"/>
    </row>
    <row r="363" spans="2:32" ht="15" customHeight="1">
      <c r="B363" s="2"/>
      <c r="AF363" s="2"/>
    </row>
    <row r="364" spans="2:32" ht="15" customHeight="1">
      <c r="B364" s="2"/>
      <c r="AF364" s="2"/>
    </row>
    <row r="365" spans="2:32" ht="15" customHeight="1">
      <c r="B365" s="2"/>
      <c r="AF365" s="2"/>
    </row>
    <row r="366" spans="2:32" ht="15" customHeight="1">
      <c r="B366" s="2"/>
      <c r="AF366" s="2"/>
    </row>
    <row r="367" spans="2:32" ht="15" customHeight="1">
      <c r="B367" s="2"/>
      <c r="AF367" s="2"/>
    </row>
    <row r="368" spans="2:32" ht="15" customHeight="1">
      <c r="B368" s="2"/>
      <c r="AF368" s="2"/>
    </row>
    <row r="369" spans="2:32" ht="15" customHeight="1">
      <c r="B369" s="2"/>
      <c r="AF369" s="2"/>
    </row>
    <row r="370" spans="2:32" ht="15" customHeight="1">
      <c r="B370" s="2"/>
      <c r="AF370" s="2"/>
    </row>
    <row r="371" spans="2:32" ht="15" customHeight="1">
      <c r="B371" s="2"/>
      <c r="AF371" s="2"/>
    </row>
    <row r="372" spans="2:32" ht="15" customHeight="1">
      <c r="B372" s="2"/>
      <c r="AF372" s="2"/>
    </row>
    <row r="373" spans="2:32" ht="15" customHeight="1">
      <c r="B373" s="2"/>
      <c r="AF373" s="2"/>
    </row>
    <row r="374" spans="2:32" ht="15" customHeight="1">
      <c r="B374" s="2"/>
      <c r="AF374" s="2"/>
    </row>
    <row r="375" spans="2:32" ht="15" customHeight="1">
      <c r="B375" s="2"/>
      <c r="AF375" s="2"/>
    </row>
    <row r="376" spans="2:32" ht="15" customHeight="1">
      <c r="B376" s="2"/>
      <c r="AF376" s="2"/>
    </row>
    <row r="377" spans="2:32" ht="15" customHeight="1">
      <c r="B377" s="2"/>
      <c r="AF377" s="2"/>
    </row>
    <row r="378" spans="2:32" ht="15" customHeight="1">
      <c r="B378" s="2">
        <v>44881</v>
      </c>
      <c r="C378">
        <v>8.2174999999999994</v>
      </c>
      <c r="D378">
        <v>12.914999999999999</v>
      </c>
      <c r="E378">
        <v>9.5850000000000009</v>
      </c>
      <c r="F378">
        <v>8.9350000000000005</v>
      </c>
      <c r="G378">
        <v>9.6349999999999998</v>
      </c>
      <c r="H378">
        <v>12.78</v>
      </c>
      <c r="I378">
        <v>9.65</v>
      </c>
      <c r="J378">
        <v>13.25</v>
      </c>
      <c r="K378">
        <v>4.41</v>
      </c>
      <c r="L378">
        <v>13.85</v>
      </c>
      <c r="M378">
        <v>14.425000000000001</v>
      </c>
      <c r="N378">
        <v>10.34</v>
      </c>
    </row>
    <row r="379" spans="2:32" ht="15" customHeight="1">
      <c r="B379" s="2">
        <v>44881</v>
      </c>
      <c r="C379">
        <v>8.2174999999999994</v>
      </c>
      <c r="D379">
        <v>12.914999999999999</v>
      </c>
      <c r="E379">
        <v>9.5850000000000009</v>
      </c>
      <c r="F379">
        <v>8.9350000000000005</v>
      </c>
      <c r="G379">
        <v>9.6349999999999998</v>
      </c>
      <c r="H379">
        <v>12.78</v>
      </c>
      <c r="I379">
        <v>9.65</v>
      </c>
      <c r="J379">
        <v>13.25</v>
      </c>
      <c r="K379">
        <v>4.41</v>
      </c>
      <c r="L379">
        <v>13.85</v>
      </c>
      <c r="M379">
        <v>14.425000000000001</v>
      </c>
      <c r="N379">
        <v>10.34</v>
      </c>
    </row>
  </sheetData>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8195" r:id="rId3" name="CommandButton1">
          <controlPr defaultSize="0" autoLine="0" r:id="rId4">
            <anchor moveWithCells="1">
              <from>
                <xdr:col>0</xdr:col>
                <xdr:colOff>527050</xdr:colOff>
                <xdr:row>6</xdr:row>
                <xdr:rowOff>12700</xdr:rowOff>
              </from>
              <to>
                <xdr:col>1</xdr:col>
                <xdr:colOff>990600</xdr:colOff>
                <xdr:row>7</xdr:row>
                <xdr:rowOff>146050</xdr:rowOff>
              </to>
            </anchor>
          </controlPr>
        </control>
      </mc:Choice>
      <mc:Fallback>
        <control shapeId="819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A361"/>
  <sheetViews>
    <sheetView showGridLines="0" showRowColHeaders="0" tabSelected="1" topLeftCell="A104" zoomScaleNormal="100" workbookViewId="0">
      <selection activeCell="B11" sqref="B11"/>
    </sheetView>
  </sheetViews>
  <sheetFormatPr defaultColWidth="9.1796875" defaultRowHeight="15" customHeight="1"/>
  <cols>
    <col min="1" max="1" width="1.7265625" style="4" customWidth="1"/>
    <col min="2" max="2" width="9.1796875" style="7"/>
    <col min="3" max="3" width="9.1796875" style="4" customWidth="1"/>
    <col min="4" max="4" width="12.7265625" style="4" customWidth="1"/>
    <col min="5" max="53" width="25.7265625" style="4" customWidth="1"/>
    <col min="54" max="16384" width="9.1796875" style="4"/>
  </cols>
  <sheetData>
    <row r="1" spans="2:53" ht="5.15" customHeight="1"/>
    <row r="5" spans="2:53" ht="5.15" customHeight="1"/>
    <row r="6" spans="2:53" ht="15" hidden="1" customHeight="1">
      <c r="C6" s="8"/>
      <c r="D6" s="8"/>
    </row>
    <row r="7" spans="2:53" ht="15" hidden="1" customHeight="1">
      <c r="C7" s="8"/>
      <c r="D7" s="8"/>
    </row>
    <row r="8" spans="2:53" ht="15" customHeight="1">
      <c r="B8" s="60" t="str">
        <f>trans_getMessage("","* If you need to add more currencies, copy 10-18 and enter the currency. Make sure the Currency-Curve List sheet is updated as well.",,LANG_ID)</f>
        <v>* If you need to add more currencies, copy 10-18 and enter the currency. Make sure the Currency-Curve List sheet is updated as well.</v>
      </c>
      <c r="C8" s="8"/>
      <c r="D8" s="8"/>
    </row>
    <row r="9" spans="2:53" ht="15" hidden="1" customHeight="1">
      <c r="C9" s="8"/>
      <c r="D9" s="8"/>
    </row>
    <row r="10" spans="2:53" ht="15" hidden="1" customHeight="1"/>
    <row r="11" spans="2:53" ht="15" customHeight="1">
      <c r="B11" s="38" t="s">
        <v>80</v>
      </c>
      <c r="C11" s="140" t="str">
        <f>trans_getMessage("","Curve Number",,LANG_ID)</f>
        <v>Curve Number</v>
      </c>
      <c r="D11" s="141"/>
      <c r="E11" s="142">
        <f>VLOOKUP(B11, 'Currency-Curve List'!$C$9:$E$103, 2, FALSE)</f>
        <v>230</v>
      </c>
      <c r="F11" s="143"/>
      <c r="G11" s="143"/>
      <c r="H11" s="143"/>
      <c r="I11" s="143"/>
      <c r="J11" s="143"/>
      <c r="K11" s="143"/>
      <c r="L11" s="143"/>
      <c r="M11" s="143"/>
      <c r="N11" s="143"/>
      <c r="O11" s="143"/>
      <c r="P11" s="143"/>
      <c r="Q11" s="143"/>
      <c r="R11" s="143"/>
      <c r="S11" s="143"/>
      <c r="T11" s="143"/>
      <c r="U11" s="143"/>
      <c r="V11" s="143"/>
      <c r="W11" s="143"/>
      <c r="X11" s="143"/>
      <c r="Y11" s="143"/>
      <c r="Z11" s="143"/>
      <c r="AA11" s="143"/>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c r="BA11" s="144"/>
    </row>
    <row r="12" spans="2:53" ht="15" customHeight="1">
      <c r="C12" s="145" t="str">
        <f>trans_getMessage("","Curve Index",,LANG_ID)</f>
        <v>Curve Index</v>
      </c>
      <c r="D12" s="146"/>
      <c r="E12" s="147" t="str">
        <f>VLOOKUP(B11, 'Currency-Curve List'!$C$9:$E$103, 3, FALSE)</f>
        <v>YCSW0230 Index</v>
      </c>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c r="AJ12" s="148"/>
      <c r="AK12" s="148"/>
      <c r="AL12" s="148"/>
      <c r="AM12" s="148"/>
      <c r="AN12" s="148"/>
      <c r="AO12" s="148"/>
      <c r="AP12" s="148"/>
      <c r="AQ12" s="148"/>
      <c r="AR12" s="148"/>
      <c r="AS12" s="148"/>
      <c r="AT12" s="148"/>
      <c r="AU12" s="148"/>
      <c r="AV12" s="148"/>
      <c r="AW12" s="148"/>
      <c r="AX12" s="148"/>
      <c r="AY12" s="148"/>
      <c r="AZ12" s="148"/>
      <c r="BA12" s="149"/>
    </row>
    <row r="13" spans="2:53" ht="15" customHeight="1">
      <c r="C13" s="145" t="str">
        <f>trans_getMessage("","Curve Name",,LANG_ID)</f>
        <v>Curve Name</v>
      </c>
      <c r="D13" s="146"/>
      <c r="E13" s="150" t="e" cm="1">
        <f t="array" aca="1" ref="E13" ca="1">_xll.BDP(E12, "NAME")</f>
        <v>#NAME?</v>
      </c>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2"/>
    </row>
    <row r="14" spans="2:53" ht="15" customHeight="1">
      <c r="C14" s="145" t="str">
        <f>trans_getMessage("","Tenors",,LANG_ID)</f>
        <v>Tenors</v>
      </c>
      <c r="D14" s="146"/>
      <c r="E14" s="48" t="s">
        <v>50</v>
      </c>
      <c r="F14" s="42" t="e" cm="1">
        <f t="array" aca="1" ref="F14" ca="1">_xll.BDS(E12,E14,"Dir=H")</f>
        <v>#NAME?</v>
      </c>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4"/>
    </row>
    <row r="15" spans="2:53" ht="14.25" hidden="1" customHeight="1">
      <c r="C15" s="145" t="s">
        <v>2211</v>
      </c>
      <c r="D15" s="146"/>
      <c r="E15" s="48"/>
      <c r="F15" s="42" t="e">
        <f ca="1">IF(F14="","",IF(F14="12M","1Y",IF(F14="24M","2Y",F14)))</f>
        <v>#NAME?</v>
      </c>
      <c r="G15" s="42" t="str">
        <f t="shared" ref="G15:BA15" si="0">IF(G14="","",IF(G14="12M","1Y",IF(G14="24M","2Y",G14)))</f>
        <v/>
      </c>
      <c r="H15" s="42" t="str">
        <f t="shared" si="0"/>
        <v/>
      </c>
      <c r="I15" s="42" t="str">
        <f t="shared" si="0"/>
        <v/>
      </c>
      <c r="J15" s="42" t="str">
        <f t="shared" si="0"/>
        <v/>
      </c>
      <c r="K15" s="42" t="str">
        <f t="shared" si="0"/>
        <v/>
      </c>
      <c r="L15" s="42" t="str">
        <f t="shared" si="0"/>
        <v/>
      </c>
      <c r="M15" s="42" t="str">
        <f t="shared" si="0"/>
        <v/>
      </c>
      <c r="N15" s="42" t="str">
        <f t="shared" si="0"/>
        <v/>
      </c>
      <c r="O15" s="42" t="str">
        <f t="shared" si="0"/>
        <v/>
      </c>
      <c r="P15" s="42" t="str">
        <f t="shared" si="0"/>
        <v/>
      </c>
      <c r="Q15" s="42" t="str">
        <f t="shared" si="0"/>
        <v/>
      </c>
      <c r="R15" s="42" t="str">
        <f t="shared" si="0"/>
        <v/>
      </c>
      <c r="S15" s="42" t="str">
        <f t="shared" si="0"/>
        <v/>
      </c>
      <c r="T15" s="42" t="str">
        <f t="shared" si="0"/>
        <v/>
      </c>
      <c r="U15" s="42" t="str">
        <f t="shared" si="0"/>
        <v/>
      </c>
      <c r="V15" s="42" t="str">
        <f t="shared" si="0"/>
        <v/>
      </c>
      <c r="W15" s="42" t="str">
        <f t="shared" si="0"/>
        <v/>
      </c>
      <c r="X15" s="42" t="str">
        <f t="shared" si="0"/>
        <v/>
      </c>
      <c r="Y15" s="42" t="str">
        <f t="shared" si="0"/>
        <v/>
      </c>
      <c r="Z15" s="42" t="str">
        <f t="shared" si="0"/>
        <v/>
      </c>
      <c r="AA15" s="42" t="str">
        <f t="shared" si="0"/>
        <v/>
      </c>
      <c r="AB15" s="42" t="str">
        <f t="shared" si="0"/>
        <v/>
      </c>
      <c r="AC15" s="42" t="str">
        <f t="shared" si="0"/>
        <v/>
      </c>
      <c r="AD15" s="42" t="str">
        <f t="shared" si="0"/>
        <v/>
      </c>
      <c r="AE15" s="42" t="str">
        <f t="shared" si="0"/>
        <v/>
      </c>
      <c r="AF15" s="42" t="str">
        <f t="shared" si="0"/>
        <v/>
      </c>
      <c r="AG15" s="42" t="str">
        <f t="shared" si="0"/>
        <v/>
      </c>
      <c r="AH15" s="42" t="str">
        <f t="shared" si="0"/>
        <v/>
      </c>
      <c r="AI15" s="42" t="str">
        <f t="shared" si="0"/>
        <v/>
      </c>
      <c r="AJ15" s="42" t="str">
        <f t="shared" si="0"/>
        <v/>
      </c>
      <c r="AK15" s="42" t="str">
        <f t="shared" si="0"/>
        <v/>
      </c>
      <c r="AL15" s="42" t="str">
        <f t="shared" si="0"/>
        <v/>
      </c>
      <c r="AM15" s="42" t="str">
        <f t="shared" si="0"/>
        <v/>
      </c>
      <c r="AN15" s="42" t="str">
        <f t="shared" si="0"/>
        <v/>
      </c>
      <c r="AO15" s="42" t="str">
        <f t="shared" si="0"/>
        <v/>
      </c>
      <c r="AP15" s="42" t="str">
        <f t="shared" si="0"/>
        <v/>
      </c>
      <c r="AQ15" s="42" t="str">
        <f t="shared" si="0"/>
        <v/>
      </c>
      <c r="AR15" s="42" t="str">
        <f t="shared" si="0"/>
        <v/>
      </c>
      <c r="AS15" s="42" t="str">
        <f t="shared" si="0"/>
        <v/>
      </c>
      <c r="AT15" s="42" t="str">
        <f t="shared" si="0"/>
        <v/>
      </c>
      <c r="AU15" s="42" t="str">
        <f t="shared" si="0"/>
        <v/>
      </c>
      <c r="AV15" s="42" t="str">
        <f t="shared" si="0"/>
        <v/>
      </c>
      <c r="AW15" s="42" t="str">
        <f t="shared" si="0"/>
        <v/>
      </c>
      <c r="AX15" s="42" t="str">
        <f t="shared" si="0"/>
        <v/>
      </c>
      <c r="AY15" s="42" t="str">
        <f t="shared" si="0"/>
        <v/>
      </c>
      <c r="AZ15" s="42" t="str">
        <f t="shared" si="0"/>
        <v/>
      </c>
      <c r="BA15" s="42" t="str">
        <f t="shared" si="0"/>
        <v/>
      </c>
    </row>
    <row r="16" spans="2:53" s="41" customFormat="1" ht="15" customHeight="1">
      <c r="B16" s="7"/>
      <c r="C16" s="153" t="str">
        <f>trans_getMessage("","Name",,LANG_ID)</f>
        <v>Name</v>
      </c>
      <c r="D16" s="154"/>
      <c r="E16" s="49" t="s">
        <v>49</v>
      </c>
      <c r="F16" s="43" t="e" cm="1">
        <f t="array" aca="1" ref="F16" ca="1">IF(LEFT(_xlfn.SINGLE(_xll.BDP(F17, $E16)),1)="#", "-", _xll.BDP(F17, $E16))</f>
        <v>#NAME?</v>
      </c>
      <c r="G16" s="43" t="e" cm="1">
        <f t="array" aca="1" ref="G16" ca="1">IF(LEFT(_xlfn.SINGLE(_xll.BDP(G17, $E16)),1)="#", "-", _xll.BDP(G17, $E16))</f>
        <v>#NAME?</v>
      </c>
      <c r="H16" s="43" t="e" cm="1">
        <f t="array" aca="1" ref="H16" ca="1">IF(LEFT(_xlfn.SINGLE(_xll.BDP(H17, $E16)),1)="#", "-", _xll.BDP(H17, $E16))</f>
        <v>#NAME?</v>
      </c>
      <c r="I16" s="43" t="e" cm="1">
        <f t="array" aca="1" ref="I16" ca="1">IF(LEFT(_xlfn.SINGLE(_xll.BDP(I17, $E16)),1)="#", "-", _xll.BDP(I17, $E16))</f>
        <v>#NAME?</v>
      </c>
      <c r="J16" s="43" t="e" cm="1">
        <f t="array" aca="1" ref="J16" ca="1">IF(LEFT(_xlfn.SINGLE(_xll.BDP(J17, $E16)),1)="#", "-", _xll.BDP(J17, $E16))</f>
        <v>#NAME?</v>
      </c>
      <c r="K16" s="43" t="e" cm="1">
        <f t="array" aca="1" ref="K16" ca="1">IF(LEFT(_xlfn.SINGLE(_xll.BDP(K17, $E16)),1)="#", "-", _xll.BDP(K17, $E16))</f>
        <v>#NAME?</v>
      </c>
      <c r="L16" s="43" t="e" cm="1">
        <f t="array" aca="1" ref="L16" ca="1">IF(LEFT(_xlfn.SINGLE(_xll.BDP(L17, $E16)),1)="#", "-", _xll.BDP(L17, $E16))</f>
        <v>#NAME?</v>
      </c>
      <c r="M16" s="43" t="e" cm="1">
        <f t="array" aca="1" ref="M16" ca="1">IF(LEFT(_xlfn.SINGLE(_xll.BDP(M17, $E16)),1)="#", "-", _xll.BDP(M17, $E16))</f>
        <v>#NAME?</v>
      </c>
      <c r="N16" s="43" t="e" cm="1">
        <f t="array" aca="1" ref="N16" ca="1">IF(LEFT(_xlfn.SINGLE(_xll.BDP(N17, $E16)),1)="#", "-", _xll.BDP(N17, $E16))</f>
        <v>#NAME?</v>
      </c>
      <c r="O16" s="43" t="e" cm="1">
        <f t="array" aca="1" ref="O16" ca="1">IF(LEFT(_xlfn.SINGLE(_xll.BDP(O17, $E16)),1)="#", "-", _xll.BDP(O17, $E16))</f>
        <v>#NAME?</v>
      </c>
      <c r="P16" s="43" t="e" cm="1">
        <f t="array" aca="1" ref="P16" ca="1">IF(LEFT(_xlfn.SINGLE(_xll.BDP(P17, $E16)),1)="#", "-", _xll.BDP(P17, $E16))</f>
        <v>#NAME?</v>
      </c>
      <c r="Q16" s="43" t="e" cm="1">
        <f t="array" aca="1" ref="Q16" ca="1">IF(LEFT(_xlfn.SINGLE(_xll.BDP(Q17, $E16)),1)="#", "-", _xll.BDP(Q17, $E16))</f>
        <v>#NAME?</v>
      </c>
      <c r="R16" s="43" t="e" cm="1">
        <f t="array" aca="1" ref="R16" ca="1">IF(LEFT(_xlfn.SINGLE(_xll.BDP(R17, $E16)),1)="#", "-", _xll.BDP(R17, $E16))</f>
        <v>#NAME?</v>
      </c>
      <c r="S16" s="43" t="e" cm="1">
        <f t="array" aca="1" ref="S16" ca="1">IF(LEFT(_xlfn.SINGLE(_xll.BDP(S17, $E16)),1)="#", "-", _xll.BDP(S17, $E16))</f>
        <v>#NAME?</v>
      </c>
      <c r="T16" s="43" t="e" cm="1">
        <f t="array" aca="1" ref="T16" ca="1">IF(LEFT(_xlfn.SINGLE(_xll.BDP(T17, $E16)),1)="#", "-", _xll.BDP(T17, $E16))</f>
        <v>#NAME?</v>
      </c>
      <c r="U16" s="43" t="e" cm="1">
        <f t="array" aca="1" ref="U16" ca="1">IF(LEFT(_xlfn.SINGLE(_xll.BDP(U17, $E16)),1)="#", "-", _xll.BDP(U17, $E16))</f>
        <v>#NAME?</v>
      </c>
      <c r="V16" s="43" t="e" cm="1">
        <f t="array" aca="1" ref="V16" ca="1">IF(LEFT(_xlfn.SINGLE(_xll.BDP(V17, $E16)),1)="#", "-", _xll.BDP(V17, $E16))</f>
        <v>#NAME?</v>
      </c>
      <c r="W16" s="43" t="e" cm="1">
        <f t="array" aca="1" ref="W16" ca="1">IF(LEFT(_xlfn.SINGLE(_xll.BDP(W17, $E16)),1)="#", "-", _xll.BDP(W17, $E16))</f>
        <v>#NAME?</v>
      </c>
      <c r="X16" s="43" t="e" cm="1">
        <f t="array" aca="1" ref="X16" ca="1">IF(LEFT(_xlfn.SINGLE(_xll.BDP(X17, $E16)),1)="#", "-", _xll.BDP(X17, $E16))</f>
        <v>#NAME?</v>
      </c>
      <c r="Y16" s="43" t="e" cm="1">
        <f t="array" aca="1" ref="Y16" ca="1">IF(LEFT(_xlfn.SINGLE(_xll.BDP(Y17, $E16)),1)="#", "-", _xll.BDP(Y17, $E16))</f>
        <v>#NAME?</v>
      </c>
      <c r="Z16" s="43" t="e" cm="1">
        <f t="array" aca="1" ref="Z16" ca="1">IF(LEFT(_xlfn.SINGLE(_xll.BDP(Z17, $E16)),1)="#", "-", _xll.BDP(Z17, $E16))</f>
        <v>#NAME?</v>
      </c>
      <c r="AA16" s="43" t="e" cm="1">
        <f t="array" aca="1" ref="AA16" ca="1">IF(LEFT(_xlfn.SINGLE(_xll.BDP(AA17, $E16)),1)="#", "-", _xll.BDP(AA17, $E16))</f>
        <v>#NAME?</v>
      </c>
      <c r="AB16" s="43" t="e" cm="1">
        <f t="array" aca="1" ref="AB16" ca="1">IF(LEFT(_xlfn.SINGLE(_xll.BDP(AB17, $E16)),1)="#", "-", _xll.BDP(AB17, $E16))</f>
        <v>#NAME?</v>
      </c>
      <c r="AC16" s="43" t="e" cm="1">
        <f t="array" aca="1" ref="AC16" ca="1">IF(LEFT(_xlfn.SINGLE(_xll.BDP(AC17, $E16)),1)="#", "-", _xll.BDP(AC17, $E16))</f>
        <v>#NAME?</v>
      </c>
      <c r="AD16" s="43" t="e" cm="1">
        <f t="array" aca="1" ref="AD16" ca="1">IF(LEFT(_xlfn.SINGLE(_xll.BDP(AD17, $E16)),1)="#", "-", _xll.BDP(AD17, $E16))</f>
        <v>#NAME?</v>
      </c>
      <c r="AE16" s="43" t="e" cm="1">
        <f t="array" aca="1" ref="AE16" ca="1">IF(LEFT(_xlfn.SINGLE(_xll.BDP(AE17, $E16)),1)="#", "-", _xll.BDP(AE17, $E16))</f>
        <v>#NAME?</v>
      </c>
      <c r="AF16" s="43" t="e" cm="1">
        <f t="array" aca="1" ref="AF16" ca="1">IF(LEFT(_xlfn.SINGLE(_xll.BDP(AF17, $E16)),1)="#", "-", _xll.BDP(AF17, $E16))</f>
        <v>#NAME?</v>
      </c>
      <c r="AG16" s="43" t="e" cm="1">
        <f t="array" aca="1" ref="AG16" ca="1">IF(LEFT(_xlfn.SINGLE(_xll.BDP(AG17, $E16)),1)="#", "-", _xll.BDP(AG17, $E16))</f>
        <v>#NAME?</v>
      </c>
      <c r="AH16" s="43" t="e" cm="1">
        <f t="array" aca="1" ref="AH16" ca="1">IF(LEFT(_xlfn.SINGLE(_xll.BDP(AH17, $E16)),1)="#", "-", _xll.BDP(AH17, $E16))</f>
        <v>#NAME?</v>
      </c>
      <c r="AI16" s="43" t="e" cm="1">
        <f t="array" aca="1" ref="AI16" ca="1">IF(LEFT(_xlfn.SINGLE(_xll.BDP(AI17, $E16)),1)="#", "-", _xll.BDP(AI17, $E16))</f>
        <v>#NAME?</v>
      </c>
      <c r="AJ16" s="43" t="e" cm="1">
        <f t="array" aca="1" ref="AJ16" ca="1">IF(LEFT(_xlfn.SINGLE(_xll.BDP(AJ17, $E16)),1)="#", "-", _xll.BDP(AJ17, $E16))</f>
        <v>#NAME?</v>
      </c>
      <c r="AK16" s="43" t="e" cm="1">
        <f t="array" aca="1" ref="AK16" ca="1">IF(LEFT(_xlfn.SINGLE(_xll.BDP(AK17, $E16)),1)="#", "-", _xll.BDP(AK17, $E16))</f>
        <v>#NAME?</v>
      </c>
      <c r="AL16" s="43" t="e" cm="1">
        <f t="array" aca="1" ref="AL16" ca="1">IF(LEFT(_xlfn.SINGLE(_xll.BDP(AL17, $E16)),1)="#", "-", _xll.BDP(AL17, $E16))</f>
        <v>#NAME?</v>
      </c>
      <c r="AM16" s="43" t="e" cm="1">
        <f t="array" aca="1" ref="AM16" ca="1">IF(LEFT(_xlfn.SINGLE(_xll.BDP(AM17, $E16)),1)="#", "-", _xll.BDP(AM17, $E16))</f>
        <v>#NAME?</v>
      </c>
      <c r="AN16" s="43" t="e" cm="1">
        <f t="array" aca="1" ref="AN16" ca="1">IF(LEFT(_xlfn.SINGLE(_xll.BDP(AN17, $E16)),1)="#", "-", _xll.BDP(AN17, $E16))</f>
        <v>#NAME?</v>
      </c>
      <c r="AO16" s="43" t="e" cm="1">
        <f t="array" aca="1" ref="AO16" ca="1">IF(LEFT(_xlfn.SINGLE(_xll.BDP(AO17, $E16)),1)="#", "-", _xll.BDP(AO17, $E16))</f>
        <v>#NAME?</v>
      </c>
      <c r="AP16" s="43" t="e" cm="1">
        <f t="array" aca="1" ref="AP16" ca="1">IF(LEFT(_xlfn.SINGLE(_xll.BDP(AP17, $E16)),1)="#", "-", _xll.BDP(AP17, $E16))</f>
        <v>#NAME?</v>
      </c>
      <c r="AQ16" s="43" t="e" cm="1">
        <f t="array" aca="1" ref="AQ16" ca="1">IF(LEFT(_xlfn.SINGLE(_xll.BDP(AQ17, $E16)),1)="#", "-", _xll.BDP(AQ17, $E16))</f>
        <v>#NAME?</v>
      </c>
      <c r="AR16" s="43" t="e" cm="1">
        <f t="array" aca="1" ref="AR16" ca="1">IF(LEFT(_xlfn.SINGLE(_xll.BDP(AR17, $E16)),1)="#", "-", _xll.BDP(AR17, $E16))</f>
        <v>#NAME?</v>
      </c>
      <c r="AS16" s="43" t="e" cm="1">
        <f t="array" aca="1" ref="AS16" ca="1">IF(LEFT(_xlfn.SINGLE(_xll.BDP(AS17, $E16)),1)="#", "-", _xll.BDP(AS17, $E16))</f>
        <v>#NAME?</v>
      </c>
      <c r="AT16" s="43" t="e" cm="1">
        <f t="array" aca="1" ref="AT16" ca="1">IF(LEFT(_xlfn.SINGLE(_xll.BDP(AT17, $E16)),1)="#", "-", _xll.BDP(AT17, $E16))</f>
        <v>#NAME?</v>
      </c>
      <c r="AU16" s="43" t="e" cm="1">
        <f t="array" aca="1" ref="AU16" ca="1">IF(LEFT(_xlfn.SINGLE(_xll.BDP(AU17, $E16)),1)="#", "-", _xll.BDP(AU17, $E16))</f>
        <v>#NAME?</v>
      </c>
      <c r="AV16" s="43" t="e" cm="1">
        <f t="array" aca="1" ref="AV16" ca="1">IF(LEFT(_xlfn.SINGLE(_xll.BDP(AV17, $E16)),1)="#", "-", _xll.BDP(AV17, $E16))</f>
        <v>#NAME?</v>
      </c>
      <c r="AW16" s="43" t="e" cm="1">
        <f t="array" aca="1" ref="AW16" ca="1">IF(LEFT(_xlfn.SINGLE(_xll.BDP(AW17, $E16)),1)="#", "-", _xll.BDP(AW17, $E16))</f>
        <v>#NAME?</v>
      </c>
      <c r="AX16" s="43" t="e" cm="1">
        <f t="array" aca="1" ref="AX16" ca="1">IF(LEFT(_xlfn.SINGLE(_xll.BDP(AX17, $E16)),1)="#", "-", _xll.BDP(AX17, $E16))</f>
        <v>#NAME?</v>
      </c>
      <c r="AY16" s="43" t="e" cm="1">
        <f t="array" aca="1" ref="AY16" ca="1">IF(LEFT(_xlfn.SINGLE(_xll.BDP(AY17, $E16)),1)="#", "-", _xll.BDP(AY17, $E16))</f>
        <v>#NAME?</v>
      </c>
      <c r="AZ16" s="43" t="e" cm="1">
        <f t="array" aca="1" ref="AZ16" ca="1">IF(LEFT(_xlfn.SINGLE(_xll.BDP(AZ17, $E16)),1)="#", "-", _xll.BDP(AZ17, $E16))</f>
        <v>#NAME?</v>
      </c>
      <c r="BA16" s="45" t="e" cm="1">
        <f t="array" aca="1" ref="BA16" ca="1">IF(LEFT(_xlfn.SINGLE(_xll.BDP(BA17, $E16)),1)="#", "-", _xll.BDP(BA17, $E16))</f>
        <v>#NAME?</v>
      </c>
    </row>
    <row r="17" spans="2:53" ht="15" customHeight="1">
      <c r="B17" s="40"/>
      <c r="C17" s="145" t="str">
        <f>trans_getMessage("","Curve Tickers",,LANG_ID)</f>
        <v>Curve Tickers</v>
      </c>
      <c r="D17" s="146"/>
      <c r="E17" s="50" t="s">
        <v>46</v>
      </c>
      <c r="F17" s="42" t="e" cm="1">
        <f t="array" aca="1" ref="F17" ca="1">_xll.BDS(E12,E17,"Dir=H",)</f>
        <v>#NAME?</v>
      </c>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4"/>
    </row>
    <row r="18" spans="2:53" ht="15" customHeight="1">
      <c r="C18" s="138" t="str">
        <f>trans_getMessage("","Rate",,LANG_ID)</f>
        <v>Rate</v>
      </c>
      <c r="D18" s="139"/>
      <c r="E18" s="51" t="s">
        <v>44</v>
      </c>
      <c r="F18" s="46" t="str" cm="1">
        <f t="array" aca="1" ref="F18" ca="1">IF(ISERROR(_xlfn.SINGLE(_xll.BDP(F17, $E18))*1), "-", _xll.BDP(F17, $E18))</f>
        <v>-</v>
      </c>
      <c r="G18" s="46" t="str" cm="1">
        <f t="array" aca="1" ref="G18" ca="1">IF(ISERROR(_xlfn.SINGLE(_xll.BDP(G17, $E18))*1), "-", _xll.BDP(G17, $E18))</f>
        <v>-</v>
      </c>
      <c r="H18" s="46" t="str" cm="1">
        <f t="array" aca="1" ref="H18" ca="1">IF(ISERROR(_xlfn.SINGLE(_xll.BDP(H17, $E18))*1), "-", _xll.BDP(H17, $E18))</f>
        <v>-</v>
      </c>
      <c r="I18" s="46" t="str" cm="1">
        <f t="array" aca="1" ref="I18" ca="1">IF(ISERROR(_xlfn.SINGLE(_xll.BDP(I17, $E18))*1), "-", _xll.BDP(I17, $E18))</f>
        <v>-</v>
      </c>
      <c r="J18" s="46" t="str" cm="1">
        <f t="array" aca="1" ref="J18" ca="1">IF(ISERROR(_xlfn.SINGLE(_xll.BDP(J17, $E18))*1), "-", _xll.BDP(J17, $E18))</f>
        <v>-</v>
      </c>
      <c r="K18" s="46" t="str" cm="1">
        <f t="array" aca="1" ref="K18" ca="1">IF(ISERROR(_xlfn.SINGLE(_xll.BDP(K17, $E18))*1), "-", _xll.BDP(K17, $E18))</f>
        <v>-</v>
      </c>
      <c r="L18" s="46" t="str" cm="1">
        <f t="array" aca="1" ref="L18" ca="1">IF(ISERROR(_xlfn.SINGLE(_xll.BDP(L17, $E18))*1), "-", _xll.BDP(L17, $E18))</f>
        <v>-</v>
      </c>
      <c r="M18" s="46" t="str" cm="1">
        <f t="array" aca="1" ref="M18" ca="1">IF(ISERROR(_xlfn.SINGLE(_xll.BDP(M17, $E18))*1), "-", _xll.BDP(M17, $E18))</f>
        <v>-</v>
      </c>
      <c r="N18" s="46" t="str" cm="1">
        <f t="array" aca="1" ref="N18" ca="1">IF(ISERROR(_xlfn.SINGLE(_xll.BDP(N17, $E18))*1), "-", _xll.BDP(N17, $E18))</f>
        <v>-</v>
      </c>
      <c r="O18" s="46" t="str" cm="1">
        <f t="array" aca="1" ref="O18" ca="1">IF(ISERROR(_xlfn.SINGLE(_xll.BDP(O17, $E18))*1), "-", _xll.BDP(O17, $E18))</f>
        <v>-</v>
      </c>
      <c r="P18" s="46" t="str" cm="1">
        <f t="array" aca="1" ref="P18" ca="1">IF(ISERROR(_xlfn.SINGLE(_xll.BDP(P17, $E18))*1), "-", _xll.BDP(P17, $E18))</f>
        <v>-</v>
      </c>
      <c r="Q18" s="46" t="str" cm="1">
        <f t="array" aca="1" ref="Q18" ca="1">IF(ISERROR(_xlfn.SINGLE(_xll.BDP(Q17, $E18))*1), "-", _xll.BDP(Q17, $E18))</f>
        <v>-</v>
      </c>
      <c r="R18" s="46" t="str" cm="1">
        <f t="array" aca="1" ref="R18" ca="1">IF(ISERROR(_xlfn.SINGLE(_xll.BDP(R17, $E18))*1), "-", _xll.BDP(R17, $E18))</f>
        <v>-</v>
      </c>
      <c r="S18" s="46" t="str" cm="1">
        <f t="array" aca="1" ref="S18" ca="1">IF(ISERROR(_xlfn.SINGLE(_xll.BDP(S17, $E18))*1), "-", _xll.BDP(S17, $E18))</f>
        <v>-</v>
      </c>
      <c r="T18" s="46" t="str" cm="1">
        <f t="array" aca="1" ref="T18" ca="1">IF(ISERROR(_xlfn.SINGLE(_xll.BDP(T17, $E18))*1), "-", _xll.BDP(T17, $E18))</f>
        <v>-</v>
      </c>
      <c r="U18" s="46" t="str" cm="1">
        <f t="array" aca="1" ref="U18" ca="1">IF(ISERROR(_xlfn.SINGLE(_xll.BDP(U17, $E18))*1), "-", _xll.BDP(U17, $E18))</f>
        <v>-</v>
      </c>
      <c r="V18" s="46" t="str" cm="1">
        <f t="array" aca="1" ref="V18" ca="1">IF(ISERROR(_xlfn.SINGLE(_xll.BDP(V17, $E18))*1), "-", _xll.BDP(V17, $E18))</f>
        <v>-</v>
      </c>
      <c r="W18" s="46" t="str" cm="1">
        <f t="array" aca="1" ref="W18" ca="1">IF(ISERROR(_xlfn.SINGLE(_xll.BDP(W17, $E18))*1), "-", _xll.BDP(W17, $E18))</f>
        <v>-</v>
      </c>
      <c r="X18" s="46" t="str" cm="1">
        <f t="array" aca="1" ref="X18" ca="1">IF(ISERROR(_xlfn.SINGLE(_xll.BDP(X17, $E18))*1), "-", _xll.BDP(X17, $E18))</f>
        <v>-</v>
      </c>
      <c r="Y18" s="46" t="str" cm="1">
        <f t="array" aca="1" ref="Y18" ca="1">IF(ISERROR(_xlfn.SINGLE(_xll.BDP(Y17, $E18))*1), "-", _xll.BDP(Y17, $E18))</f>
        <v>-</v>
      </c>
      <c r="Z18" s="46" t="str" cm="1">
        <f t="array" aca="1" ref="Z18" ca="1">IF(ISERROR(_xlfn.SINGLE(_xll.BDP(Z17, $E18))*1), "-", _xll.BDP(Z17, $E18))</f>
        <v>-</v>
      </c>
      <c r="AA18" s="46" t="str" cm="1">
        <f t="array" aca="1" ref="AA18" ca="1">IF(ISERROR(_xlfn.SINGLE(_xll.BDP(AA17, $E18))*1), "-", _xll.BDP(AA17, $E18))</f>
        <v>-</v>
      </c>
      <c r="AB18" s="46" t="str" cm="1">
        <f t="array" aca="1" ref="AB18" ca="1">IF(ISERROR(_xlfn.SINGLE(_xll.BDP(AB17, $E18))*1), "-", _xll.BDP(AB17, $E18))</f>
        <v>-</v>
      </c>
      <c r="AC18" s="46" t="str" cm="1">
        <f t="array" aca="1" ref="AC18" ca="1">IF(ISERROR(_xlfn.SINGLE(_xll.BDP(AC17, $E18))*1), "-", _xll.BDP(AC17, $E18))</f>
        <v>-</v>
      </c>
      <c r="AD18" s="46" t="str" cm="1">
        <f t="array" aca="1" ref="AD18" ca="1">IF(ISERROR(_xlfn.SINGLE(_xll.BDP(AD17, $E18))*1), "-", _xll.BDP(AD17, $E18))</f>
        <v>-</v>
      </c>
      <c r="AE18" s="46" t="str" cm="1">
        <f t="array" aca="1" ref="AE18" ca="1">IF(ISERROR(_xlfn.SINGLE(_xll.BDP(AE17, $E18))*1), "-", _xll.BDP(AE17, $E18))</f>
        <v>-</v>
      </c>
      <c r="AF18" s="46" t="str" cm="1">
        <f t="array" aca="1" ref="AF18" ca="1">IF(ISERROR(_xlfn.SINGLE(_xll.BDP(AF17, $E18))*1), "-", _xll.BDP(AF17, $E18))</f>
        <v>-</v>
      </c>
      <c r="AG18" s="46" t="str" cm="1">
        <f t="array" aca="1" ref="AG18" ca="1">IF(ISERROR(_xlfn.SINGLE(_xll.BDP(AG17, $E18))*1), "-", _xll.BDP(AG17, $E18))</f>
        <v>-</v>
      </c>
      <c r="AH18" s="46" t="str" cm="1">
        <f t="array" aca="1" ref="AH18" ca="1">IF(ISERROR(_xlfn.SINGLE(_xll.BDP(AH17, $E18))*1), "-", _xll.BDP(AH17, $E18))</f>
        <v>-</v>
      </c>
      <c r="AI18" s="46" t="str" cm="1">
        <f t="array" aca="1" ref="AI18" ca="1">IF(ISERROR(_xlfn.SINGLE(_xll.BDP(AI17, $E18))*1), "-", _xll.BDP(AI17, $E18))</f>
        <v>-</v>
      </c>
      <c r="AJ18" s="46" t="str" cm="1">
        <f t="array" aca="1" ref="AJ18" ca="1">IF(ISERROR(_xlfn.SINGLE(_xll.BDP(AJ17, $E18))*1), "-", _xll.BDP(AJ17, $E18))</f>
        <v>-</v>
      </c>
      <c r="AK18" s="46" t="str" cm="1">
        <f t="array" aca="1" ref="AK18" ca="1">IF(ISERROR(_xlfn.SINGLE(_xll.BDP(AK17, $E18))*1), "-", _xll.BDP(AK17, $E18))</f>
        <v>-</v>
      </c>
      <c r="AL18" s="46" t="str" cm="1">
        <f t="array" aca="1" ref="AL18" ca="1">IF(ISERROR(_xlfn.SINGLE(_xll.BDP(AL17, $E18))*1), "-", _xll.BDP(AL17, $E18))</f>
        <v>-</v>
      </c>
      <c r="AM18" s="46" t="str" cm="1">
        <f t="array" aca="1" ref="AM18" ca="1">IF(ISERROR(_xlfn.SINGLE(_xll.BDP(AM17, $E18))*1), "-", _xll.BDP(AM17, $E18))</f>
        <v>-</v>
      </c>
      <c r="AN18" s="46" t="str" cm="1">
        <f t="array" aca="1" ref="AN18" ca="1">IF(ISERROR(_xlfn.SINGLE(_xll.BDP(AN17, $E18))*1), "-", _xll.BDP(AN17, $E18))</f>
        <v>-</v>
      </c>
      <c r="AO18" s="46" t="str" cm="1">
        <f t="array" aca="1" ref="AO18" ca="1">IF(ISERROR(_xlfn.SINGLE(_xll.BDP(AO17, $E18))*1), "-", _xll.BDP(AO17, $E18))</f>
        <v>-</v>
      </c>
      <c r="AP18" s="46" t="str" cm="1">
        <f t="array" aca="1" ref="AP18" ca="1">IF(ISERROR(_xlfn.SINGLE(_xll.BDP(AP17, $E18))*1), "-", _xll.BDP(AP17, $E18))</f>
        <v>-</v>
      </c>
      <c r="AQ18" s="46" t="str" cm="1">
        <f t="array" aca="1" ref="AQ18" ca="1">IF(ISERROR(_xlfn.SINGLE(_xll.BDP(AQ17, $E18))*1), "-", _xll.BDP(AQ17, $E18))</f>
        <v>-</v>
      </c>
      <c r="AR18" s="46" t="str" cm="1">
        <f t="array" aca="1" ref="AR18" ca="1">IF(ISERROR(_xlfn.SINGLE(_xll.BDP(AR17, $E18))*1), "-", _xll.BDP(AR17, $E18))</f>
        <v>-</v>
      </c>
      <c r="AS18" s="46" t="str" cm="1">
        <f t="array" aca="1" ref="AS18" ca="1">IF(ISERROR(_xlfn.SINGLE(_xll.BDP(AS17, $E18))*1), "-", _xll.BDP(AS17, $E18))</f>
        <v>-</v>
      </c>
      <c r="AT18" s="46" t="str" cm="1">
        <f t="array" aca="1" ref="AT18" ca="1">IF(ISERROR(_xlfn.SINGLE(_xll.BDP(AT17, $E18))*1), "-", _xll.BDP(AT17, $E18))</f>
        <v>-</v>
      </c>
      <c r="AU18" s="46" t="str" cm="1">
        <f t="array" aca="1" ref="AU18" ca="1">IF(ISERROR(_xlfn.SINGLE(_xll.BDP(AU17, $E18))*1), "-", _xll.BDP(AU17, $E18))</f>
        <v>-</v>
      </c>
      <c r="AV18" s="46" t="str" cm="1">
        <f t="array" aca="1" ref="AV18" ca="1">IF(ISERROR(_xlfn.SINGLE(_xll.BDP(AV17, $E18))*1), "-", _xll.BDP(AV17, $E18))</f>
        <v>-</v>
      </c>
      <c r="AW18" s="46" t="str" cm="1">
        <f t="array" aca="1" ref="AW18" ca="1">IF(ISERROR(_xlfn.SINGLE(_xll.BDP(AW17, $E18))*1), "-", _xll.BDP(AW17, $E18))</f>
        <v>-</v>
      </c>
      <c r="AX18" s="46" t="str" cm="1">
        <f t="array" aca="1" ref="AX18" ca="1">IF(ISERROR(_xlfn.SINGLE(_xll.BDP(AX17, $E18))*1), "-", _xll.BDP(AX17, $E18))</f>
        <v>-</v>
      </c>
      <c r="AY18" s="46" t="str" cm="1">
        <f t="array" aca="1" ref="AY18" ca="1">IF(ISERROR(_xlfn.SINGLE(_xll.BDP(AY17, $E18))*1), "-", _xll.BDP(AY17, $E18))</f>
        <v>-</v>
      </c>
      <c r="AZ18" s="46" t="str" cm="1">
        <f t="array" aca="1" ref="AZ18" ca="1">IF(ISERROR(_xlfn.SINGLE(_xll.BDP(AZ17, $E18))*1), "-", _xll.BDP(AZ17, $E18))</f>
        <v>-</v>
      </c>
      <c r="BA18" s="47" t="str" cm="1">
        <f t="array" aca="1" ref="BA18" ca="1">IF(ISERROR(_xlfn.SINGLE(_xll.BDP(BA17, $E18))*1), "-", _xll.BDP(BA17, $E18))</f>
        <v>-</v>
      </c>
    </row>
    <row r="19" spans="2:53" ht="15" hidden="1" customHeight="1"/>
    <row r="20" spans="2:53" ht="3" customHeight="1"/>
    <row r="21" spans="2:53" ht="4.5" customHeight="1"/>
    <row r="22" spans="2:53" ht="15" customHeight="1">
      <c r="B22" s="38" t="s">
        <v>26</v>
      </c>
      <c r="C22" s="140" t="str">
        <f>trans_getMessage("","Curve Number",,LANG_ID)</f>
        <v>Curve Number</v>
      </c>
      <c r="D22" s="141"/>
      <c r="E22" s="142">
        <f>VLOOKUP(B22, 'Currency-Curve List'!$C$9:$E$103, 2, FALSE)</f>
        <v>159</v>
      </c>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4"/>
    </row>
    <row r="23" spans="2:53" ht="15" customHeight="1">
      <c r="C23" s="145" t="str">
        <f>trans_getMessage("","Curve Index",,LANG_ID)</f>
        <v>Curve Index</v>
      </c>
      <c r="D23" s="146"/>
      <c r="E23" s="147" t="str">
        <f>VLOOKUP(B22, 'Currency-Curve List'!$C$9:$E$103, 3, FALSE)</f>
        <v>YCSW0159 Index</v>
      </c>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c r="AJ23" s="148"/>
      <c r="AK23" s="148"/>
      <c r="AL23" s="148"/>
      <c r="AM23" s="148"/>
      <c r="AN23" s="148"/>
      <c r="AO23" s="148"/>
      <c r="AP23" s="148"/>
      <c r="AQ23" s="148"/>
      <c r="AR23" s="148"/>
      <c r="AS23" s="148"/>
      <c r="AT23" s="148"/>
      <c r="AU23" s="148"/>
      <c r="AV23" s="148"/>
      <c r="AW23" s="148"/>
      <c r="AX23" s="148"/>
      <c r="AY23" s="148"/>
      <c r="AZ23" s="148"/>
      <c r="BA23" s="149"/>
    </row>
    <row r="24" spans="2:53" ht="15" customHeight="1">
      <c r="C24" s="145" t="str">
        <f>trans_getMessage("","Curve Name",,LANG_ID)</f>
        <v>Curve Name</v>
      </c>
      <c r="D24" s="146"/>
      <c r="E24" s="150" t="e" cm="1">
        <f t="array" aca="1" ref="E24" ca="1">_xll.BDP(E23, "NAME")</f>
        <v>#NAME?</v>
      </c>
      <c r="F24" s="151"/>
      <c r="G24" s="151"/>
      <c r="H24" s="151"/>
      <c r="I24" s="151"/>
      <c r="J24" s="151"/>
      <c r="K24" s="151"/>
      <c r="L24" s="151"/>
      <c r="M24" s="151"/>
      <c r="N24" s="151"/>
      <c r="O24" s="151"/>
      <c r="P24" s="151"/>
      <c r="Q24" s="151"/>
      <c r="R24" s="151"/>
      <c r="S24" s="151"/>
      <c r="T24" s="151"/>
      <c r="U24" s="151"/>
      <c r="V24" s="151"/>
      <c r="W24" s="151"/>
      <c r="X24" s="151"/>
      <c r="Y24" s="151"/>
      <c r="Z24" s="151"/>
      <c r="AA24" s="151"/>
      <c r="AB24" s="151"/>
      <c r="AC24" s="151"/>
      <c r="AD24" s="151"/>
      <c r="AE24" s="151"/>
      <c r="AF24" s="151"/>
      <c r="AG24" s="151"/>
      <c r="AH24" s="151"/>
      <c r="AI24" s="151"/>
      <c r="AJ24" s="151"/>
      <c r="AK24" s="151"/>
      <c r="AL24" s="151"/>
      <c r="AM24" s="151"/>
      <c r="AN24" s="151"/>
      <c r="AO24" s="151"/>
      <c r="AP24" s="151"/>
      <c r="AQ24" s="151"/>
      <c r="AR24" s="151"/>
      <c r="AS24" s="151"/>
      <c r="AT24" s="151"/>
      <c r="AU24" s="151"/>
      <c r="AV24" s="151"/>
      <c r="AW24" s="151"/>
      <c r="AX24" s="151"/>
      <c r="AY24" s="151"/>
      <c r="AZ24" s="151"/>
      <c r="BA24" s="152"/>
    </row>
    <row r="25" spans="2:53" ht="15" customHeight="1">
      <c r="C25" s="145" t="str">
        <f>trans_getMessage("","Tenors",,LANG_ID)</f>
        <v>Tenors</v>
      </c>
      <c r="D25" s="146"/>
      <c r="E25" s="48" t="s">
        <v>50</v>
      </c>
      <c r="F25" s="42" t="e" cm="1">
        <f t="array" aca="1" ref="F25" ca="1">_xll.BDS(E23,E25,"Dir=H",)</f>
        <v>#NAME?</v>
      </c>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4"/>
    </row>
    <row r="26" spans="2:53" ht="15" hidden="1" customHeight="1">
      <c r="C26" s="145" t="s">
        <v>2211</v>
      </c>
      <c r="D26" s="146"/>
      <c r="E26" s="48"/>
      <c r="F26" s="42" t="e">
        <f ca="1">IF(F25="","",IF(F25="12M","1Y",IF(F25="24M","2Y",F25)))</f>
        <v>#NAME?</v>
      </c>
      <c r="G26" s="42" t="str">
        <f t="shared" ref="G26" si="1">IF(G25="","",IF(G25="12M","1Y",IF(G25="24M","2Y",G25)))</f>
        <v/>
      </c>
      <c r="H26" s="42" t="str">
        <f t="shared" ref="H26" si="2">IF(H25="","",IF(H25="12M","1Y",IF(H25="24M","2Y",H25)))</f>
        <v/>
      </c>
      <c r="I26" s="42" t="str">
        <f t="shared" ref="I26" si="3">IF(I25="","",IF(I25="12M","1Y",IF(I25="24M","2Y",I25)))</f>
        <v/>
      </c>
      <c r="J26" s="42" t="str">
        <f t="shared" ref="J26" si="4">IF(J25="","",IF(J25="12M","1Y",IF(J25="24M","2Y",J25)))</f>
        <v/>
      </c>
      <c r="K26" s="42" t="str">
        <f t="shared" ref="K26" si="5">IF(K25="","",IF(K25="12M","1Y",IF(K25="24M","2Y",K25)))</f>
        <v/>
      </c>
      <c r="L26" s="42" t="str">
        <f t="shared" ref="L26" si="6">IF(L25="","",IF(L25="12M","1Y",IF(L25="24M","2Y",L25)))</f>
        <v/>
      </c>
      <c r="M26" s="42" t="str">
        <f t="shared" ref="M26" si="7">IF(M25="","",IF(M25="12M","1Y",IF(M25="24M","2Y",M25)))</f>
        <v/>
      </c>
      <c r="N26" s="42" t="str">
        <f t="shared" ref="N26" si="8">IF(N25="","",IF(N25="12M","1Y",IF(N25="24M","2Y",N25)))</f>
        <v/>
      </c>
      <c r="O26" s="42" t="str">
        <f t="shared" ref="O26" si="9">IF(O25="","",IF(O25="12M","1Y",IF(O25="24M","2Y",O25)))</f>
        <v/>
      </c>
      <c r="P26" s="42" t="str">
        <f t="shared" ref="P26" si="10">IF(P25="","",IF(P25="12M","1Y",IF(P25="24M","2Y",P25)))</f>
        <v/>
      </c>
      <c r="Q26" s="42" t="str">
        <f t="shared" ref="Q26" si="11">IF(Q25="","",IF(Q25="12M","1Y",IF(Q25="24M","2Y",Q25)))</f>
        <v/>
      </c>
      <c r="R26" s="42" t="str">
        <f t="shared" ref="R26" si="12">IF(R25="","",IF(R25="12M","1Y",IF(R25="24M","2Y",R25)))</f>
        <v/>
      </c>
      <c r="S26" s="42" t="str">
        <f t="shared" ref="S26" si="13">IF(S25="","",IF(S25="12M","1Y",IF(S25="24M","2Y",S25)))</f>
        <v/>
      </c>
      <c r="T26" s="42" t="str">
        <f t="shared" ref="T26" si="14">IF(T25="","",IF(T25="12M","1Y",IF(T25="24M","2Y",T25)))</f>
        <v/>
      </c>
      <c r="U26" s="42" t="str">
        <f t="shared" ref="U26" si="15">IF(U25="","",IF(U25="12M","1Y",IF(U25="24M","2Y",U25)))</f>
        <v/>
      </c>
      <c r="V26" s="42" t="str">
        <f t="shared" ref="V26" si="16">IF(V25="","",IF(V25="12M","1Y",IF(V25="24M","2Y",V25)))</f>
        <v/>
      </c>
      <c r="W26" s="42" t="str">
        <f t="shared" ref="W26" si="17">IF(W25="","",IF(W25="12M","1Y",IF(W25="24M","2Y",W25)))</f>
        <v/>
      </c>
      <c r="X26" s="42" t="str">
        <f t="shared" ref="X26" si="18">IF(X25="","",IF(X25="12M","1Y",IF(X25="24M","2Y",X25)))</f>
        <v/>
      </c>
      <c r="Y26" s="42" t="str">
        <f t="shared" ref="Y26" si="19">IF(Y25="","",IF(Y25="12M","1Y",IF(Y25="24M","2Y",Y25)))</f>
        <v/>
      </c>
      <c r="Z26" s="42" t="str">
        <f t="shared" ref="Z26" si="20">IF(Z25="","",IF(Z25="12M","1Y",IF(Z25="24M","2Y",Z25)))</f>
        <v/>
      </c>
      <c r="AA26" s="42" t="str">
        <f t="shared" ref="AA26" si="21">IF(AA25="","",IF(AA25="12M","1Y",IF(AA25="24M","2Y",AA25)))</f>
        <v/>
      </c>
      <c r="AB26" s="42" t="str">
        <f t="shared" ref="AB26" si="22">IF(AB25="","",IF(AB25="12M","1Y",IF(AB25="24M","2Y",AB25)))</f>
        <v/>
      </c>
      <c r="AC26" s="42" t="str">
        <f t="shared" ref="AC26" si="23">IF(AC25="","",IF(AC25="12M","1Y",IF(AC25="24M","2Y",AC25)))</f>
        <v/>
      </c>
      <c r="AD26" s="42" t="str">
        <f t="shared" ref="AD26" si="24">IF(AD25="","",IF(AD25="12M","1Y",IF(AD25="24M","2Y",AD25)))</f>
        <v/>
      </c>
      <c r="AE26" s="42" t="str">
        <f t="shared" ref="AE26" si="25">IF(AE25="","",IF(AE25="12M","1Y",IF(AE25="24M","2Y",AE25)))</f>
        <v/>
      </c>
      <c r="AF26" s="42" t="str">
        <f t="shared" ref="AF26" si="26">IF(AF25="","",IF(AF25="12M","1Y",IF(AF25="24M","2Y",AF25)))</f>
        <v/>
      </c>
      <c r="AG26" s="42" t="str">
        <f t="shared" ref="AG26" si="27">IF(AG25="","",IF(AG25="12M","1Y",IF(AG25="24M","2Y",AG25)))</f>
        <v/>
      </c>
      <c r="AH26" s="42" t="str">
        <f t="shared" ref="AH26" si="28">IF(AH25="","",IF(AH25="12M","1Y",IF(AH25="24M","2Y",AH25)))</f>
        <v/>
      </c>
      <c r="AI26" s="42" t="str">
        <f t="shared" ref="AI26" si="29">IF(AI25="","",IF(AI25="12M","1Y",IF(AI25="24M","2Y",AI25)))</f>
        <v/>
      </c>
      <c r="AJ26" s="42" t="str">
        <f t="shared" ref="AJ26" si="30">IF(AJ25="","",IF(AJ25="12M","1Y",IF(AJ25="24M","2Y",AJ25)))</f>
        <v/>
      </c>
      <c r="AK26" s="42" t="str">
        <f t="shared" ref="AK26" si="31">IF(AK25="","",IF(AK25="12M","1Y",IF(AK25="24M","2Y",AK25)))</f>
        <v/>
      </c>
      <c r="AL26" s="42" t="str">
        <f t="shared" ref="AL26" si="32">IF(AL25="","",IF(AL25="12M","1Y",IF(AL25="24M","2Y",AL25)))</f>
        <v/>
      </c>
      <c r="AM26" s="42" t="str">
        <f t="shared" ref="AM26" si="33">IF(AM25="","",IF(AM25="12M","1Y",IF(AM25="24M","2Y",AM25)))</f>
        <v/>
      </c>
      <c r="AN26" s="42" t="str">
        <f t="shared" ref="AN26" si="34">IF(AN25="","",IF(AN25="12M","1Y",IF(AN25="24M","2Y",AN25)))</f>
        <v/>
      </c>
      <c r="AO26" s="42" t="str">
        <f t="shared" ref="AO26" si="35">IF(AO25="","",IF(AO25="12M","1Y",IF(AO25="24M","2Y",AO25)))</f>
        <v/>
      </c>
      <c r="AP26" s="42" t="str">
        <f t="shared" ref="AP26" si="36">IF(AP25="","",IF(AP25="12M","1Y",IF(AP25="24M","2Y",AP25)))</f>
        <v/>
      </c>
      <c r="AQ26" s="42" t="str">
        <f t="shared" ref="AQ26" si="37">IF(AQ25="","",IF(AQ25="12M","1Y",IF(AQ25="24M","2Y",AQ25)))</f>
        <v/>
      </c>
      <c r="AR26" s="42" t="str">
        <f t="shared" ref="AR26" si="38">IF(AR25="","",IF(AR25="12M","1Y",IF(AR25="24M","2Y",AR25)))</f>
        <v/>
      </c>
      <c r="AS26" s="42" t="str">
        <f t="shared" ref="AS26" si="39">IF(AS25="","",IF(AS25="12M","1Y",IF(AS25="24M","2Y",AS25)))</f>
        <v/>
      </c>
      <c r="AT26" s="42" t="str">
        <f t="shared" ref="AT26" si="40">IF(AT25="","",IF(AT25="12M","1Y",IF(AT25="24M","2Y",AT25)))</f>
        <v/>
      </c>
      <c r="AU26" s="42" t="str">
        <f t="shared" ref="AU26" si="41">IF(AU25="","",IF(AU25="12M","1Y",IF(AU25="24M","2Y",AU25)))</f>
        <v/>
      </c>
      <c r="AV26" s="42" t="str">
        <f t="shared" ref="AV26" si="42">IF(AV25="","",IF(AV25="12M","1Y",IF(AV25="24M","2Y",AV25)))</f>
        <v/>
      </c>
      <c r="AW26" s="42" t="str">
        <f t="shared" ref="AW26" si="43">IF(AW25="","",IF(AW25="12M","1Y",IF(AW25="24M","2Y",AW25)))</f>
        <v/>
      </c>
      <c r="AX26" s="42" t="str">
        <f t="shared" ref="AX26" si="44">IF(AX25="","",IF(AX25="12M","1Y",IF(AX25="24M","2Y",AX25)))</f>
        <v/>
      </c>
      <c r="AY26" s="42" t="str">
        <f t="shared" ref="AY26" si="45">IF(AY25="","",IF(AY25="12M","1Y",IF(AY25="24M","2Y",AY25)))</f>
        <v/>
      </c>
      <c r="AZ26" s="42" t="str">
        <f t="shared" ref="AZ26" si="46">IF(AZ25="","",IF(AZ25="12M","1Y",IF(AZ25="24M","2Y",AZ25)))</f>
        <v/>
      </c>
      <c r="BA26" s="42" t="str">
        <f t="shared" ref="BA26" si="47">IF(BA25="","",IF(BA25="12M","1Y",IF(BA25="24M","2Y",BA25)))</f>
        <v/>
      </c>
    </row>
    <row r="27" spans="2:53" s="41" customFormat="1" ht="15" customHeight="1">
      <c r="B27" s="7"/>
      <c r="C27" s="153" t="str">
        <f>trans_getMessage("","Name",,LANG_ID)</f>
        <v>Name</v>
      </c>
      <c r="D27" s="154"/>
      <c r="E27" s="49" t="s">
        <v>49</v>
      </c>
      <c r="F27" s="43" t="e" cm="1">
        <f t="array" aca="1" ref="F27" ca="1">IF(LEFT(_xlfn.SINGLE(_xll.BDP(F28, $E27)),1)="#", "-", _xll.BDP(F28, $E27))</f>
        <v>#NAME?</v>
      </c>
      <c r="G27" s="43" t="e" cm="1">
        <f t="array" aca="1" ref="G27" ca="1">IF(LEFT(_xlfn.SINGLE(_xll.BDP(G28, $E27)),1)="#", "-", _xll.BDP(G28, $E27))</f>
        <v>#NAME?</v>
      </c>
      <c r="H27" s="43" t="e" cm="1">
        <f t="array" aca="1" ref="H27" ca="1">IF(LEFT(_xlfn.SINGLE(_xll.BDP(H28, $E27)),1)="#", "-", _xll.BDP(H28, $E27))</f>
        <v>#NAME?</v>
      </c>
      <c r="I27" s="43" t="e" cm="1">
        <f t="array" aca="1" ref="I27" ca="1">IF(LEFT(_xlfn.SINGLE(_xll.BDP(I28, $E27)),1)="#", "-", _xll.BDP(I28, $E27))</f>
        <v>#NAME?</v>
      </c>
      <c r="J27" s="43" t="e" cm="1">
        <f t="array" aca="1" ref="J27" ca="1">IF(LEFT(_xlfn.SINGLE(_xll.BDP(J28, $E27)),1)="#", "-", _xll.BDP(J28, $E27))</f>
        <v>#NAME?</v>
      </c>
      <c r="K27" s="43" t="e" cm="1">
        <f t="array" aca="1" ref="K27" ca="1">IF(LEFT(_xlfn.SINGLE(_xll.BDP(K28, $E27)),1)="#", "-", _xll.BDP(K28, $E27))</f>
        <v>#NAME?</v>
      </c>
      <c r="L27" s="43" t="e" cm="1">
        <f t="array" aca="1" ref="L27" ca="1">IF(LEFT(_xlfn.SINGLE(_xll.BDP(L28, $E27)),1)="#", "-", _xll.BDP(L28, $E27))</f>
        <v>#NAME?</v>
      </c>
      <c r="M27" s="43" t="e" cm="1">
        <f t="array" aca="1" ref="M27" ca="1">IF(LEFT(_xlfn.SINGLE(_xll.BDP(M28, $E27)),1)="#", "-", _xll.BDP(M28, $E27))</f>
        <v>#NAME?</v>
      </c>
      <c r="N27" s="43" t="e" cm="1">
        <f t="array" aca="1" ref="N27" ca="1">IF(LEFT(_xlfn.SINGLE(_xll.BDP(N28, $E27)),1)="#", "-", _xll.BDP(N28, $E27))</f>
        <v>#NAME?</v>
      </c>
      <c r="O27" s="43" t="e" cm="1">
        <f t="array" aca="1" ref="O27" ca="1">IF(LEFT(_xlfn.SINGLE(_xll.BDP(O28, $E27)),1)="#", "-", _xll.BDP(O28, $E27))</f>
        <v>#NAME?</v>
      </c>
      <c r="P27" s="43" t="e" cm="1">
        <f t="array" aca="1" ref="P27" ca="1">IF(LEFT(_xlfn.SINGLE(_xll.BDP(P28, $E27)),1)="#", "-", _xll.BDP(P28, $E27))</f>
        <v>#NAME?</v>
      </c>
      <c r="Q27" s="43" t="e" cm="1">
        <f t="array" aca="1" ref="Q27" ca="1">IF(LEFT(_xlfn.SINGLE(_xll.BDP(Q28, $E27)),1)="#", "-", _xll.BDP(Q28, $E27))</f>
        <v>#NAME?</v>
      </c>
      <c r="R27" s="43" t="e" cm="1">
        <f t="array" aca="1" ref="R27" ca="1">IF(LEFT(_xlfn.SINGLE(_xll.BDP(R28, $E27)),1)="#", "-", _xll.BDP(R28, $E27))</f>
        <v>#NAME?</v>
      </c>
      <c r="S27" s="43" t="e" cm="1">
        <f t="array" aca="1" ref="S27" ca="1">IF(LEFT(_xlfn.SINGLE(_xll.BDP(S28, $E27)),1)="#", "-", _xll.BDP(S28, $E27))</f>
        <v>#NAME?</v>
      </c>
      <c r="T27" s="43" t="e" cm="1">
        <f t="array" aca="1" ref="T27" ca="1">IF(LEFT(_xlfn.SINGLE(_xll.BDP(T28, $E27)),1)="#", "-", _xll.BDP(T28, $E27))</f>
        <v>#NAME?</v>
      </c>
      <c r="U27" s="43" t="e" cm="1">
        <f t="array" aca="1" ref="U27" ca="1">IF(LEFT(_xlfn.SINGLE(_xll.BDP(U28, $E27)),1)="#", "-", _xll.BDP(U28, $E27))</f>
        <v>#NAME?</v>
      </c>
      <c r="V27" s="43" t="e" cm="1">
        <f t="array" aca="1" ref="V27" ca="1">IF(LEFT(_xlfn.SINGLE(_xll.BDP(V28, $E27)),1)="#", "-", _xll.BDP(V28, $E27))</f>
        <v>#NAME?</v>
      </c>
      <c r="W27" s="43" t="e" cm="1">
        <f t="array" aca="1" ref="W27" ca="1">IF(LEFT(_xlfn.SINGLE(_xll.BDP(W28, $E27)),1)="#", "-", _xll.BDP(W28, $E27))</f>
        <v>#NAME?</v>
      </c>
      <c r="X27" s="43" t="e" cm="1">
        <f t="array" aca="1" ref="X27" ca="1">IF(LEFT(_xlfn.SINGLE(_xll.BDP(X28, $E27)),1)="#", "-", _xll.BDP(X28, $E27))</f>
        <v>#NAME?</v>
      </c>
      <c r="Y27" s="43" t="e" cm="1">
        <f t="array" aca="1" ref="Y27" ca="1">IF(LEFT(_xlfn.SINGLE(_xll.BDP(Y28, $E27)),1)="#", "-", _xll.BDP(Y28, $E27))</f>
        <v>#NAME?</v>
      </c>
      <c r="Z27" s="43" t="e" cm="1">
        <f t="array" aca="1" ref="Z27" ca="1">IF(LEFT(_xlfn.SINGLE(_xll.BDP(Z28, $E27)),1)="#", "-", _xll.BDP(Z28, $E27))</f>
        <v>#NAME?</v>
      </c>
      <c r="AA27" s="43" t="e" cm="1">
        <f t="array" aca="1" ref="AA27" ca="1">IF(LEFT(_xlfn.SINGLE(_xll.BDP(AA28, $E27)),1)="#", "-", _xll.BDP(AA28, $E27))</f>
        <v>#NAME?</v>
      </c>
      <c r="AB27" s="43" t="e" cm="1">
        <f t="array" aca="1" ref="AB27" ca="1">IF(LEFT(_xlfn.SINGLE(_xll.BDP(AB28, $E27)),1)="#", "-", _xll.BDP(AB28, $E27))</f>
        <v>#NAME?</v>
      </c>
      <c r="AC27" s="43" t="e" cm="1">
        <f t="array" aca="1" ref="AC27" ca="1">IF(LEFT(_xlfn.SINGLE(_xll.BDP(AC28, $E27)),1)="#", "-", _xll.BDP(AC28, $E27))</f>
        <v>#NAME?</v>
      </c>
      <c r="AD27" s="43" t="e" cm="1">
        <f t="array" aca="1" ref="AD27" ca="1">IF(LEFT(_xlfn.SINGLE(_xll.BDP(AD28, $E27)),1)="#", "-", _xll.BDP(AD28, $E27))</f>
        <v>#NAME?</v>
      </c>
      <c r="AE27" s="43" t="e" cm="1">
        <f t="array" aca="1" ref="AE27" ca="1">IF(LEFT(_xlfn.SINGLE(_xll.BDP(AE28, $E27)),1)="#", "-", _xll.BDP(AE28, $E27))</f>
        <v>#NAME?</v>
      </c>
      <c r="AF27" s="43" t="e" cm="1">
        <f t="array" aca="1" ref="AF27" ca="1">IF(LEFT(_xlfn.SINGLE(_xll.BDP(AF28, $E27)),1)="#", "-", _xll.BDP(AF28, $E27))</f>
        <v>#NAME?</v>
      </c>
      <c r="AG27" s="43" t="e" cm="1">
        <f t="array" aca="1" ref="AG27" ca="1">IF(LEFT(_xlfn.SINGLE(_xll.BDP(AG28, $E27)),1)="#", "-", _xll.BDP(AG28, $E27))</f>
        <v>#NAME?</v>
      </c>
      <c r="AH27" s="43" t="e" cm="1">
        <f t="array" aca="1" ref="AH27" ca="1">IF(LEFT(_xlfn.SINGLE(_xll.BDP(AH28, $E27)),1)="#", "-", _xll.BDP(AH28, $E27))</f>
        <v>#NAME?</v>
      </c>
      <c r="AI27" s="43" t="e" cm="1">
        <f t="array" aca="1" ref="AI27" ca="1">IF(LEFT(_xlfn.SINGLE(_xll.BDP(AI28, $E27)),1)="#", "-", _xll.BDP(AI28, $E27))</f>
        <v>#NAME?</v>
      </c>
      <c r="AJ27" s="43" t="e" cm="1">
        <f t="array" aca="1" ref="AJ27" ca="1">IF(LEFT(_xlfn.SINGLE(_xll.BDP(AJ28, $E27)),1)="#", "-", _xll.BDP(AJ28, $E27))</f>
        <v>#NAME?</v>
      </c>
      <c r="AK27" s="43" t="e" cm="1">
        <f t="array" aca="1" ref="AK27" ca="1">IF(LEFT(_xlfn.SINGLE(_xll.BDP(AK28, $E27)),1)="#", "-", _xll.BDP(AK28, $E27))</f>
        <v>#NAME?</v>
      </c>
      <c r="AL27" s="43" t="e" cm="1">
        <f t="array" aca="1" ref="AL27" ca="1">IF(LEFT(_xlfn.SINGLE(_xll.BDP(AL28, $E27)),1)="#", "-", _xll.BDP(AL28, $E27))</f>
        <v>#NAME?</v>
      </c>
      <c r="AM27" s="43" t="e" cm="1">
        <f t="array" aca="1" ref="AM27" ca="1">IF(LEFT(_xlfn.SINGLE(_xll.BDP(AM28, $E27)),1)="#", "-", _xll.BDP(AM28, $E27))</f>
        <v>#NAME?</v>
      </c>
      <c r="AN27" s="43" t="e" cm="1">
        <f t="array" aca="1" ref="AN27" ca="1">IF(LEFT(_xlfn.SINGLE(_xll.BDP(AN28, $E27)),1)="#", "-", _xll.BDP(AN28, $E27))</f>
        <v>#NAME?</v>
      </c>
      <c r="AO27" s="43" t="e" cm="1">
        <f t="array" aca="1" ref="AO27" ca="1">IF(LEFT(_xlfn.SINGLE(_xll.BDP(AO28, $E27)),1)="#", "-", _xll.BDP(AO28, $E27))</f>
        <v>#NAME?</v>
      </c>
      <c r="AP27" s="43" t="e" cm="1">
        <f t="array" aca="1" ref="AP27" ca="1">IF(LEFT(_xlfn.SINGLE(_xll.BDP(AP28, $E27)),1)="#", "-", _xll.BDP(AP28, $E27))</f>
        <v>#NAME?</v>
      </c>
      <c r="AQ27" s="43" t="e" cm="1">
        <f t="array" aca="1" ref="AQ27" ca="1">IF(LEFT(_xlfn.SINGLE(_xll.BDP(AQ28, $E27)),1)="#", "-", _xll.BDP(AQ28, $E27))</f>
        <v>#NAME?</v>
      </c>
      <c r="AR27" s="43" t="e" cm="1">
        <f t="array" aca="1" ref="AR27" ca="1">IF(LEFT(_xlfn.SINGLE(_xll.BDP(AR28, $E27)),1)="#", "-", _xll.BDP(AR28, $E27))</f>
        <v>#NAME?</v>
      </c>
      <c r="AS27" s="43" t="e" cm="1">
        <f t="array" aca="1" ref="AS27" ca="1">IF(LEFT(_xlfn.SINGLE(_xll.BDP(AS28, $E27)),1)="#", "-", _xll.BDP(AS28, $E27))</f>
        <v>#NAME?</v>
      </c>
      <c r="AT27" s="43" t="e" cm="1">
        <f t="array" aca="1" ref="AT27" ca="1">IF(LEFT(_xlfn.SINGLE(_xll.BDP(AT28, $E27)),1)="#", "-", _xll.BDP(AT28, $E27))</f>
        <v>#NAME?</v>
      </c>
      <c r="AU27" s="43" t="e" cm="1">
        <f t="array" aca="1" ref="AU27" ca="1">IF(LEFT(_xlfn.SINGLE(_xll.BDP(AU28, $E27)),1)="#", "-", _xll.BDP(AU28, $E27))</f>
        <v>#NAME?</v>
      </c>
      <c r="AV27" s="43" t="e" cm="1">
        <f t="array" aca="1" ref="AV27" ca="1">IF(LEFT(_xlfn.SINGLE(_xll.BDP(AV28, $E27)),1)="#", "-", _xll.BDP(AV28, $E27))</f>
        <v>#NAME?</v>
      </c>
      <c r="AW27" s="43" t="e" cm="1">
        <f t="array" aca="1" ref="AW27" ca="1">IF(LEFT(_xlfn.SINGLE(_xll.BDP(AW28, $E27)),1)="#", "-", _xll.BDP(AW28, $E27))</f>
        <v>#NAME?</v>
      </c>
      <c r="AX27" s="43" t="e" cm="1">
        <f t="array" aca="1" ref="AX27" ca="1">IF(LEFT(_xlfn.SINGLE(_xll.BDP(AX28, $E27)),1)="#", "-", _xll.BDP(AX28, $E27))</f>
        <v>#NAME?</v>
      </c>
      <c r="AY27" s="43" t="e" cm="1">
        <f t="array" aca="1" ref="AY27" ca="1">IF(LEFT(_xlfn.SINGLE(_xll.BDP(AY28, $E27)),1)="#", "-", _xll.BDP(AY28, $E27))</f>
        <v>#NAME?</v>
      </c>
      <c r="AZ27" s="43" t="e" cm="1">
        <f t="array" aca="1" ref="AZ27" ca="1">IF(LEFT(_xlfn.SINGLE(_xll.BDP(AZ28, $E27)),1)="#", "-", _xll.BDP(AZ28, $E27))</f>
        <v>#NAME?</v>
      </c>
      <c r="BA27" s="45" t="e" cm="1">
        <f t="array" aca="1" ref="BA27" ca="1">IF(LEFT(_xlfn.SINGLE(_xll.BDP(BA28, $E27)),1)="#", "-", _xll.BDP(BA28, $E27))</f>
        <v>#NAME?</v>
      </c>
    </row>
    <row r="28" spans="2:53" ht="15" customHeight="1">
      <c r="B28" s="40"/>
      <c r="C28" s="145" t="str">
        <f>trans_getMessage("","Curve Tickers",,LANG_ID)</f>
        <v>Curve Tickers</v>
      </c>
      <c r="D28" s="146"/>
      <c r="E28" s="50" t="s">
        <v>46</v>
      </c>
      <c r="F28" s="42" t="e" cm="1">
        <f t="array" aca="1" ref="F28" ca="1">_xll.BDS(E23,E28,"Dir=H",)</f>
        <v>#NAME?</v>
      </c>
      <c r="G28" s="42"/>
      <c r="H28" s="42"/>
      <c r="I28" s="42"/>
      <c r="J28" s="94"/>
      <c r="K28" s="94"/>
      <c r="L28" s="94"/>
      <c r="M28" s="94"/>
      <c r="N28" s="94"/>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4"/>
    </row>
    <row r="29" spans="2:53" ht="15" customHeight="1">
      <c r="C29" s="138" t="str">
        <f>trans_getMessage("","Rate",,LANG_ID)</f>
        <v>Rate</v>
      </c>
      <c r="D29" s="139"/>
      <c r="E29" s="51" t="s">
        <v>44</v>
      </c>
      <c r="F29" s="46" t="str" cm="1">
        <f t="array" aca="1" ref="F29" ca="1">IF(ISERROR(_xlfn.SINGLE(_xll.BDP(F28, $E29))*1), "-", _xll.BDP(F28, $E29))</f>
        <v>-</v>
      </c>
      <c r="G29" s="46" t="str" cm="1">
        <f t="array" aca="1" ref="G29" ca="1">IF(ISERROR(_xlfn.SINGLE(_xll.BDP(G28, $E29))*1), "-", _xll.BDP(G28, $E29))</f>
        <v>-</v>
      </c>
      <c r="H29" s="46" t="str" cm="1">
        <f t="array" aca="1" ref="H29" ca="1">IF(ISERROR(_xlfn.SINGLE(_xll.BDP(H28, $E29))*1), "-", _xll.BDP(H28, $E29))</f>
        <v>-</v>
      </c>
      <c r="I29" s="46" t="str" cm="1">
        <f t="array" aca="1" ref="I29" ca="1">IF(ISERROR(_xlfn.SINGLE(_xll.BDP(I28, $E29))*1), "-", _xll.BDP(I28, $E29))</f>
        <v>-</v>
      </c>
      <c r="J29" s="95" t="str" cm="1">
        <f t="array" aca="1" ref="J29" ca="1">IF(ISERROR(_xlfn.SINGLE(_xll.BDP(J28, $E29))*1), "-", _xll.BDP(J28, $E29))</f>
        <v>-</v>
      </c>
      <c r="K29" s="95" t="str" cm="1">
        <f t="array" aca="1" ref="K29" ca="1">IF(ISERROR(_xlfn.SINGLE(_xll.BDP(K28, $E29))*1), "-", _xll.BDP(K28, $E29))</f>
        <v>-</v>
      </c>
      <c r="L29" s="95" t="str" cm="1">
        <f t="array" aca="1" ref="L29" ca="1">IF(ISERROR(_xlfn.SINGLE(_xll.BDP(L28, $E29))*1), "-", _xll.BDP(L28, $E29))</f>
        <v>-</v>
      </c>
      <c r="M29" s="95" t="str" cm="1">
        <f t="array" aca="1" ref="M29" ca="1">IF(ISERROR(_xlfn.SINGLE(_xll.BDP(M28, $E29))*1), "-", _xll.BDP(M28, $E29))</f>
        <v>-</v>
      </c>
      <c r="N29" s="95" t="str" cm="1">
        <f t="array" aca="1" ref="N29" ca="1">IF(ISERROR(_xlfn.SINGLE(_xll.BDP(N28, $E29))*1), "-", _xll.BDP(N28, $E29))</f>
        <v>-</v>
      </c>
      <c r="O29" s="46" t="str" cm="1">
        <f t="array" aca="1" ref="O29" ca="1">IF(ISERROR(_xlfn.SINGLE(_xll.BDP(O28, $E29))*1), "-", _xll.BDP(O28, $E29))</f>
        <v>-</v>
      </c>
      <c r="P29" s="46" t="str" cm="1">
        <f t="array" aca="1" ref="P29" ca="1">IF(ISERROR(_xlfn.SINGLE(_xll.BDP(P28, $E29))*1), "-", _xll.BDP(P28, $E29))</f>
        <v>-</v>
      </c>
      <c r="Q29" s="46" t="str" cm="1">
        <f t="array" aca="1" ref="Q29" ca="1">IF(ISERROR(_xlfn.SINGLE(_xll.BDP(Q28, $E29))*1), "-", _xll.BDP(Q28, $E29))</f>
        <v>-</v>
      </c>
      <c r="R29" s="46" t="str" cm="1">
        <f t="array" aca="1" ref="R29" ca="1">IF(ISERROR(_xlfn.SINGLE(_xll.BDP(R28, $E29))*1), "-", _xll.BDP(R28, $E29))</f>
        <v>-</v>
      </c>
      <c r="S29" s="46" t="str" cm="1">
        <f t="array" aca="1" ref="S29" ca="1">IF(ISERROR(_xlfn.SINGLE(_xll.BDP(S28, $E29))*1), "-", _xll.BDP(S28, $E29))</f>
        <v>-</v>
      </c>
      <c r="T29" s="46" t="str" cm="1">
        <f t="array" aca="1" ref="T29" ca="1">IF(ISERROR(_xlfn.SINGLE(_xll.BDP(T28, $E29))*1), "-", _xll.BDP(T28, $E29))</f>
        <v>-</v>
      </c>
      <c r="U29" s="46" t="str" cm="1">
        <f t="array" aca="1" ref="U29" ca="1">IF(ISERROR(_xlfn.SINGLE(_xll.BDP(U28, $E29))*1), "-", _xll.BDP(U28, $E29))</f>
        <v>-</v>
      </c>
      <c r="V29" s="46" t="str" cm="1">
        <f t="array" aca="1" ref="V29" ca="1">IF(ISERROR(_xlfn.SINGLE(_xll.BDP(V28, $E29))*1), "-", _xll.BDP(V28, $E29))</f>
        <v>-</v>
      </c>
      <c r="W29" s="46" t="str" cm="1">
        <f t="array" aca="1" ref="W29" ca="1">IF(ISERROR(_xlfn.SINGLE(_xll.BDP(W28, $E29))*1), "-", _xll.BDP(W28, $E29))</f>
        <v>-</v>
      </c>
      <c r="X29" s="46" t="str" cm="1">
        <f t="array" aca="1" ref="X29" ca="1">IF(ISERROR(_xlfn.SINGLE(_xll.BDP(X28, $E29))*1), "-", _xll.BDP(X28, $E29))</f>
        <v>-</v>
      </c>
      <c r="Y29" s="46" t="str" cm="1">
        <f t="array" aca="1" ref="Y29" ca="1">IF(ISERROR(_xlfn.SINGLE(_xll.BDP(Y28, $E29))*1), "-", _xll.BDP(Y28, $E29))</f>
        <v>-</v>
      </c>
      <c r="Z29" s="46" t="str" cm="1">
        <f t="array" aca="1" ref="Z29" ca="1">IF(ISERROR(_xlfn.SINGLE(_xll.BDP(Z28, $E29))*1), "-", _xll.BDP(Z28, $E29))</f>
        <v>-</v>
      </c>
      <c r="AA29" s="46" t="str" cm="1">
        <f t="array" aca="1" ref="AA29" ca="1">IF(ISERROR(_xlfn.SINGLE(_xll.BDP(AA28, $E29))*1), "-", _xll.BDP(AA28, $E29))</f>
        <v>-</v>
      </c>
      <c r="AB29" s="46" t="str" cm="1">
        <f t="array" aca="1" ref="AB29" ca="1">IF(ISERROR(_xlfn.SINGLE(_xll.BDP(AB28, $E29))*1), "-", _xll.BDP(AB28, $E29))</f>
        <v>-</v>
      </c>
      <c r="AC29" s="46" t="str" cm="1">
        <f t="array" aca="1" ref="AC29" ca="1">IF(ISERROR(_xlfn.SINGLE(_xll.BDP(AC28, $E29))*1), "-", _xll.BDP(AC28, $E29))</f>
        <v>-</v>
      </c>
      <c r="AD29" s="46" t="str" cm="1">
        <f t="array" aca="1" ref="AD29" ca="1">IF(ISERROR(_xlfn.SINGLE(_xll.BDP(AD28, $E29))*1), "-", _xll.BDP(AD28, $E29))</f>
        <v>-</v>
      </c>
      <c r="AE29" s="46" t="str" cm="1">
        <f t="array" aca="1" ref="AE29" ca="1">IF(ISERROR(_xlfn.SINGLE(_xll.BDP(AE28, $E29))*1), "-", _xll.BDP(AE28, $E29))</f>
        <v>-</v>
      </c>
      <c r="AF29" s="46" t="str" cm="1">
        <f t="array" aca="1" ref="AF29" ca="1">IF(ISERROR(_xlfn.SINGLE(_xll.BDP(AF28, $E29))*1), "-", _xll.BDP(AF28, $E29))</f>
        <v>-</v>
      </c>
      <c r="AG29" s="46" t="str" cm="1">
        <f t="array" aca="1" ref="AG29" ca="1">IF(ISERROR(_xlfn.SINGLE(_xll.BDP(AG28, $E29))*1), "-", _xll.BDP(AG28, $E29))</f>
        <v>-</v>
      </c>
      <c r="AH29" s="46" t="str" cm="1">
        <f t="array" aca="1" ref="AH29" ca="1">IF(ISERROR(_xlfn.SINGLE(_xll.BDP(AH28, $E29))*1), "-", _xll.BDP(AH28, $E29))</f>
        <v>-</v>
      </c>
      <c r="AI29" s="46" t="str" cm="1">
        <f t="array" aca="1" ref="AI29" ca="1">IF(ISERROR(_xlfn.SINGLE(_xll.BDP(AI28, $E29))*1), "-", _xll.BDP(AI28, $E29))</f>
        <v>-</v>
      </c>
      <c r="AJ29" s="46" t="str" cm="1">
        <f t="array" aca="1" ref="AJ29" ca="1">IF(ISERROR(_xlfn.SINGLE(_xll.BDP(AJ28, $E29))*1), "-", _xll.BDP(AJ28, $E29))</f>
        <v>-</v>
      </c>
      <c r="AK29" s="46" t="str" cm="1">
        <f t="array" aca="1" ref="AK29" ca="1">IF(ISERROR(_xlfn.SINGLE(_xll.BDP(AK28, $E29))*1), "-", _xll.BDP(AK28, $E29))</f>
        <v>-</v>
      </c>
      <c r="AL29" s="46" t="str" cm="1">
        <f t="array" aca="1" ref="AL29" ca="1">IF(ISERROR(_xlfn.SINGLE(_xll.BDP(AL28, $E29))*1), "-", _xll.BDP(AL28, $E29))</f>
        <v>-</v>
      </c>
      <c r="AM29" s="46" t="str" cm="1">
        <f t="array" aca="1" ref="AM29" ca="1">IF(ISERROR(_xlfn.SINGLE(_xll.BDP(AM28, $E29))*1), "-", _xll.BDP(AM28, $E29))</f>
        <v>-</v>
      </c>
      <c r="AN29" s="46" t="str" cm="1">
        <f t="array" aca="1" ref="AN29" ca="1">IF(ISERROR(_xlfn.SINGLE(_xll.BDP(AN28, $E29))*1), "-", _xll.BDP(AN28, $E29))</f>
        <v>-</v>
      </c>
      <c r="AO29" s="46" t="str" cm="1">
        <f t="array" aca="1" ref="AO29" ca="1">IF(ISERROR(_xlfn.SINGLE(_xll.BDP(AO28, $E29))*1), "-", _xll.BDP(AO28, $E29))</f>
        <v>-</v>
      </c>
      <c r="AP29" s="46" t="str" cm="1">
        <f t="array" aca="1" ref="AP29" ca="1">IF(ISERROR(_xlfn.SINGLE(_xll.BDP(AP28, $E29))*1), "-", _xll.BDP(AP28, $E29))</f>
        <v>-</v>
      </c>
      <c r="AQ29" s="46" t="str" cm="1">
        <f t="array" aca="1" ref="AQ29" ca="1">IF(ISERROR(_xlfn.SINGLE(_xll.BDP(AQ28, $E29))*1), "-", _xll.BDP(AQ28, $E29))</f>
        <v>-</v>
      </c>
      <c r="AR29" s="46" t="str" cm="1">
        <f t="array" aca="1" ref="AR29" ca="1">IF(ISERROR(_xlfn.SINGLE(_xll.BDP(AR28, $E29))*1), "-", _xll.BDP(AR28, $E29))</f>
        <v>-</v>
      </c>
      <c r="AS29" s="46" t="str" cm="1">
        <f t="array" aca="1" ref="AS29" ca="1">IF(ISERROR(_xlfn.SINGLE(_xll.BDP(AS28, $E29))*1), "-", _xll.BDP(AS28, $E29))</f>
        <v>-</v>
      </c>
      <c r="AT29" s="46" t="str" cm="1">
        <f t="array" aca="1" ref="AT29" ca="1">IF(ISERROR(_xlfn.SINGLE(_xll.BDP(AT28, $E29))*1), "-", _xll.BDP(AT28, $E29))</f>
        <v>-</v>
      </c>
      <c r="AU29" s="46" t="str" cm="1">
        <f t="array" aca="1" ref="AU29" ca="1">IF(ISERROR(_xlfn.SINGLE(_xll.BDP(AU28, $E29))*1), "-", _xll.BDP(AU28, $E29))</f>
        <v>-</v>
      </c>
      <c r="AV29" s="46" t="str" cm="1">
        <f t="array" aca="1" ref="AV29" ca="1">IF(ISERROR(_xlfn.SINGLE(_xll.BDP(AV28, $E29))*1), "-", _xll.BDP(AV28, $E29))</f>
        <v>-</v>
      </c>
      <c r="AW29" s="46" t="str" cm="1">
        <f t="array" aca="1" ref="AW29" ca="1">IF(ISERROR(_xlfn.SINGLE(_xll.BDP(AW28, $E29))*1), "-", _xll.BDP(AW28, $E29))</f>
        <v>-</v>
      </c>
      <c r="AX29" s="46" t="str" cm="1">
        <f t="array" aca="1" ref="AX29" ca="1">IF(ISERROR(_xlfn.SINGLE(_xll.BDP(AX28, $E29))*1), "-", _xll.BDP(AX28, $E29))</f>
        <v>-</v>
      </c>
      <c r="AY29" s="46" t="str" cm="1">
        <f t="array" aca="1" ref="AY29" ca="1">IF(ISERROR(_xlfn.SINGLE(_xll.BDP(AY28, $E29))*1), "-", _xll.BDP(AY28, $E29))</f>
        <v>-</v>
      </c>
      <c r="AZ29" s="46" t="str" cm="1">
        <f t="array" aca="1" ref="AZ29" ca="1">IF(ISERROR(_xlfn.SINGLE(_xll.BDP(AZ28, $E29))*1), "-", _xll.BDP(AZ28, $E29))</f>
        <v>-</v>
      </c>
      <c r="BA29" s="47" t="str" cm="1">
        <f t="array" aca="1" ref="BA29" ca="1">IF(ISERROR(_xlfn.SINGLE(_xll.BDP(BA28, $E29))*1), "-", _xll.BDP(BA28, $E29))</f>
        <v>-</v>
      </c>
    </row>
    <row r="30" spans="2:53" ht="15" hidden="1" customHeight="1"/>
    <row r="31" spans="2:53" ht="15" hidden="1" customHeight="1"/>
    <row r="32" spans="2:53" ht="5.15" customHeight="1"/>
    <row r="33" spans="2:53" ht="15" customHeight="1">
      <c r="B33" s="38" t="s">
        <v>55</v>
      </c>
      <c r="C33" s="140" t="str">
        <f>trans_getMessage("","Curve Number",,LANG_ID)</f>
        <v>Curve Number</v>
      </c>
      <c r="D33" s="141"/>
      <c r="E33" s="142">
        <f>VLOOKUP(B33, 'Currency-Curve List'!$C$9:$E$103, 2, FALSE)</f>
        <v>89</v>
      </c>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4"/>
    </row>
    <row r="34" spans="2:53" ht="15" customHeight="1">
      <c r="C34" s="145" t="str">
        <f>trans_getMessage("","Curve Index",,LANG_ID)</f>
        <v>Curve Index</v>
      </c>
      <c r="D34" s="146"/>
      <c r="E34" s="147" t="str">
        <f>VLOOKUP(B33, 'Currency-Curve List'!$C$9:$E$103, 3, FALSE)</f>
        <v>YCSW0089 Index</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9"/>
    </row>
    <row r="35" spans="2:53" ht="15" customHeight="1">
      <c r="C35" s="145" t="str">
        <f>trans_getMessage("","Curve Name",,LANG_ID)</f>
        <v>Curve Name</v>
      </c>
      <c r="D35" s="146"/>
      <c r="E35" s="150" t="e" cm="1">
        <f t="array" aca="1" ref="E35" ca="1">_xll.BDP(E34, "NAME")</f>
        <v>#NAME?</v>
      </c>
      <c r="F35" s="151"/>
      <c r="G35" s="151"/>
      <c r="H35" s="151"/>
      <c r="I35" s="151"/>
      <c r="J35" s="151"/>
      <c r="K35" s="151"/>
      <c r="L35" s="151"/>
      <c r="M35" s="151"/>
      <c r="N35" s="151"/>
      <c r="O35" s="151"/>
      <c r="P35" s="151"/>
      <c r="Q35" s="151"/>
      <c r="R35" s="151"/>
      <c r="S35" s="151"/>
      <c r="T35" s="151"/>
      <c r="U35" s="151"/>
      <c r="V35" s="151"/>
      <c r="W35" s="151"/>
      <c r="X35" s="151"/>
      <c r="Y35" s="151"/>
      <c r="Z35" s="151"/>
      <c r="AA35" s="151"/>
      <c r="AB35" s="151"/>
      <c r="AC35" s="151"/>
      <c r="AD35" s="151"/>
      <c r="AE35" s="151"/>
      <c r="AF35" s="151"/>
      <c r="AG35" s="151"/>
      <c r="AH35" s="151"/>
      <c r="AI35" s="151"/>
      <c r="AJ35" s="151"/>
      <c r="AK35" s="151"/>
      <c r="AL35" s="151"/>
      <c r="AM35" s="151"/>
      <c r="AN35" s="151"/>
      <c r="AO35" s="151"/>
      <c r="AP35" s="151"/>
      <c r="AQ35" s="151"/>
      <c r="AR35" s="151"/>
      <c r="AS35" s="151"/>
      <c r="AT35" s="151"/>
      <c r="AU35" s="151"/>
      <c r="AV35" s="151"/>
      <c r="AW35" s="151"/>
      <c r="AX35" s="151"/>
      <c r="AY35" s="151"/>
      <c r="AZ35" s="151"/>
      <c r="BA35" s="152"/>
    </row>
    <row r="36" spans="2:53" ht="15" customHeight="1">
      <c r="C36" s="145" t="str">
        <f>trans_getMessage("","Tenors",,LANG_ID)</f>
        <v>Tenors</v>
      </c>
      <c r="D36" s="146"/>
      <c r="E36" s="48" t="s">
        <v>50</v>
      </c>
      <c r="F36" s="42" t="e" cm="1">
        <f t="array" aca="1" ref="F36" ca="1">_xll.BDS(E34,E36,"Dir=H",)</f>
        <v>#NAME?</v>
      </c>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2"/>
      <c r="BA36" s="44"/>
    </row>
    <row r="37" spans="2:53" ht="15" hidden="1" customHeight="1">
      <c r="C37" s="145" t="s">
        <v>2211</v>
      </c>
      <c r="D37" s="146"/>
      <c r="E37" s="48"/>
      <c r="F37" s="42" t="e">
        <f ca="1">IF(F36="","",IF(F36="12M","1Y",IF(F36="24M","2Y",F36)))</f>
        <v>#NAME?</v>
      </c>
      <c r="G37" s="42" t="str">
        <f t="shared" ref="G37" si="48">IF(G36="","",IF(G36="12M","1Y",IF(G36="24M","2Y",G36)))</f>
        <v/>
      </c>
      <c r="H37" s="42" t="str">
        <f t="shared" ref="H37" si="49">IF(H36="","",IF(H36="12M","1Y",IF(H36="24M","2Y",H36)))</f>
        <v/>
      </c>
      <c r="I37" s="42" t="str">
        <f t="shared" ref="I37" si="50">IF(I36="","",IF(I36="12M","1Y",IF(I36="24M","2Y",I36)))</f>
        <v/>
      </c>
      <c r="J37" s="42" t="str">
        <f t="shared" ref="J37" si="51">IF(J36="","",IF(J36="12M","1Y",IF(J36="24M","2Y",J36)))</f>
        <v/>
      </c>
      <c r="K37" s="42" t="str">
        <f t="shared" ref="K37" si="52">IF(K36="","",IF(K36="12M","1Y",IF(K36="24M","2Y",K36)))</f>
        <v/>
      </c>
      <c r="L37" s="42" t="str">
        <f t="shared" ref="L37" si="53">IF(L36="","",IF(L36="12M","1Y",IF(L36="24M","2Y",L36)))</f>
        <v/>
      </c>
      <c r="M37" s="42" t="str">
        <f t="shared" ref="M37" si="54">IF(M36="","",IF(M36="12M","1Y",IF(M36="24M","2Y",M36)))</f>
        <v/>
      </c>
      <c r="N37" s="42" t="str">
        <f t="shared" ref="N37" si="55">IF(N36="","",IF(N36="12M","1Y",IF(N36="24M","2Y",N36)))</f>
        <v/>
      </c>
      <c r="O37" s="42" t="str">
        <f t="shared" ref="O37" si="56">IF(O36="","",IF(O36="12M","1Y",IF(O36="24M","2Y",O36)))</f>
        <v/>
      </c>
      <c r="P37" s="42" t="str">
        <f t="shared" ref="P37" si="57">IF(P36="","",IF(P36="12M","1Y",IF(P36="24M","2Y",P36)))</f>
        <v/>
      </c>
      <c r="Q37" s="42" t="str">
        <f t="shared" ref="Q37" si="58">IF(Q36="","",IF(Q36="12M","1Y",IF(Q36="24M","2Y",Q36)))</f>
        <v/>
      </c>
      <c r="R37" s="42" t="str">
        <f t="shared" ref="R37" si="59">IF(R36="","",IF(R36="12M","1Y",IF(R36="24M","2Y",R36)))</f>
        <v/>
      </c>
      <c r="S37" s="42" t="str">
        <f t="shared" ref="S37" si="60">IF(S36="","",IF(S36="12M","1Y",IF(S36="24M","2Y",S36)))</f>
        <v/>
      </c>
      <c r="T37" s="42" t="str">
        <f t="shared" ref="T37" si="61">IF(T36="","",IF(T36="12M","1Y",IF(T36="24M","2Y",T36)))</f>
        <v/>
      </c>
      <c r="U37" s="42" t="str">
        <f t="shared" ref="U37" si="62">IF(U36="","",IF(U36="12M","1Y",IF(U36="24M","2Y",U36)))</f>
        <v/>
      </c>
      <c r="V37" s="42" t="str">
        <f t="shared" ref="V37" si="63">IF(V36="","",IF(V36="12M","1Y",IF(V36="24M","2Y",V36)))</f>
        <v/>
      </c>
      <c r="W37" s="42" t="str">
        <f t="shared" ref="W37" si="64">IF(W36="","",IF(W36="12M","1Y",IF(W36="24M","2Y",W36)))</f>
        <v/>
      </c>
      <c r="X37" s="42" t="str">
        <f t="shared" ref="X37" si="65">IF(X36="","",IF(X36="12M","1Y",IF(X36="24M","2Y",X36)))</f>
        <v/>
      </c>
      <c r="Y37" s="42" t="str">
        <f t="shared" ref="Y37" si="66">IF(Y36="","",IF(Y36="12M","1Y",IF(Y36="24M","2Y",Y36)))</f>
        <v/>
      </c>
      <c r="Z37" s="42" t="str">
        <f t="shared" ref="Z37" si="67">IF(Z36="","",IF(Z36="12M","1Y",IF(Z36="24M","2Y",Z36)))</f>
        <v/>
      </c>
      <c r="AA37" s="42" t="str">
        <f t="shared" ref="AA37" si="68">IF(AA36="","",IF(AA36="12M","1Y",IF(AA36="24M","2Y",AA36)))</f>
        <v/>
      </c>
      <c r="AB37" s="42" t="str">
        <f t="shared" ref="AB37" si="69">IF(AB36="","",IF(AB36="12M","1Y",IF(AB36="24M","2Y",AB36)))</f>
        <v/>
      </c>
      <c r="AC37" s="42" t="str">
        <f t="shared" ref="AC37" si="70">IF(AC36="","",IF(AC36="12M","1Y",IF(AC36="24M","2Y",AC36)))</f>
        <v/>
      </c>
      <c r="AD37" s="42" t="str">
        <f t="shared" ref="AD37" si="71">IF(AD36="","",IF(AD36="12M","1Y",IF(AD36="24M","2Y",AD36)))</f>
        <v/>
      </c>
      <c r="AE37" s="42" t="str">
        <f t="shared" ref="AE37" si="72">IF(AE36="","",IF(AE36="12M","1Y",IF(AE36="24M","2Y",AE36)))</f>
        <v/>
      </c>
      <c r="AF37" s="42" t="str">
        <f t="shared" ref="AF37" si="73">IF(AF36="","",IF(AF36="12M","1Y",IF(AF36="24M","2Y",AF36)))</f>
        <v/>
      </c>
      <c r="AG37" s="42" t="str">
        <f t="shared" ref="AG37" si="74">IF(AG36="","",IF(AG36="12M","1Y",IF(AG36="24M","2Y",AG36)))</f>
        <v/>
      </c>
      <c r="AH37" s="42" t="str">
        <f t="shared" ref="AH37" si="75">IF(AH36="","",IF(AH36="12M","1Y",IF(AH36="24M","2Y",AH36)))</f>
        <v/>
      </c>
      <c r="AI37" s="42" t="str">
        <f t="shared" ref="AI37" si="76">IF(AI36="","",IF(AI36="12M","1Y",IF(AI36="24M","2Y",AI36)))</f>
        <v/>
      </c>
      <c r="AJ37" s="42" t="str">
        <f t="shared" ref="AJ37" si="77">IF(AJ36="","",IF(AJ36="12M","1Y",IF(AJ36="24M","2Y",AJ36)))</f>
        <v/>
      </c>
      <c r="AK37" s="42" t="str">
        <f t="shared" ref="AK37" si="78">IF(AK36="","",IF(AK36="12M","1Y",IF(AK36="24M","2Y",AK36)))</f>
        <v/>
      </c>
      <c r="AL37" s="42" t="str">
        <f t="shared" ref="AL37" si="79">IF(AL36="","",IF(AL36="12M","1Y",IF(AL36="24M","2Y",AL36)))</f>
        <v/>
      </c>
      <c r="AM37" s="42" t="str">
        <f t="shared" ref="AM37" si="80">IF(AM36="","",IF(AM36="12M","1Y",IF(AM36="24M","2Y",AM36)))</f>
        <v/>
      </c>
      <c r="AN37" s="42" t="str">
        <f t="shared" ref="AN37" si="81">IF(AN36="","",IF(AN36="12M","1Y",IF(AN36="24M","2Y",AN36)))</f>
        <v/>
      </c>
      <c r="AO37" s="42" t="str">
        <f t="shared" ref="AO37" si="82">IF(AO36="","",IF(AO36="12M","1Y",IF(AO36="24M","2Y",AO36)))</f>
        <v/>
      </c>
      <c r="AP37" s="42" t="str">
        <f t="shared" ref="AP37" si="83">IF(AP36="","",IF(AP36="12M","1Y",IF(AP36="24M","2Y",AP36)))</f>
        <v/>
      </c>
      <c r="AQ37" s="42" t="str">
        <f t="shared" ref="AQ37" si="84">IF(AQ36="","",IF(AQ36="12M","1Y",IF(AQ36="24M","2Y",AQ36)))</f>
        <v/>
      </c>
      <c r="AR37" s="42" t="str">
        <f t="shared" ref="AR37" si="85">IF(AR36="","",IF(AR36="12M","1Y",IF(AR36="24M","2Y",AR36)))</f>
        <v/>
      </c>
      <c r="AS37" s="42" t="str">
        <f t="shared" ref="AS37" si="86">IF(AS36="","",IF(AS36="12M","1Y",IF(AS36="24M","2Y",AS36)))</f>
        <v/>
      </c>
      <c r="AT37" s="42" t="str">
        <f t="shared" ref="AT37" si="87">IF(AT36="","",IF(AT36="12M","1Y",IF(AT36="24M","2Y",AT36)))</f>
        <v/>
      </c>
      <c r="AU37" s="42" t="str">
        <f t="shared" ref="AU37" si="88">IF(AU36="","",IF(AU36="12M","1Y",IF(AU36="24M","2Y",AU36)))</f>
        <v/>
      </c>
      <c r="AV37" s="42" t="str">
        <f t="shared" ref="AV37" si="89">IF(AV36="","",IF(AV36="12M","1Y",IF(AV36="24M","2Y",AV36)))</f>
        <v/>
      </c>
      <c r="AW37" s="42" t="str">
        <f t="shared" ref="AW37" si="90">IF(AW36="","",IF(AW36="12M","1Y",IF(AW36="24M","2Y",AW36)))</f>
        <v/>
      </c>
      <c r="AX37" s="42" t="str">
        <f t="shared" ref="AX37" si="91">IF(AX36="","",IF(AX36="12M","1Y",IF(AX36="24M","2Y",AX36)))</f>
        <v/>
      </c>
      <c r="AY37" s="42" t="str">
        <f t="shared" ref="AY37" si="92">IF(AY36="","",IF(AY36="12M","1Y",IF(AY36="24M","2Y",AY36)))</f>
        <v/>
      </c>
      <c r="AZ37" s="42" t="str">
        <f t="shared" ref="AZ37" si="93">IF(AZ36="","",IF(AZ36="12M","1Y",IF(AZ36="24M","2Y",AZ36)))</f>
        <v/>
      </c>
      <c r="BA37" s="42" t="str">
        <f t="shared" ref="BA37" si="94">IF(BA36="","",IF(BA36="12M","1Y",IF(BA36="24M","2Y",BA36)))</f>
        <v/>
      </c>
    </row>
    <row r="38" spans="2:53" s="41" customFormat="1" ht="15" customHeight="1">
      <c r="B38" s="7"/>
      <c r="C38" s="153" t="str">
        <f>trans_getMessage("","Name",,LANG_ID)</f>
        <v>Name</v>
      </c>
      <c r="D38" s="154"/>
      <c r="E38" s="49" t="s">
        <v>49</v>
      </c>
      <c r="F38" s="43" t="e" cm="1">
        <f t="array" aca="1" ref="F38" ca="1">IF(LEFT(_xlfn.SINGLE(_xll.BDP(F39, $E38)),1)="#", "-", _xll.BDP(F39, $E38))</f>
        <v>#NAME?</v>
      </c>
      <c r="G38" s="43" t="e" cm="1">
        <f t="array" aca="1" ref="G38" ca="1">IF(LEFT(_xlfn.SINGLE(_xll.BDP(G39, $E38)),1)="#", "-", _xll.BDP(G39, $E38))</f>
        <v>#NAME?</v>
      </c>
      <c r="H38" s="43" t="e" cm="1">
        <f t="array" aca="1" ref="H38" ca="1">IF(LEFT(_xlfn.SINGLE(_xll.BDP(H39, $E38)),1)="#", "-", _xll.BDP(H39, $E38))</f>
        <v>#NAME?</v>
      </c>
      <c r="I38" s="43" t="e" cm="1">
        <f t="array" aca="1" ref="I38" ca="1">IF(LEFT(_xlfn.SINGLE(_xll.BDP(I39, $E38)),1)="#", "-", _xll.BDP(I39, $E38))</f>
        <v>#NAME?</v>
      </c>
      <c r="J38" s="43" t="e" cm="1">
        <f t="array" aca="1" ref="J38" ca="1">IF(LEFT(_xlfn.SINGLE(_xll.BDP(J39, $E38)),1)="#", "-", _xll.BDP(J39, $E38))</f>
        <v>#NAME?</v>
      </c>
      <c r="K38" s="43" t="e" cm="1">
        <f t="array" aca="1" ref="K38" ca="1">IF(LEFT(_xlfn.SINGLE(_xll.BDP(K39, $E38)),1)="#", "-", _xll.BDP(K39, $E38))</f>
        <v>#NAME?</v>
      </c>
      <c r="L38" s="43" t="e" cm="1">
        <f t="array" aca="1" ref="L38" ca="1">IF(LEFT(_xlfn.SINGLE(_xll.BDP(L39, $E38)),1)="#", "-", _xll.BDP(L39, $E38))</f>
        <v>#NAME?</v>
      </c>
      <c r="M38" s="43" t="e" cm="1">
        <f t="array" aca="1" ref="M38" ca="1">IF(LEFT(_xlfn.SINGLE(_xll.BDP(M39, $E38)),1)="#", "-", _xll.BDP(M39, $E38))</f>
        <v>#NAME?</v>
      </c>
      <c r="N38" s="43" t="e" cm="1">
        <f t="array" aca="1" ref="N38" ca="1">IF(LEFT(_xlfn.SINGLE(_xll.BDP(N39, $E38)),1)="#", "-", _xll.BDP(N39, $E38))</f>
        <v>#NAME?</v>
      </c>
      <c r="O38" s="43" t="e" cm="1">
        <f t="array" aca="1" ref="O38" ca="1">IF(LEFT(_xlfn.SINGLE(_xll.BDP(O39, $E38)),1)="#", "-", _xll.BDP(O39, $E38))</f>
        <v>#NAME?</v>
      </c>
      <c r="P38" s="43" t="e" cm="1">
        <f t="array" aca="1" ref="P38" ca="1">IF(LEFT(_xlfn.SINGLE(_xll.BDP(P39, $E38)),1)="#", "-", _xll.BDP(P39, $E38))</f>
        <v>#NAME?</v>
      </c>
      <c r="Q38" s="43" t="e" cm="1">
        <f t="array" aca="1" ref="Q38" ca="1">IF(LEFT(_xlfn.SINGLE(_xll.BDP(Q39, $E38)),1)="#", "-", _xll.BDP(Q39, $E38))</f>
        <v>#NAME?</v>
      </c>
      <c r="R38" s="43" t="e" cm="1">
        <f t="array" aca="1" ref="R38" ca="1">IF(LEFT(_xlfn.SINGLE(_xll.BDP(R39, $E38)),1)="#", "-", _xll.BDP(R39, $E38))</f>
        <v>#NAME?</v>
      </c>
      <c r="S38" s="43" t="e" cm="1">
        <f t="array" aca="1" ref="S38" ca="1">IF(LEFT(_xlfn.SINGLE(_xll.BDP(S39, $E38)),1)="#", "-", _xll.BDP(S39, $E38))</f>
        <v>#NAME?</v>
      </c>
      <c r="T38" s="43" t="e" cm="1">
        <f t="array" aca="1" ref="T38" ca="1">IF(LEFT(_xlfn.SINGLE(_xll.BDP(T39, $E38)),1)="#", "-", _xll.BDP(T39, $E38))</f>
        <v>#NAME?</v>
      </c>
      <c r="U38" s="43" t="e" cm="1">
        <f t="array" aca="1" ref="U38" ca="1">IF(LEFT(_xlfn.SINGLE(_xll.BDP(U39, $E38)),1)="#", "-", _xll.BDP(U39, $E38))</f>
        <v>#NAME?</v>
      </c>
      <c r="V38" s="43" t="e" cm="1">
        <f t="array" aca="1" ref="V38" ca="1">IF(LEFT(_xlfn.SINGLE(_xll.BDP(V39, $E38)),1)="#", "-", _xll.BDP(V39, $E38))</f>
        <v>#NAME?</v>
      </c>
      <c r="W38" s="43" t="e" cm="1">
        <f t="array" aca="1" ref="W38" ca="1">IF(LEFT(_xlfn.SINGLE(_xll.BDP(W39, $E38)),1)="#", "-", _xll.BDP(W39, $E38))</f>
        <v>#NAME?</v>
      </c>
      <c r="X38" s="43" t="e" cm="1">
        <f t="array" aca="1" ref="X38" ca="1">IF(LEFT(_xlfn.SINGLE(_xll.BDP(X39, $E38)),1)="#", "-", _xll.BDP(X39, $E38))</f>
        <v>#NAME?</v>
      </c>
      <c r="Y38" s="43" t="e" cm="1">
        <f t="array" aca="1" ref="Y38" ca="1">IF(LEFT(_xlfn.SINGLE(_xll.BDP(Y39, $E38)),1)="#", "-", _xll.BDP(Y39, $E38))</f>
        <v>#NAME?</v>
      </c>
      <c r="Z38" s="43" t="e" cm="1">
        <f t="array" aca="1" ref="Z38" ca="1">IF(LEFT(_xlfn.SINGLE(_xll.BDP(Z39, $E38)),1)="#", "-", _xll.BDP(Z39, $E38))</f>
        <v>#NAME?</v>
      </c>
      <c r="AA38" s="43" t="e" cm="1">
        <f t="array" aca="1" ref="AA38" ca="1">IF(LEFT(_xlfn.SINGLE(_xll.BDP(AA39, $E38)),1)="#", "-", _xll.BDP(AA39, $E38))</f>
        <v>#NAME?</v>
      </c>
      <c r="AB38" s="43" t="e" cm="1">
        <f t="array" aca="1" ref="AB38" ca="1">IF(LEFT(_xlfn.SINGLE(_xll.BDP(AB39, $E38)),1)="#", "-", _xll.BDP(AB39, $E38))</f>
        <v>#NAME?</v>
      </c>
      <c r="AC38" s="43" t="e" cm="1">
        <f t="array" aca="1" ref="AC38" ca="1">IF(LEFT(_xlfn.SINGLE(_xll.BDP(AC39, $E38)),1)="#", "-", _xll.BDP(AC39, $E38))</f>
        <v>#NAME?</v>
      </c>
      <c r="AD38" s="43" t="e" cm="1">
        <f t="array" aca="1" ref="AD38" ca="1">IF(LEFT(_xlfn.SINGLE(_xll.BDP(AD39, $E38)),1)="#", "-", _xll.BDP(AD39, $E38))</f>
        <v>#NAME?</v>
      </c>
      <c r="AE38" s="43" t="e" cm="1">
        <f t="array" aca="1" ref="AE38" ca="1">IF(LEFT(_xlfn.SINGLE(_xll.BDP(AE39, $E38)),1)="#", "-", _xll.BDP(AE39, $E38))</f>
        <v>#NAME?</v>
      </c>
      <c r="AF38" s="43" t="e" cm="1">
        <f t="array" aca="1" ref="AF38" ca="1">IF(LEFT(_xlfn.SINGLE(_xll.BDP(AF39, $E38)),1)="#", "-", _xll.BDP(AF39, $E38))</f>
        <v>#NAME?</v>
      </c>
      <c r="AG38" s="43" t="e" cm="1">
        <f t="array" aca="1" ref="AG38" ca="1">IF(LEFT(_xlfn.SINGLE(_xll.BDP(AG39, $E38)),1)="#", "-", _xll.BDP(AG39, $E38))</f>
        <v>#NAME?</v>
      </c>
      <c r="AH38" s="43" t="e" cm="1">
        <f t="array" aca="1" ref="AH38" ca="1">IF(LEFT(_xlfn.SINGLE(_xll.BDP(AH39, $E38)),1)="#", "-", _xll.BDP(AH39, $E38))</f>
        <v>#NAME?</v>
      </c>
      <c r="AI38" s="43" t="e" cm="1">
        <f t="array" aca="1" ref="AI38" ca="1">IF(LEFT(_xlfn.SINGLE(_xll.BDP(AI39, $E38)),1)="#", "-", _xll.BDP(AI39, $E38))</f>
        <v>#NAME?</v>
      </c>
      <c r="AJ38" s="43" t="e" cm="1">
        <f t="array" aca="1" ref="AJ38" ca="1">IF(LEFT(_xlfn.SINGLE(_xll.BDP(AJ39, $E38)),1)="#", "-", _xll.BDP(AJ39, $E38))</f>
        <v>#NAME?</v>
      </c>
      <c r="AK38" s="43" t="e" cm="1">
        <f t="array" aca="1" ref="AK38" ca="1">IF(LEFT(_xlfn.SINGLE(_xll.BDP(AK39, $E38)),1)="#", "-", _xll.BDP(AK39, $E38))</f>
        <v>#NAME?</v>
      </c>
      <c r="AL38" s="43" t="e" cm="1">
        <f t="array" aca="1" ref="AL38" ca="1">IF(LEFT(_xlfn.SINGLE(_xll.BDP(AL39, $E38)),1)="#", "-", _xll.BDP(AL39, $E38))</f>
        <v>#NAME?</v>
      </c>
      <c r="AM38" s="43" t="e" cm="1">
        <f t="array" aca="1" ref="AM38" ca="1">IF(LEFT(_xlfn.SINGLE(_xll.BDP(AM39, $E38)),1)="#", "-", _xll.BDP(AM39, $E38))</f>
        <v>#NAME?</v>
      </c>
      <c r="AN38" s="43" t="e" cm="1">
        <f t="array" aca="1" ref="AN38" ca="1">IF(LEFT(_xlfn.SINGLE(_xll.BDP(AN39, $E38)),1)="#", "-", _xll.BDP(AN39, $E38))</f>
        <v>#NAME?</v>
      </c>
      <c r="AO38" s="43" t="e" cm="1">
        <f t="array" aca="1" ref="AO38" ca="1">IF(LEFT(_xlfn.SINGLE(_xll.BDP(AO39, $E38)),1)="#", "-", _xll.BDP(AO39, $E38))</f>
        <v>#NAME?</v>
      </c>
      <c r="AP38" s="43" t="e" cm="1">
        <f t="array" aca="1" ref="AP38" ca="1">IF(LEFT(_xlfn.SINGLE(_xll.BDP(AP39, $E38)),1)="#", "-", _xll.BDP(AP39, $E38))</f>
        <v>#NAME?</v>
      </c>
      <c r="AQ38" s="43" t="e" cm="1">
        <f t="array" aca="1" ref="AQ38" ca="1">IF(LEFT(_xlfn.SINGLE(_xll.BDP(AQ39, $E38)),1)="#", "-", _xll.BDP(AQ39, $E38))</f>
        <v>#NAME?</v>
      </c>
      <c r="AR38" s="43" t="e" cm="1">
        <f t="array" aca="1" ref="AR38" ca="1">IF(LEFT(_xlfn.SINGLE(_xll.BDP(AR39, $E38)),1)="#", "-", _xll.BDP(AR39, $E38))</f>
        <v>#NAME?</v>
      </c>
      <c r="AS38" s="43" t="e" cm="1">
        <f t="array" aca="1" ref="AS38" ca="1">IF(LEFT(_xlfn.SINGLE(_xll.BDP(AS39, $E38)),1)="#", "-", _xll.BDP(AS39, $E38))</f>
        <v>#NAME?</v>
      </c>
      <c r="AT38" s="43" t="e" cm="1">
        <f t="array" aca="1" ref="AT38" ca="1">IF(LEFT(_xlfn.SINGLE(_xll.BDP(AT39, $E38)),1)="#", "-", _xll.BDP(AT39, $E38))</f>
        <v>#NAME?</v>
      </c>
      <c r="AU38" s="43" t="e" cm="1">
        <f t="array" aca="1" ref="AU38" ca="1">IF(LEFT(_xlfn.SINGLE(_xll.BDP(AU39, $E38)),1)="#", "-", _xll.BDP(AU39, $E38))</f>
        <v>#NAME?</v>
      </c>
      <c r="AV38" s="43" t="e" cm="1">
        <f t="array" aca="1" ref="AV38" ca="1">IF(LEFT(_xlfn.SINGLE(_xll.BDP(AV39, $E38)),1)="#", "-", _xll.BDP(AV39, $E38))</f>
        <v>#NAME?</v>
      </c>
      <c r="AW38" s="43" t="e" cm="1">
        <f t="array" aca="1" ref="AW38" ca="1">IF(LEFT(_xlfn.SINGLE(_xll.BDP(AW39, $E38)),1)="#", "-", _xll.BDP(AW39, $E38))</f>
        <v>#NAME?</v>
      </c>
      <c r="AX38" s="43" t="e" cm="1">
        <f t="array" aca="1" ref="AX38" ca="1">IF(LEFT(_xlfn.SINGLE(_xll.BDP(AX39, $E38)),1)="#", "-", _xll.BDP(AX39, $E38))</f>
        <v>#NAME?</v>
      </c>
      <c r="AY38" s="43" t="e" cm="1">
        <f t="array" aca="1" ref="AY38" ca="1">IF(LEFT(_xlfn.SINGLE(_xll.BDP(AY39, $E38)),1)="#", "-", _xll.BDP(AY39, $E38))</f>
        <v>#NAME?</v>
      </c>
      <c r="AZ38" s="43" t="e" cm="1">
        <f t="array" aca="1" ref="AZ38" ca="1">IF(LEFT(_xlfn.SINGLE(_xll.BDP(AZ39, $E38)),1)="#", "-", _xll.BDP(AZ39, $E38))</f>
        <v>#NAME?</v>
      </c>
      <c r="BA38" s="45" t="e" cm="1">
        <f t="array" aca="1" ref="BA38" ca="1">IF(LEFT(_xlfn.SINGLE(_xll.BDP(BA39, $E38)),1)="#", "-", _xll.BDP(BA39, $E38))</f>
        <v>#NAME?</v>
      </c>
    </row>
    <row r="39" spans="2:53" ht="15" customHeight="1">
      <c r="B39" s="40"/>
      <c r="C39" s="145" t="str">
        <f>trans_getMessage("","Curve Tickers",,LANG_ID)</f>
        <v>Curve Tickers</v>
      </c>
      <c r="D39" s="146"/>
      <c r="E39" s="50" t="s">
        <v>46</v>
      </c>
      <c r="F39" s="42" t="e" cm="1">
        <f t="array" aca="1" ref="F39" ca="1">_xll.BDS(E34,E39,"Dir=H",)</f>
        <v>#NAME?</v>
      </c>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4"/>
    </row>
    <row r="40" spans="2:53" ht="15" customHeight="1">
      <c r="C40" s="138" t="str">
        <f>trans_getMessage("","Rate",,LANG_ID)</f>
        <v>Rate</v>
      </c>
      <c r="D40" s="139"/>
      <c r="E40" s="51" t="s">
        <v>44</v>
      </c>
      <c r="F40" s="46" t="str" cm="1">
        <f t="array" aca="1" ref="F40" ca="1">IF(ISERROR(_xlfn.SINGLE(_xll.BDP(F39, $E40))*1), "-", _xll.BDP(F39, $E40))</f>
        <v>-</v>
      </c>
      <c r="G40" s="46" t="str" cm="1">
        <f t="array" aca="1" ref="G40" ca="1">IF(ISERROR(_xlfn.SINGLE(_xll.BDP(G39, $E40))*1), "-", _xll.BDP(G39, $E40))</f>
        <v>-</v>
      </c>
      <c r="H40" s="46" t="str" cm="1">
        <f t="array" aca="1" ref="H40" ca="1">IF(ISERROR(_xlfn.SINGLE(_xll.BDP(H39, $E40))*1), "-", _xll.BDP(H39, $E40))</f>
        <v>-</v>
      </c>
      <c r="I40" s="46" t="str" cm="1">
        <f t="array" aca="1" ref="I40" ca="1">IF(ISERROR(_xlfn.SINGLE(_xll.BDP(I39, $E40))*1), "-", _xll.BDP(I39, $E40))</f>
        <v>-</v>
      </c>
      <c r="J40" s="46" t="str" cm="1">
        <f t="array" aca="1" ref="J40" ca="1">IF(ISERROR(_xlfn.SINGLE(_xll.BDP(J39, $E40))*1), "-", _xll.BDP(J39, $E40))</f>
        <v>-</v>
      </c>
      <c r="K40" s="46" t="str" cm="1">
        <f t="array" aca="1" ref="K40" ca="1">IF(ISERROR(_xlfn.SINGLE(_xll.BDP(K39, $E40))*1), "-", _xll.BDP(K39, $E40))</f>
        <v>-</v>
      </c>
      <c r="L40" s="46" t="str" cm="1">
        <f t="array" aca="1" ref="L40" ca="1">IF(ISERROR(_xlfn.SINGLE(_xll.BDP(L39, $E40))*1), "-", _xll.BDP(L39, $E40))</f>
        <v>-</v>
      </c>
      <c r="M40" s="46" t="str" cm="1">
        <f t="array" aca="1" ref="M40" ca="1">IF(ISERROR(_xlfn.SINGLE(_xll.BDP(M39, $E40))*1), "-", _xll.BDP(M39, $E40))</f>
        <v>-</v>
      </c>
      <c r="N40" s="46" t="str" cm="1">
        <f t="array" aca="1" ref="N40" ca="1">IF(ISERROR(_xlfn.SINGLE(_xll.BDP(N39, $E40))*1), "-", _xll.BDP(N39, $E40))</f>
        <v>-</v>
      </c>
      <c r="O40" s="46" t="str" cm="1">
        <f t="array" aca="1" ref="O40" ca="1">IF(ISERROR(_xlfn.SINGLE(_xll.BDP(O39, $E40))*1), "-", _xll.BDP(O39, $E40))</f>
        <v>-</v>
      </c>
      <c r="P40" s="46" t="str" cm="1">
        <f t="array" aca="1" ref="P40" ca="1">IF(ISERROR(_xlfn.SINGLE(_xll.BDP(P39, $E40))*1), "-", _xll.BDP(P39, $E40))</f>
        <v>-</v>
      </c>
      <c r="Q40" s="46" t="str" cm="1">
        <f t="array" aca="1" ref="Q40" ca="1">IF(ISERROR(_xlfn.SINGLE(_xll.BDP(Q39, $E40))*1), "-", _xll.BDP(Q39, $E40))</f>
        <v>-</v>
      </c>
      <c r="R40" s="46" t="str" cm="1">
        <f t="array" aca="1" ref="R40" ca="1">IF(ISERROR(_xlfn.SINGLE(_xll.BDP(R39, $E40))*1), "-", _xll.BDP(R39, $E40))</f>
        <v>-</v>
      </c>
      <c r="S40" s="46" t="str" cm="1">
        <f t="array" aca="1" ref="S40" ca="1">IF(ISERROR(_xlfn.SINGLE(_xll.BDP(S39, $E40))*1), "-", _xll.BDP(S39, $E40))</f>
        <v>-</v>
      </c>
      <c r="T40" s="46" t="str" cm="1">
        <f t="array" aca="1" ref="T40" ca="1">IF(ISERROR(_xlfn.SINGLE(_xll.BDP(T39, $E40))*1), "-", _xll.BDP(T39, $E40))</f>
        <v>-</v>
      </c>
      <c r="U40" s="46" t="str" cm="1">
        <f t="array" aca="1" ref="U40" ca="1">IF(ISERROR(_xlfn.SINGLE(_xll.BDP(U39, $E40))*1), "-", _xll.BDP(U39, $E40))</f>
        <v>-</v>
      </c>
      <c r="V40" s="46" t="str" cm="1">
        <f t="array" aca="1" ref="V40" ca="1">IF(ISERROR(_xlfn.SINGLE(_xll.BDP(V39, $E40))*1), "-", _xll.BDP(V39, $E40))</f>
        <v>-</v>
      </c>
      <c r="W40" s="46" t="str" cm="1">
        <f t="array" aca="1" ref="W40" ca="1">IF(ISERROR(_xlfn.SINGLE(_xll.BDP(W39, $E40))*1), "-", _xll.BDP(W39, $E40))</f>
        <v>-</v>
      </c>
      <c r="X40" s="46" t="str" cm="1">
        <f t="array" aca="1" ref="X40" ca="1">IF(ISERROR(_xlfn.SINGLE(_xll.BDP(X39, $E40))*1), "-", _xll.BDP(X39, $E40))</f>
        <v>-</v>
      </c>
      <c r="Y40" s="46" t="str" cm="1">
        <f t="array" aca="1" ref="Y40" ca="1">IF(ISERROR(_xlfn.SINGLE(_xll.BDP(Y39, $E40))*1), "-", _xll.BDP(Y39, $E40))</f>
        <v>-</v>
      </c>
      <c r="Z40" s="46" t="str" cm="1">
        <f t="array" aca="1" ref="Z40" ca="1">IF(ISERROR(_xlfn.SINGLE(_xll.BDP(Z39, $E40))*1), "-", _xll.BDP(Z39, $E40))</f>
        <v>-</v>
      </c>
      <c r="AA40" s="46" t="str" cm="1">
        <f t="array" aca="1" ref="AA40" ca="1">IF(ISERROR(_xlfn.SINGLE(_xll.BDP(AA39, $E40))*1), "-", _xll.BDP(AA39, $E40))</f>
        <v>-</v>
      </c>
      <c r="AB40" s="46" t="str" cm="1">
        <f t="array" aca="1" ref="AB40" ca="1">IF(ISERROR(_xlfn.SINGLE(_xll.BDP(AB39, $E40))*1), "-", _xll.BDP(AB39, $E40))</f>
        <v>-</v>
      </c>
      <c r="AC40" s="46" t="str" cm="1">
        <f t="array" aca="1" ref="AC40" ca="1">IF(ISERROR(_xlfn.SINGLE(_xll.BDP(AC39, $E40))*1), "-", _xll.BDP(AC39, $E40))</f>
        <v>-</v>
      </c>
      <c r="AD40" s="46" t="str" cm="1">
        <f t="array" aca="1" ref="AD40" ca="1">IF(ISERROR(_xlfn.SINGLE(_xll.BDP(AD39, $E40))*1), "-", _xll.BDP(AD39, $E40))</f>
        <v>-</v>
      </c>
      <c r="AE40" s="46" t="str" cm="1">
        <f t="array" aca="1" ref="AE40" ca="1">IF(ISERROR(_xlfn.SINGLE(_xll.BDP(AE39, $E40))*1), "-", _xll.BDP(AE39, $E40))</f>
        <v>-</v>
      </c>
      <c r="AF40" s="46" t="str" cm="1">
        <f t="array" aca="1" ref="AF40" ca="1">IF(ISERROR(_xlfn.SINGLE(_xll.BDP(AF39, $E40))*1), "-", _xll.BDP(AF39, $E40))</f>
        <v>-</v>
      </c>
      <c r="AG40" s="46" t="str" cm="1">
        <f t="array" aca="1" ref="AG40" ca="1">IF(ISERROR(_xlfn.SINGLE(_xll.BDP(AG39, $E40))*1), "-", _xll.BDP(AG39, $E40))</f>
        <v>-</v>
      </c>
      <c r="AH40" s="46" t="str" cm="1">
        <f t="array" aca="1" ref="AH40" ca="1">IF(ISERROR(_xlfn.SINGLE(_xll.BDP(AH39, $E40))*1), "-", _xll.BDP(AH39, $E40))</f>
        <v>-</v>
      </c>
      <c r="AI40" s="46" t="str" cm="1">
        <f t="array" aca="1" ref="AI40" ca="1">IF(ISERROR(_xlfn.SINGLE(_xll.BDP(AI39, $E40))*1), "-", _xll.BDP(AI39, $E40))</f>
        <v>-</v>
      </c>
      <c r="AJ40" s="46" t="str" cm="1">
        <f t="array" aca="1" ref="AJ40" ca="1">IF(ISERROR(_xlfn.SINGLE(_xll.BDP(AJ39, $E40))*1), "-", _xll.BDP(AJ39, $E40))</f>
        <v>-</v>
      </c>
      <c r="AK40" s="46" t="str" cm="1">
        <f t="array" aca="1" ref="AK40" ca="1">IF(ISERROR(_xlfn.SINGLE(_xll.BDP(AK39, $E40))*1), "-", _xll.BDP(AK39, $E40))</f>
        <v>-</v>
      </c>
      <c r="AL40" s="46" t="str" cm="1">
        <f t="array" aca="1" ref="AL40" ca="1">IF(ISERROR(_xlfn.SINGLE(_xll.BDP(AL39, $E40))*1), "-", _xll.BDP(AL39, $E40))</f>
        <v>-</v>
      </c>
      <c r="AM40" s="46" t="str" cm="1">
        <f t="array" aca="1" ref="AM40" ca="1">IF(ISERROR(_xlfn.SINGLE(_xll.BDP(AM39, $E40))*1), "-", _xll.BDP(AM39, $E40))</f>
        <v>-</v>
      </c>
      <c r="AN40" s="46" t="str" cm="1">
        <f t="array" aca="1" ref="AN40" ca="1">IF(ISERROR(_xlfn.SINGLE(_xll.BDP(AN39, $E40))*1), "-", _xll.BDP(AN39, $E40))</f>
        <v>-</v>
      </c>
      <c r="AO40" s="46" t="str" cm="1">
        <f t="array" aca="1" ref="AO40" ca="1">IF(ISERROR(_xlfn.SINGLE(_xll.BDP(AO39, $E40))*1), "-", _xll.BDP(AO39, $E40))</f>
        <v>-</v>
      </c>
      <c r="AP40" s="46" t="str" cm="1">
        <f t="array" aca="1" ref="AP40" ca="1">IF(ISERROR(_xlfn.SINGLE(_xll.BDP(AP39, $E40))*1), "-", _xll.BDP(AP39, $E40))</f>
        <v>-</v>
      </c>
      <c r="AQ40" s="46" t="str" cm="1">
        <f t="array" aca="1" ref="AQ40" ca="1">IF(ISERROR(_xlfn.SINGLE(_xll.BDP(AQ39, $E40))*1), "-", _xll.BDP(AQ39, $E40))</f>
        <v>-</v>
      </c>
      <c r="AR40" s="46" t="str" cm="1">
        <f t="array" aca="1" ref="AR40" ca="1">IF(ISERROR(_xlfn.SINGLE(_xll.BDP(AR39, $E40))*1), "-", _xll.BDP(AR39, $E40))</f>
        <v>-</v>
      </c>
      <c r="AS40" s="46" t="str" cm="1">
        <f t="array" aca="1" ref="AS40" ca="1">IF(ISERROR(_xlfn.SINGLE(_xll.BDP(AS39, $E40))*1), "-", _xll.BDP(AS39, $E40))</f>
        <v>-</v>
      </c>
      <c r="AT40" s="46" t="str" cm="1">
        <f t="array" aca="1" ref="AT40" ca="1">IF(ISERROR(_xlfn.SINGLE(_xll.BDP(AT39, $E40))*1), "-", _xll.BDP(AT39, $E40))</f>
        <v>-</v>
      </c>
      <c r="AU40" s="46" t="str" cm="1">
        <f t="array" aca="1" ref="AU40" ca="1">IF(ISERROR(_xlfn.SINGLE(_xll.BDP(AU39, $E40))*1), "-", _xll.BDP(AU39, $E40))</f>
        <v>-</v>
      </c>
      <c r="AV40" s="46" t="str" cm="1">
        <f t="array" aca="1" ref="AV40" ca="1">IF(ISERROR(_xlfn.SINGLE(_xll.BDP(AV39, $E40))*1), "-", _xll.BDP(AV39, $E40))</f>
        <v>-</v>
      </c>
      <c r="AW40" s="46" t="str" cm="1">
        <f t="array" aca="1" ref="AW40" ca="1">IF(ISERROR(_xlfn.SINGLE(_xll.BDP(AW39, $E40))*1), "-", _xll.BDP(AW39, $E40))</f>
        <v>-</v>
      </c>
      <c r="AX40" s="46" t="str" cm="1">
        <f t="array" aca="1" ref="AX40" ca="1">IF(ISERROR(_xlfn.SINGLE(_xll.BDP(AX39, $E40))*1), "-", _xll.BDP(AX39, $E40))</f>
        <v>-</v>
      </c>
      <c r="AY40" s="46" t="str" cm="1">
        <f t="array" aca="1" ref="AY40" ca="1">IF(ISERROR(_xlfn.SINGLE(_xll.BDP(AY39, $E40))*1), "-", _xll.BDP(AY39, $E40))</f>
        <v>-</v>
      </c>
      <c r="AZ40" s="46" t="str" cm="1">
        <f t="array" aca="1" ref="AZ40" ca="1">IF(ISERROR(_xlfn.SINGLE(_xll.BDP(AZ39, $E40))*1), "-", _xll.BDP(AZ39, $E40))</f>
        <v>-</v>
      </c>
      <c r="BA40" s="47" t="str" cm="1">
        <f t="array" aca="1" ref="BA40" ca="1">IF(ISERROR(_xlfn.SINGLE(_xll.BDP(BA39, $E40))*1), "-", _xll.BDP(BA39, $E40))</f>
        <v>-</v>
      </c>
    </row>
    <row r="41" spans="2:53" ht="15" hidden="1" customHeight="1"/>
    <row r="42" spans="2:53" ht="5.15" customHeight="1"/>
    <row r="43" spans="2:53" ht="15" customHeight="1">
      <c r="B43" s="38" t="s">
        <v>28</v>
      </c>
      <c r="C43" s="140" t="str">
        <f>trans_getMessage("","Curve Number",,LANG_ID)</f>
        <v>Curve Number</v>
      </c>
      <c r="D43" s="141"/>
      <c r="E43" s="142">
        <f>VLOOKUP(B43, 'Currency-Curve List'!$C$9:$E$103, 2, FALSE)</f>
        <v>147</v>
      </c>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4"/>
    </row>
    <row r="44" spans="2:53" ht="15" customHeight="1">
      <c r="C44" s="145" t="str">
        <f>trans_getMessage("","Curve Index",,LANG_ID)</f>
        <v>Curve Index</v>
      </c>
      <c r="D44" s="146"/>
      <c r="E44" s="147" t="str">
        <f>VLOOKUP(B43, 'Currency-Curve List'!$C$9:$E$103, 3, FALSE)</f>
        <v>YCSW0147 Index</v>
      </c>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148"/>
      <c r="AM44" s="148"/>
      <c r="AN44" s="148"/>
      <c r="AO44" s="148"/>
      <c r="AP44" s="148"/>
      <c r="AQ44" s="148"/>
      <c r="AR44" s="148"/>
      <c r="AS44" s="148"/>
      <c r="AT44" s="148"/>
      <c r="AU44" s="148"/>
      <c r="AV44" s="148"/>
      <c r="AW44" s="148"/>
      <c r="AX44" s="148"/>
      <c r="AY44" s="148"/>
      <c r="AZ44" s="148"/>
      <c r="BA44" s="149"/>
    </row>
    <row r="45" spans="2:53" ht="15" customHeight="1">
      <c r="C45" s="145" t="str">
        <f>trans_getMessage("","Curve Name",,LANG_ID)</f>
        <v>Curve Name</v>
      </c>
      <c r="D45" s="146"/>
      <c r="E45" s="150" t="e" cm="1">
        <f t="array" aca="1" ref="E45" ca="1">_xll.BDP(E44, "NAME")</f>
        <v>#NAME?</v>
      </c>
      <c r="F45" s="151"/>
      <c r="G45" s="151"/>
      <c r="H45" s="151"/>
      <c r="I45" s="151"/>
      <c r="J45" s="151"/>
      <c r="K45" s="151"/>
      <c r="L45" s="151"/>
      <c r="M45" s="151"/>
      <c r="N45" s="151"/>
      <c r="O45" s="151"/>
      <c r="P45" s="151"/>
      <c r="Q45" s="151"/>
      <c r="R45" s="151"/>
      <c r="S45" s="151"/>
      <c r="T45" s="151"/>
      <c r="U45" s="151"/>
      <c r="V45" s="151"/>
      <c r="W45" s="151"/>
      <c r="X45" s="151"/>
      <c r="Y45" s="151"/>
      <c r="Z45" s="151"/>
      <c r="AA45" s="151"/>
      <c r="AB45" s="151"/>
      <c r="AC45" s="151"/>
      <c r="AD45" s="151"/>
      <c r="AE45" s="151"/>
      <c r="AF45" s="151"/>
      <c r="AG45" s="151"/>
      <c r="AH45" s="151"/>
      <c r="AI45" s="151"/>
      <c r="AJ45" s="151"/>
      <c r="AK45" s="151"/>
      <c r="AL45" s="151"/>
      <c r="AM45" s="151"/>
      <c r="AN45" s="151"/>
      <c r="AO45" s="151"/>
      <c r="AP45" s="151"/>
      <c r="AQ45" s="151"/>
      <c r="AR45" s="151"/>
      <c r="AS45" s="151"/>
      <c r="AT45" s="151"/>
      <c r="AU45" s="151"/>
      <c r="AV45" s="151"/>
      <c r="AW45" s="151"/>
      <c r="AX45" s="151"/>
      <c r="AY45" s="151"/>
      <c r="AZ45" s="151"/>
      <c r="BA45" s="152"/>
    </row>
    <row r="46" spans="2:53" ht="15" customHeight="1">
      <c r="C46" s="145" t="str">
        <f>trans_getMessage("","Tenors",,LANG_ID)</f>
        <v>Tenors</v>
      </c>
      <c r="D46" s="146"/>
      <c r="E46" s="48" t="s">
        <v>50</v>
      </c>
      <c r="F46" s="42" t="e" cm="1">
        <f t="array" aca="1" ref="F46" ca="1">_xll.BDS(E44,E46,"Dir=H",)</f>
        <v>#NAME?</v>
      </c>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42"/>
      <c r="AK46" s="42"/>
      <c r="AL46" s="42"/>
      <c r="AM46" s="42"/>
      <c r="AN46" s="42"/>
      <c r="AO46" s="42"/>
      <c r="AP46" s="42"/>
      <c r="AQ46" s="42"/>
      <c r="AR46" s="42"/>
      <c r="AS46" s="42"/>
      <c r="AT46" s="42"/>
      <c r="AU46" s="42"/>
      <c r="AV46" s="42"/>
      <c r="AW46" s="42"/>
      <c r="AX46" s="42"/>
      <c r="AY46" s="42"/>
      <c r="AZ46" s="42"/>
      <c r="BA46" s="44"/>
    </row>
    <row r="47" spans="2:53" ht="15" hidden="1" customHeight="1">
      <c r="C47" s="145" t="s">
        <v>2211</v>
      </c>
      <c r="D47" s="146"/>
      <c r="E47" s="48"/>
      <c r="F47" s="42" t="e">
        <f ca="1">IF(F46="","",IF(F46="12M","1Y",IF(F46="24M","2Y",F46)))</f>
        <v>#NAME?</v>
      </c>
      <c r="G47" s="42" t="str">
        <f t="shared" ref="G47" si="95">IF(G46="","",IF(G46="12M","1Y",IF(G46="24M","2Y",G46)))</f>
        <v/>
      </c>
      <c r="H47" s="42" t="str">
        <f t="shared" ref="H47" si="96">IF(H46="","",IF(H46="12M","1Y",IF(H46="24M","2Y",H46)))</f>
        <v/>
      </c>
      <c r="I47" s="42" t="str">
        <f t="shared" ref="I47" si="97">IF(I46="","",IF(I46="12M","1Y",IF(I46="24M","2Y",I46)))</f>
        <v/>
      </c>
      <c r="J47" s="42" t="str">
        <f t="shared" ref="J47" si="98">IF(J46="","",IF(J46="12M","1Y",IF(J46="24M","2Y",J46)))</f>
        <v/>
      </c>
      <c r="K47" s="42" t="str">
        <f t="shared" ref="K47" si="99">IF(K46="","",IF(K46="12M","1Y",IF(K46="24M","2Y",K46)))</f>
        <v/>
      </c>
      <c r="L47" s="42" t="str">
        <f t="shared" ref="L47" si="100">IF(L46="","",IF(L46="12M","1Y",IF(L46="24M","2Y",L46)))</f>
        <v/>
      </c>
      <c r="M47" s="42" t="str">
        <f t="shared" ref="M47" si="101">IF(M46="","",IF(M46="12M","1Y",IF(M46="24M","2Y",M46)))</f>
        <v/>
      </c>
      <c r="N47" s="42" t="str">
        <f t="shared" ref="N47" si="102">IF(N46="","",IF(N46="12M","1Y",IF(N46="24M","2Y",N46)))</f>
        <v/>
      </c>
      <c r="O47" s="42" t="str">
        <f t="shared" ref="O47" si="103">IF(O46="","",IF(O46="12M","1Y",IF(O46="24M","2Y",O46)))</f>
        <v/>
      </c>
      <c r="P47" s="42" t="str">
        <f t="shared" ref="P47" si="104">IF(P46="","",IF(P46="12M","1Y",IF(P46="24M","2Y",P46)))</f>
        <v/>
      </c>
      <c r="Q47" s="42" t="str">
        <f t="shared" ref="Q47" si="105">IF(Q46="","",IF(Q46="12M","1Y",IF(Q46="24M","2Y",Q46)))</f>
        <v/>
      </c>
      <c r="R47" s="42" t="str">
        <f t="shared" ref="R47" si="106">IF(R46="","",IF(R46="12M","1Y",IF(R46="24M","2Y",R46)))</f>
        <v/>
      </c>
      <c r="S47" s="42" t="str">
        <f t="shared" ref="S47" si="107">IF(S46="","",IF(S46="12M","1Y",IF(S46="24M","2Y",S46)))</f>
        <v/>
      </c>
      <c r="T47" s="42" t="str">
        <f t="shared" ref="T47" si="108">IF(T46="","",IF(T46="12M","1Y",IF(T46="24M","2Y",T46)))</f>
        <v/>
      </c>
      <c r="U47" s="42" t="str">
        <f t="shared" ref="U47" si="109">IF(U46="","",IF(U46="12M","1Y",IF(U46="24M","2Y",U46)))</f>
        <v/>
      </c>
      <c r="V47" s="42" t="str">
        <f t="shared" ref="V47" si="110">IF(V46="","",IF(V46="12M","1Y",IF(V46="24M","2Y",V46)))</f>
        <v/>
      </c>
      <c r="W47" s="42" t="str">
        <f t="shared" ref="W47" si="111">IF(W46="","",IF(W46="12M","1Y",IF(W46="24M","2Y",W46)))</f>
        <v/>
      </c>
      <c r="X47" s="42" t="str">
        <f t="shared" ref="X47" si="112">IF(X46="","",IF(X46="12M","1Y",IF(X46="24M","2Y",X46)))</f>
        <v/>
      </c>
      <c r="Y47" s="42" t="str">
        <f t="shared" ref="Y47" si="113">IF(Y46="","",IF(Y46="12M","1Y",IF(Y46="24M","2Y",Y46)))</f>
        <v/>
      </c>
      <c r="Z47" s="42" t="str">
        <f t="shared" ref="Z47" si="114">IF(Z46="","",IF(Z46="12M","1Y",IF(Z46="24M","2Y",Z46)))</f>
        <v/>
      </c>
      <c r="AA47" s="42" t="str">
        <f t="shared" ref="AA47" si="115">IF(AA46="","",IF(AA46="12M","1Y",IF(AA46="24M","2Y",AA46)))</f>
        <v/>
      </c>
      <c r="AB47" s="42" t="str">
        <f t="shared" ref="AB47" si="116">IF(AB46="","",IF(AB46="12M","1Y",IF(AB46="24M","2Y",AB46)))</f>
        <v/>
      </c>
      <c r="AC47" s="42" t="str">
        <f t="shared" ref="AC47" si="117">IF(AC46="","",IF(AC46="12M","1Y",IF(AC46="24M","2Y",AC46)))</f>
        <v/>
      </c>
      <c r="AD47" s="42" t="str">
        <f t="shared" ref="AD47" si="118">IF(AD46="","",IF(AD46="12M","1Y",IF(AD46="24M","2Y",AD46)))</f>
        <v/>
      </c>
      <c r="AE47" s="42" t="str">
        <f t="shared" ref="AE47" si="119">IF(AE46="","",IF(AE46="12M","1Y",IF(AE46="24M","2Y",AE46)))</f>
        <v/>
      </c>
      <c r="AF47" s="42" t="str">
        <f t="shared" ref="AF47" si="120">IF(AF46="","",IF(AF46="12M","1Y",IF(AF46="24M","2Y",AF46)))</f>
        <v/>
      </c>
      <c r="AG47" s="42" t="str">
        <f t="shared" ref="AG47" si="121">IF(AG46="","",IF(AG46="12M","1Y",IF(AG46="24M","2Y",AG46)))</f>
        <v/>
      </c>
      <c r="AH47" s="42" t="str">
        <f t="shared" ref="AH47" si="122">IF(AH46="","",IF(AH46="12M","1Y",IF(AH46="24M","2Y",AH46)))</f>
        <v/>
      </c>
      <c r="AI47" s="42" t="str">
        <f t="shared" ref="AI47" si="123">IF(AI46="","",IF(AI46="12M","1Y",IF(AI46="24M","2Y",AI46)))</f>
        <v/>
      </c>
      <c r="AJ47" s="42" t="str">
        <f t="shared" ref="AJ47" si="124">IF(AJ46="","",IF(AJ46="12M","1Y",IF(AJ46="24M","2Y",AJ46)))</f>
        <v/>
      </c>
      <c r="AK47" s="42" t="str">
        <f t="shared" ref="AK47" si="125">IF(AK46="","",IF(AK46="12M","1Y",IF(AK46="24M","2Y",AK46)))</f>
        <v/>
      </c>
      <c r="AL47" s="42" t="str">
        <f t="shared" ref="AL47" si="126">IF(AL46="","",IF(AL46="12M","1Y",IF(AL46="24M","2Y",AL46)))</f>
        <v/>
      </c>
      <c r="AM47" s="42" t="str">
        <f t="shared" ref="AM47" si="127">IF(AM46="","",IF(AM46="12M","1Y",IF(AM46="24M","2Y",AM46)))</f>
        <v/>
      </c>
      <c r="AN47" s="42" t="str">
        <f t="shared" ref="AN47" si="128">IF(AN46="","",IF(AN46="12M","1Y",IF(AN46="24M","2Y",AN46)))</f>
        <v/>
      </c>
      <c r="AO47" s="42" t="str">
        <f t="shared" ref="AO47" si="129">IF(AO46="","",IF(AO46="12M","1Y",IF(AO46="24M","2Y",AO46)))</f>
        <v/>
      </c>
      <c r="AP47" s="42" t="str">
        <f t="shared" ref="AP47" si="130">IF(AP46="","",IF(AP46="12M","1Y",IF(AP46="24M","2Y",AP46)))</f>
        <v/>
      </c>
      <c r="AQ47" s="42" t="str">
        <f t="shared" ref="AQ47" si="131">IF(AQ46="","",IF(AQ46="12M","1Y",IF(AQ46="24M","2Y",AQ46)))</f>
        <v/>
      </c>
      <c r="AR47" s="42" t="str">
        <f t="shared" ref="AR47" si="132">IF(AR46="","",IF(AR46="12M","1Y",IF(AR46="24M","2Y",AR46)))</f>
        <v/>
      </c>
      <c r="AS47" s="42" t="str">
        <f t="shared" ref="AS47" si="133">IF(AS46="","",IF(AS46="12M","1Y",IF(AS46="24M","2Y",AS46)))</f>
        <v/>
      </c>
      <c r="AT47" s="42" t="str">
        <f t="shared" ref="AT47" si="134">IF(AT46="","",IF(AT46="12M","1Y",IF(AT46="24M","2Y",AT46)))</f>
        <v/>
      </c>
      <c r="AU47" s="42" t="str">
        <f t="shared" ref="AU47" si="135">IF(AU46="","",IF(AU46="12M","1Y",IF(AU46="24M","2Y",AU46)))</f>
        <v/>
      </c>
      <c r="AV47" s="42" t="str">
        <f t="shared" ref="AV47" si="136">IF(AV46="","",IF(AV46="12M","1Y",IF(AV46="24M","2Y",AV46)))</f>
        <v/>
      </c>
      <c r="AW47" s="42" t="str">
        <f t="shared" ref="AW47" si="137">IF(AW46="","",IF(AW46="12M","1Y",IF(AW46="24M","2Y",AW46)))</f>
        <v/>
      </c>
      <c r="AX47" s="42" t="str">
        <f t="shared" ref="AX47" si="138">IF(AX46="","",IF(AX46="12M","1Y",IF(AX46="24M","2Y",AX46)))</f>
        <v/>
      </c>
      <c r="AY47" s="42" t="str">
        <f t="shared" ref="AY47" si="139">IF(AY46="","",IF(AY46="12M","1Y",IF(AY46="24M","2Y",AY46)))</f>
        <v/>
      </c>
      <c r="AZ47" s="42" t="str">
        <f t="shared" ref="AZ47" si="140">IF(AZ46="","",IF(AZ46="12M","1Y",IF(AZ46="24M","2Y",AZ46)))</f>
        <v/>
      </c>
      <c r="BA47" s="42" t="str">
        <f t="shared" ref="BA47" si="141">IF(BA46="","",IF(BA46="12M","1Y",IF(BA46="24M","2Y",BA46)))</f>
        <v/>
      </c>
    </row>
    <row r="48" spans="2:53" s="41" customFormat="1" ht="15" customHeight="1">
      <c r="B48" s="7"/>
      <c r="C48" s="153" t="str">
        <f>trans_getMessage("","Name",,LANG_ID)</f>
        <v>Name</v>
      </c>
      <c r="D48" s="154"/>
      <c r="E48" s="49" t="s">
        <v>49</v>
      </c>
      <c r="F48" s="43" t="e" cm="1">
        <f t="array" aca="1" ref="F48" ca="1">IF(LEFT(_xlfn.SINGLE(_xll.BDP(F49, $E48)),1)="#", "-", _xll.BDP(F49, $E48))</f>
        <v>#NAME?</v>
      </c>
      <c r="G48" s="43" t="e" cm="1">
        <f t="array" aca="1" ref="G48" ca="1">IF(LEFT(_xlfn.SINGLE(_xll.BDP(G49, $E48)),1)="#", "-", _xll.BDP(G49, $E48))</f>
        <v>#NAME?</v>
      </c>
      <c r="H48" s="43" t="e" cm="1">
        <f t="array" aca="1" ref="H48" ca="1">IF(LEFT(_xlfn.SINGLE(_xll.BDP(H49, $E48)),1)="#", "-", _xll.BDP(H49, $E48))</f>
        <v>#NAME?</v>
      </c>
      <c r="I48" s="43" t="e" cm="1">
        <f t="array" aca="1" ref="I48" ca="1">IF(LEFT(_xlfn.SINGLE(_xll.BDP(I49, $E48)),1)="#", "-", _xll.BDP(I49, $E48))</f>
        <v>#NAME?</v>
      </c>
      <c r="J48" s="43" t="e" cm="1">
        <f t="array" aca="1" ref="J48" ca="1">IF(LEFT(_xlfn.SINGLE(_xll.BDP(J49, $E48)),1)="#", "-", _xll.BDP(J49, $E48))</f>
        <v>#NAME?</v>
      </c>
      <c r="K48" s="43" t="e" cm="1">
        <f t="array" aca="1" ref="K48" ca="1">IF(LEFT(_xlfn.SINGLE(_xll.BDP(K49, $E48)),1)="#", "-", _xll.BDP(K49, $E48))</f>
        <v>#NAME?</v>
      </c>
      <c r="L48" s="43" t="e" cm="1">
        <f t="array" aca="1" ref="L48" ca="1">IF(LEFT(_xlfn.SINGLE(_xll.BDP(L49, $E48)),1)="#", "-", _xll.BDP(L49, $E48))</f>
        <v>#NAME?</v>
      </c>
      <c r="M48" s="43" t="e" cm="1">
        <f t="array" aca="1" ref="M48" ca="1">IF(LEFT(_xlfn.SINGLE(_xll.BDP(M49, $E48)),1)="#", "-", _xll.BDP(M49, $E48))</f>
        <v>#NAME?</v>
      </c>
      <c r="N48" s="43" t="e" cm="1">
        <f t="array" aca="1" ref="N48" ca="1">IF(LEFT(_xlfn.SINGLE(_xll.BDP(N49, $E48)),1)="#", "-", _xll.BDP(N49, $E48))</f>
        <v>#NAME?</v>
      </c>
      <c r="O48" s="43" t="e" cm="1">
        <f t="array" aca="1" ref="O48" ca="1">IF(LEFT(_xlfn.SINGLE(_xll.BDP(O49, $E48)),1)="#", "-", _xll.BDP(O49, $E48))</f>
        <v>#NAME?</v>
      </c>
      <c r="P48" s="43" t="e" cm="1">
        <f t="array" aca="1" ref="P48" ca="1">IF(LEFT(_xlfn.SINGLE(_xll.BDP(P49, $E48)),1)="#", "-", _xll.BDP(P49, $E48))</f>
        <v>#NAME?</v>
      </c>
      <c r="Q48" s="43" t="e" cm="1">
        <f t="array" aca="1" ref="Q48" ca="1">IF(LEFT(_xlfn.SINGLE(_xll.BDP(Q49, $E48)),1)="#", "-", _xll.BDP(Q49, $E48))</f>
        <v>#NAME?</v>
      </c>
      <c r="R48" s="43" t="e" cm="1">
        <f t="array" aca="1" ref="R48" ca="1">IF(LEFT(_xlfn.SINGLE(_xll.BDP(R49, $E48)),1)="#", "-", _xll.BDP(R49, $E48))</f>
        <v>#NAME?</v>
      </c>
      <c r="S48" s="43" t="e" cm="1">
        <f t="array" aca="1" ref="S48" ca="1">IF(LEFT(_xlfn.SINGLE(_xll.BDP(S49, $E48)),1)="#", "-", _xll.BDP(S49, $E48))</f>
        <v>#NAME?</v>
      </c>
      <c r="T48" s="43" t="e" cm="1">
        <f t="array" aca="1" ref="T48" ca="1">IF(LEFT(_xlfn.SINGLE(_xll.BDP(T49, $E48)),1)="#", "-", _xll.BDP(T49, $E48))</f>
        <v>#NAME?</v>
      </c>
      <c r="U48" s="43" t="e" cm="1">
        <f t="array" aca="1" ref="U48" ca="1">IF(LEFT(_xlfn.SINGLE(_xll.BDP(U49, $E48)),1)="#", "-", _xll.BDP(U49, $E48))</f>
        <v>#NAME?</v>
      </c>
      <c r="V48" s="43" t="e" cm="1">
        <f t="array" aca="1" ref="V48" ca="1">IF(LEFT(_xlfn.SINGLE(_xll.BDP(V49, $E48)),1)="#", "-", _xll.BDP(V49, $E48))</f>
        <v>#NAME?</v>
      </c>
      <c r="W48" s="43" t="e" cm="1">
        <f t="array" aca="1" ref="W48" ca="1">IF(LEFT(_xlfn.SINGLE(_xll.BDP(W49, $E48)),1)="#", "-", _xll.BDP(W49, $E48))</f>
        <v>#NAME?</v>
      </c>
      <c r="X48" s="43" t="e" cm="1">
        <f t="array" aca="1" ref="X48" ca="1">IF(LEFT(_xlfn.SINGLE(_xll.BDP(X49, $E48)),1)="#", "-", _xll.BDP(X49, $E48))</f>
        <v>#NAME?</v>
      </c>
      <c r="Y48" s="43" t="e" cm="1">
        <f t="array" aca="1" ref="Y48" ca="1">IF(LEFT(_xlfn.SINGLE(_xll.BDP(Y49, $E48)),1)="#", "-", _xll.BDP(Y49, $E48))</f>
        <v>#NAME?</v>
      </c>
      <c r="Z48" s="43" t="e" cm="1">
        <f t="array" aca="1" ref="Z48" ca="1">IF(LEFT(_xlfn.SINGLE(_xll.BDP(Z49, $E48)),1)="#", "-", _xll.BDP(Z49, $E48))</f>
        <v>#NAME?</v>
      </c>
      <c r="AA48" s="43" t="e" cm="1">
        <f t="array" aca="1" ref="AA48" ca="1">IF(LEFT(_xlfn.SINGLE(_xll.BDP(AA49, $E48)),1)="#", "-", _xll.BDP(AA49, $E48))</f>
        <v>#NAME?</v>
      </c>
      <c r="AB48" s="43" t="e" cm="1">
        <f t="array" aca="1" ref="AB48" ca="1">IF(LEFT(_xlfn.SINGLE(_xll.BDP(AB49, $E48)),1)="#", "-", _xll.BDP(AB49, $E48))</f>
        <v>#NAME?</v>
      </c>
      <c r="AC48" s="43" t="e" cm="1">
        <f t="array" aca="1" ref="AC48" ca="1">IF(LEFT(_xlfn.SINGLE(_xll.BDP(AC49, $E48)),1)="#", "-", _xll.BDP(AC49, $E48))</f>
        <v>#NAME?</v>
      </c>
      <c r="AD48" s="43" t="e" cm="1">
        <f t="array" aca="1" ref="AD48" ca="1">IF(LEFT(_xlfn.SINGLE(_xll.BDP(AD49, $E48)),1)="#", "-", _xll.BDP(AD49, $E48))</f>
        <v>#NAME?</v>
      </c>
      <c r="AE48" s="43" t="e" cm="1">
        <f t="array" aca="1" ref="AE48" ca="1">IF(LEFT(_xlfn.SINGLE(_xll.BDP(AE49, $E48)),1)="#", "-", _xll.BDP(AE49, $E48))</f>
        <v>#NAME?</v>
      </c>
      <c r="AF48" s="43" t="e" cm="1">
        <f t="array" aca="1" ref="AF48" ca="1">IF(LEFT(_xlfn.SINGLE(_xll.BDP(AF49, $E48)),1)="#", "-", _xll.BDP(AF49, $E48))</f>
        <v>#NAME?</v>
      </c>
      <c r="AG48" s="43" t="e" cm="1">
        <f t="array" aca="1" ref="AG48" ca="1">IF(LEFT(_xlfn.SINGLE(_xll.BDP(AG49, $E48)),1)="#", "-", _xll.BDP(AG49, $E48))</f>
        <v>#NAME?</v>
      </c>
      <c r="AH48" s="43" t="e" cm="1">
        <f t="array" aca="1" ref="AH48" ca="1">IF(LEFT(_xlfn.SINGLE(_xll.BDP(AH49, $E48)),1)="#", "-", _xll.BDP(AH49, $E48))</f>
        <v>#NAME?</v>
      </c>
      <c r="AI48" s="43" t="e" cm="1">
        <f t="array" aca="1" ref="AI48" ca="1">IF(LEFT(_xlfn.SINGLE(_xll.BDP(AI49, $E48)),1)="#", "-", _xll.BDP(AI49, $E48))</f>
        <v>#NAME?</v>
      </c>
      <c r="AJ48" s="43" t="e" cm="1">
        <f t="array" aca="1" ref="AJ48" ca="1">IF(LEFT(_xlfn.SINGLE(_xll.BDP(AJ49, $E48)),1)="#", "-", _xll.BDP(AJ49, $E48))</f>
        <v>#NAME?</v>
      </c>
      <c r="AK48" s="43" t="e" cm="1">
        <f t="array" aca="1" ref="AK48" ca="1">IF(LEFT(_xlfn.SINGLE(_xll.BDP(AK49, $E48)),1)="#", "-", _xll.BDP(AK49, $E48))</f>
        <v>#NAME?</v>
      </c>
      <c r="AL48" s="43" t="e" cm="1">
        <f t="array" aca="1" ref="AL48" ca="1">IF(LEFT(_xlfn.SINGLE(_xll.BDP(AL49, $E48)),1)="#", "-", _xll.BDP(AL49, $E48))</f>
        <v>#NAME?</v>
      </c>
      <c r="AM48" s="43" t="e" cm="1">
        <f t="array" aca="1" ref="AM48" ca="1">IF(LEFT(_xlfn.SINGLE(_xll.BDP(AM49, $E48)),1)="#", "-", _xll.BDP(AM49, $E48))</f>
        <v>#NAME?</v>
      </c>
      <c r="AN48" s="43" t="e" cm="1">
        <f t="array" aca="1" ref="AN48" ca="1">IF(LEFT(_xlfn.SINGLE(_xll.BDP(AN49, $E48)),1)="#", "-", _xll.BDP(AN49, $E48))</f>
        <v>#NAME?</v>
      </c>
      <c r="AO48" s="43" t="e" cm="1">
        <f t="array" aca="1" ref="AO48" ca="1">IF(LEFT(_xlfn.SINGLE(_xll.BDP(AO49, $E48)),1)="#", "-", _xll.BDP(AO49, $E48))</f>
        <v>#NAME?</v>
      </c>
      <c r="AP48" s="43" t="e" cm="1">
        <f t="array" aca="1" ref="AP48" ca="1">IF(LEFT(_xlfn.SINGLE(_xll.BDP(AP49, $E48)),1)="#", "-", _xll.BDP(AP49, $E48))</f>
        <v>#NAME?</v>
      </c>
      <c r="AQ48" s="43" t="e" cm="1">
        <f t="array" aca="1" ref="AQ48" ca="1">IF(LEFT(_xlfn.SINGLE(_xll.BDP(AQ49, $E48)),1)="#", "-", _xll.BDP(AQ49, $E48))</f>
        <v>#NAME?</v>
      </c>
      <c r="AR48" s="43" t="e" cm="1">
        <f t="array" aca="1" ref="AR48" ca="1">IF(LEFT(_xlfn.SINGLE(_xll.BDP(AR49, $E48)),1)="#", "-", _xll.BDP(AR49, $E48))</f>
        <v>#NAME?</v>
      </c>
      <c r="AS48" s="43" t="e" cm="1">
        <f t="array" aca="1" ref="AS48" ca="1">IF(LEFT(_xlfn.SINGLE(_xll.BDP(AS49, $E48)),1)="#", "-", _xll.BDP(AS49, $E48))</f>
        <v>#NAME?</v>
      </c>
      <c r="AT48" s="43" t="e" cm="1">
        <f t="array" aca="1" ref="AT48" ca="1">IF(LEFT(_xlfn.SINGLE(_xll.BDP(AT49, $E48)),1)="#", "-", _xll.BDP(AT49, $E48))</f>
        <v>#NAME?</v>
      </c>
      <c r="AU48" s="43" t="e" cm="1">
        <f t="array" aca="1" ref="AU48" ca="1">IF(LEFT(_xlfn.SINGLE(_xll.BDP(AU49, $E48)),1)="#", "-", _xll.BDP(AU49, $E48))</f>
        <v>#NAME?</v>
      </c>
      <c r="AV48" s="43" t="e" cm="1">
        <f t="array" aca="1" ref="AV48" ca="1">IF(LEFT(_xlfn.SINGLE(_xll.BDP(AV49, $E48)),1)="#", "-", _xll.BDP(AV49, $E48))</f>
        <v>#NAME?</v>
      </c>
      <c r="AW48" s="43" t="e" cm="1">
        <f t="array" aca="1" ref="AW48" ca="1">IF(LEFT(_xlfn.SINGLE(_xll.BDP(AW49, $E48)),1)="#", "-", _xll.BDP(AW49, $E48))</f>
        <v>#NAME?</v>
      </c>
      <c r="AX48" s="43" t="e" cm="1">
        <f t="array" aca="1" ref="AX48" ca="1">IF(LEFT(_xlfn.SINGLE(_xll.BDP(AX49, $E48)),1)="#", "-", _xll.BDP(AX49, $E48))</f>
        <v>#NAME?</v>
      </c>
      <c r="AY48" s="43" t="e" cm="1">
        <f t="array" aca="1" ref="AY48" ca="1">IF(LEFT(_xlfn.SINGLE(_xll.BDP(AY49, $E48)),1)="#", "-", _xll.BDP(AY49, $E48))</f>
        <v>#NAME?</v>
      </c>
      <c r="AZ48" s="43" t="e" cm="1">
        <f t="array" aca="1" ref="AZ48" ca="1">IF(LEFT(_xlfn.SINGLE(_xll.BDP(AZ49, $E48)),1)="#", "-", _xll.BDP(AZ49, $E48))</f>
        <v>#NAME?</v>
      </c>
      <c r="BA48" s="45" t="e" cm="1">
        <f t="array" aca="1" ref="BA48" ca="1">IF(LEFT(_xlfn.SINGLE(_xll.BDP(BA49, $E48)),1)="#", "-", _xll.BDP(BA49, $E48))</f>
        <v>#NAME?</v>
      </c>
    </row>
    <row r="49" spans="2:53" ht="15" customHeight="1">
      <c r="B49" s="40"/>
      <c r="C49" s="145" t="str">
        <f>trans_getMessage("","Curve Tickers",,LANG_ID)</f>
        <v>Curve Tickers</v>
      </c>
      <c r="D49" s="146"/>
      <c r="E49" s="50" t="s">
        <v>46</v>
      </c>
      <c r="F49" s="42" t="e" cm="1">
        <f t="array" aca="1" ref="F49" ca="1">_xll.BDS(E44,E49,"Dir=H",)</f>
        <v>#NAME?</v>
      </c>
      <c r="G49" s="94"/>
      <c r="H49" s="94"/>
      <c r="I49" s="94"/>
      <c r="J49" s="94"/>
      <c r="K49" s="94"/>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42"/>
      <c r="AK49" s="42"/>
      <c r="AL49" s="42"/>
      <c r="AM49" s="42"/>
      <c r="AN49" s="42"/>
      <c r="AO49" s="42"/>
      <c r="AP49" s="42"/>
      <c r="AQ49" s="42"/>
      <c r="AR49" s="42"/>
      <c r="AS49" s="42"/>
      <c r="AT49" s="42"/>
      <c r="AU49" s="42"/>
      <c r="AV49" s="42"/>
      <c r="AW49" s="42"/>
      <c r="AX49" s="42"/>
      <c r="AY49" s="42"/>
      <c r="AZ49" s="42"/>
      <c r="BA49" s="44"/>
    </row>
    <row r="50" spans="2:53" ht="15" customHeight="1">
      <c r="C50" s="138" t="str">
        <f>trans_getMessage("","Rate",,LANG_ID)</f>
        <v>Rate</v>
      </c>
      <c r="D50" s="139"/>
      <c r="E50" s="51" t="s">
        <v>44</v>
      </c>
      <c r="F50" s="46" t="str" cm="1">
        <f t="array" aca="1" ref="F50" ca="1">IF(ISERROR(_xlfn.SINGLE(_xll.BDP(F49, $E50))*1), "-", _xll.BDP(F49, $E50))</f>
        <v>-</v>
      </c>
      <c r="G50" s="95" t="str" cm="1">
        <f t="array" aca="1" ref="G50" ca="1">IF(ISERROR(_xlfn.SINGLE(_xll.BDP(G49, $E50))*1), "-", _xll.BDP(G49, $E50))</f>
        <v>-</v>
      </c>
      <c r="H50" s="95" t="str" cm="1">
        <f t="array" aca="1" ref="H50" ca="1">IF(ISERROR(_xlfn.SINGLE(_xll.BDP(H49, $E50))*1), "-", _xll.BDP(H49, $E50))</f>
        <v>-</v>
      </c>
      <c r="I50" s="95" t="str" cm="1">
        <f t="array" aca="1" ref="I50" ca="1">IF(ISERROR(_xlfn.SINGLE(_xll.BDP(I49, $E50))*1), "-", _xll.BDP(I49, $E50))</f>
        <v>-</v>
      </c>
      <c r="J50" s="95" t="str" cm="1">
        <f t="array" aca="1" ref="J50" ca="1">IF(ISERROR(_xlfn.SINGLE(_xll.BDP(J49, $E50))*1), "-", _xll.BDP(J49, $E50))</f>
        <v>-</v>
      </c>
      <c r="K50" s="95" t="str" cm="1">
        <f t="array" aca="1" ref="K50" ca="1">IF(ISERROR(_xlfn.SINGLE(_xll.BDP(K49, $E50))*1), "-", _xll.BDP(K49, $E50))</f>
        <v>-</v>
      </c>
      <c r="L50" s="46" t="str" cm="1">
        <f t="array" aca="1" ref="L50" ca="1">IF(ISERROR(_xlfn.SINGLE(_xll.BDP(L49, $E50))*1), "-", _xll.BDP(L49, $E50))</f>
        <v>-</v>
      </c>
      <c r="M50" s="46" t="str" cm="1">
        <f t="array" aca="1" ref="M50" ca="1">IF(ISERROR(_xlfn.SINGLE(_xll.BDP(M49, $E50))*1), "-", _xll.BDP(M49, $E50))</f>
        <v>-</v>
      </c>
      <c r="N50" s="46" t="str" cm="1">
        <f t="array" aca="1" ref="N50" ca="1">IF(ISERROR(_xlfn.SINGLE(_xll.BDP(N49, $E50))*1), "-", _xll.BDP(N49, $E50))</f>
        <v>-</v>
      </c>
      <c r="O50" s="46" t="str" cm="1">
        <f t="array" aca="1" ref="O50" ca="1">IF(ISERROR(_xlfn.SINGLE(_xll.BDP(O49, $E50))*1), "-", _xll.BDP(O49, $E50))</f>
        <v>-</v>
      </c>
      <c r="P50" s="46" t="str" cm="1">
        <f t="array" aca="1" ref="P50" ca="1">IF(ISERROR(_xlfn.SINGLE(_xll.BDP(P49, $E50))*1), "-", _xll.BDP(P49, $E50))</f>
        <v>-</v>
      </c>
      <c r="Q50" s="46" t="str" cm="1">
        <f t="array" aca="1" ref="Q50" ca="1">IF(ISERROR(_xlfn.SINGLE(_xll.BDP(Q49, $E50))*1), "-", _xll.BDP(Q49, $E50))</f>
        <v>-</v>
      </c>
      <c r="R50" s="46" t="str" cm="1">
        <f t="array" aca="1" ref="R50" ca="1">IF(ISERROR(_xlfn.SINGLE(_xll.BDP(R49, $E50))*1), "-", _xll.BDP(R49, $E50))</f>
        <v>-</v>
      </c>
      <c r="S50" s="46" t="str" cm="1">
        <f t="array" aca="1" ref="S50" ca="1">IF(ISERROR(_xlfn.SINGLE(_xll.BDP(S49, $E50))*1), "-", _xll.BDP(S49, $E50))</f>
        <v>-</v>
      </c>
      <c r="T50" s="46" t="str" cm="1">
        <f t="array" aca="1" ref="T50" ca="1">IF(ISERROR(_xlfn.SINGLE(_xll.BDP(T49, $E50))*1), "-", _xll.BDP(T49, $E50))</f>
        <v>-</v>
      </c>
      <c r="U50" s="46" t="str" cm="1">
        <f t="array" aca="1" ref="U50" ca="1">IF(ISERROR(_xlfn.SINGLE(_xll.BDP(U49, $E50))*1), "-", _xll.BDP(U49, $E50))</f>
        <v>-</v>
      </c>
      <c r="V50" s="46" t="str" cm="1">
        <f t="array" aca="1" ref="V50" ca="1">IF(ISERROR(_xlfn.SINGLE(_xll.BDP(V49, $E50))*1), "-", _xll.BDP(V49, $E50))</f>
        <v>-</v>
      </c>
      <c r="W50" s="46" t="str" cm="1">
        <f t="array" aca="1" ref="W50" ca="1">IF(ISERROR(_xlfn.SINGLE(_xll.BDP(W49, $E50))*1), "-", _xll.BDP(W49, $E50))</f>
        <v>-</v>
      </c>
      <c r="X50" s="46" t="str" cm="1">
        <f t="array" aca="1" ref="X50" ca="1">IF(ISERROR(_xlfn.SINGLE(_xll.BDP(X49, $E50))*1), "-", _xll.BDP(X49, $E50))</f>
        <v>-</v>
      </c>
      <c r="Y50" s="46" t="str" cm="1">
        <f t="array" aca="1" ref="Y50" ca="1">IF(ISERROR(_xlfn.SINGLE(_xll.BDP(Y49, $E50))*1), "-", _xll.BDP(Y49, $E50))</f>
        <v>-</v>
      </c>
      <c r="Z50" s="46" t="str" cm="1">
        <f t="array" aca="1" ref="Z50" ca="1">IF(ISERROR(_xlfn.SINGLE(_xll.BDP(Z49, $E50))*1), "-", _xll.BDP(Z49, $E50))</f>
        <v>-</v>
      </c>
      <c r="AA50" s="46" t="str" cm="1">
        <f t="array" aca="1" ref="AA50" ca="1">IF(ISERROR(_xlfn.SINGLE(_xll.BDP(AA49, $E50))*1), "-", _xll.BDP(AA49, $E50))</f>
        <v>-</v>
      </c>
      <c r="AB50" s="46" t="str" cm="1">
        <f t="array" aca="1" ref="AB50" ca="1">IF(ISERROR(_xlfn.SINGLE(_xll.BDP(AB49, $E50))*1), "-", _xll.BDP(AB49, $E50))</f>
        <v>-</v>
      </c>
      <c r="AC50" s="46" t="str" cm="1">
        <f t="array" aca="1" ref="AC50" ca="1">IF(ISERROR(_xlfn.SINGLE(_xll.BDP(AC49, $E50))*1), "-", _xll.BDP(AC49, $E50))</f>
        <v>-</v>
      </c>
      <c r="AD50" s="46" t="str" cm="1">
        <f t="array" aca="1" ref="AD50" ca="1">IF(ISERROR(_xlfn.SINGLE(_xll.BDP(AD49, $E50))*1), "-", _xll.BDP(AD49, $E50))</f>
        <v>-</v>
      </c>
      <c r="AE50" s="46" t="str" cm="1">
        <f t="array" aca="1" ref="AE50" ca="1">IF(ISERROR(_xlfn.SINGLE(_xll.BDP(AE49, $E50))*1), "-", _xll.BDP(AE49, $E50))</f>
        <v>-</v>
      </c>
      <c r="AF50" s="46" t="str" cm="1">
        <f t="array" aca="1" ref="AF50" ca="1">IF(ISERROR(_xlfn.SINGLE(_xll.BDP(AF49, $E50))*1), "-", _xll.BDP(AF49, $E50))</f>
        <v>-</v>
      </c>
      <c r="AG50" s="46" t="str" cm="1">
        <f t="array" aca="1" ref="AG50" ca="1">IF(ISERROR(_xlfn.SINGLE(_xll.BDP(AG49, $E50))*1), "-", _xll.BDP(AG49, $E50))</f>
        <v>-</v>
      </c>
      <c r="AH50" s="46" t="str" cm="1">
        <f t="array" aca="1" ref="AH50" ca="1">IF(ISERROR(_xlfn.SINGLE(_xll.BDP(AH49, $E50))*1), "-", _xll.BDP(AH49, $E50))</f>
        <v>-</v>
      </c>
      <c r="AI50" s="46" t="str" cm="1">
        <f t="array" aca="1" ref="AI50" ca="1">IF(ISERROR(_xlfn.SINGLE(_xll.BDP(AI49, $E50))*1), "-", _xll.BDP(AI49, $E50))</f>
        <v>-</v>
      </c>
      <c r="AJ50" s="46" t="str" cm="1">
        <f t="array" aca="1" ref="AJ50" ca="1">IF(ISERROR(_xlfn.SINGLE(_xll.BDP(AJ49, $E50))*1), "-", _xll.BDP(AJ49, $E50))</f>
        <v>-</v>
      </c>
      <c r="AK50" s="46" t="str" cm="1">
        <f t="array" aca="1" ref="AK50" ca="1">IF(ISERROR(_xlfn.SINGLE(_xll.BDP(AK49, $E50))*1), "-", _xll.BDP(AK49, $E50))</f>
        <v>-</v>
      </c>
      <c r="AL50" s="46" t="str" cm="1">
        <f t="array" aca="1" ref="AL50" ca="1">IF(ISERROR(_xlfn.SINGLE(_xll.BDP(AL49, $E50))*1), "-", _xll.BDP(AL49, $E50))</f>
        <v>-</v>
      </c>
      <c r="AM50" s="46" t="str" cm="1">
        <f t="array" aca="1" ref="AM50" ca="1">IF(ISERROR(_xlfn.SINGLE(_xll.BDP(AM49, $E50))*1), "-", _xll.BDP(AM49, $E50))</f>
        <v>-</v>
      </c>
      <c r="AN50" s="46" t="str" cm="1">
        <f t="array" aca="1" ref="AN50" ca="1">IF(ISERROR(_xlfn.SINGLE(_xll.BDP(AN49, $E50))*1), "-", _xll.BDP(AN49, $E50))</f>
        <v>-</v>
      </c>
      <c r="AO50" s="46" t="str" cm="1">
        <f t="array" aca="1" ref="AO50" ca="1">IF(ISERROR(_xlfn.SINGLE(_xll.BDP(AO49, $E50))*1), "-", _xll.BDP(AO49, $E50))</f>
        <v>-</v>
      </c>
      <c r="AP50" s="46" t="str" cm="1">
        <f t="array" aca="1" ref="AP50" ca="1">IF(ISERROR(_xlfn.SINGLE(_xll.BDP(AP49, $E50))*1), "-", _xll.BDP(AP49, $E50))</f>
        <v>-</v>
      </c>
      <c r="AQ50" s="46" t="str" cm="1">
        <f t="array" aca="1" ref="AQ50" ca="1">IF(ISERROR(_xlfn.SINGLE(_xll.BDP(AQ49, $E50))*1), "-", _xll.BDP(AQ49, $E50))</f>
        <v>-</v>
      </c>
      <c r="AR50" s="46" t="str" cm="1">
        <f t="array" aca="1" ref="AR50" ca="1">IF(ISERROR(_xlfn.SINGLE(_xll.BDP(AR49, $E50))*1), "-", _xll.BDP(AR49, $E50))</f>
        <v>-</v>
      </c>
      <c r="AS50" s="46" t="str" cm="1">
        <f t="array" aca="1" ref="AS50" ca="1">IF(ISERROR(_xlfn.SINGLE(_xll.BDP(AS49, $E50))*1), "-", _xll.BDP(AS49, $E50))</f>
        <v>-</v>
      </c>
      <c r="AT50" s="46" t="str" cm="1">
        <f t="array" aca="1" ref="AT50" ca="1">IF(ISERROR(_xlfn.SINGLE(_xll.BDP(AT49, $E50))*1), "-", _xll.BDP(AT49, $E50))</f>
        <v>-</v>
      </c>
      <c r="AU50" s="46" t="str" cm="1">
        <f t="array" aca="1" ref="AU50" ca="1">IF(ISERROR(_xlfn.SINGLE(_xll.BDP(AU49, $E50))*1), "-", _xll.BDP(AU49, $E50))</f>
        <v>-</v>
      </c>
      <c r="AV50" s="46" t="str" cm="1">
        <f t="array" aca="1" ref="AV50" ca="1">IF(ISERROR(_xlfn.SINGLE(_xll.BDP(AV49, $E50))*1), "-", _xll.BDP(AV49, $E50))</f>
        <v>-</v>
      </c>
      <c r="AW50" s="46" t="str" cm="1">
        <f t="array" aca="1" ref="AW50" ca="1">IF(ISERROR(_xlfn.SINGLE(_xll.BDP(AW49, $E50))*1), "-", _xll.BDP(AW49, $E50))</f>
        <v>-</v>
      </c>
      <c r="AX50" s="46" t="str" cm="1">
        <f t="array" aca="1" ref="AX50" ca="1">IF(ISERROR(_xlfn.SINGLE(_xll.BDP(AX49, $E50))*1), "-", _xll.BDP(AX49, $E50))</f>
        <v>-</v>
      </c>
      <c r="AY50" s="46" t="str" cm="1">
        <f t="array" aca="1" ref="AY50" ca="1">IF(ISERROR(_xlfn.SINGLE(_xll.BDP(AY49, $E50))*1), "-", _xll.BDP(AY49, $E50))</f>
        <v>-</v>
      </c>
      <c r="AZ50" s="46" t="str" cm="1">
        <f t="array" aca="1" ref="AZ50" ca="1">IF(ISERROR(_xlfn.SINGLE(_xll.BDP(AZ49, $E50))*1), "-", _xll.BDP(AZ49, $E50))</f>
        <v>-</v>
      </c>
      <c r="BA50" s="47" t="str" cm="1">
        <f t="array" aca="1" ref="BA50" ca="1">IF(ISERROR(_xlfn.SINGLE(_xll.BDP(BA49, $E50))*1), "-", _xll.BDP(BA49, $E50))</f>
        <v>-</v>
      </c>
    </row>
    <row r="51" spans="2:53" ht="15" hidden="1" customHeight="1"/>
    <row r="52" spans="2:53" ht="5.15" customHeight="1"/>
    <row r="53" spans="2:53" ht="15" customHeight="1">
      <c r="B53" s="38" t="s">
        <v>34</v>
      </c>
      <c r="C53" s="140" t="str">
        <f>trans_getMessage("","Curve Number",,LANG_ID)</f>
        <v>Curve Number</v>
      </c>
      <c r="D53" s="141"/>
      <c r="E53" s="142">
        <f>VLOOKUP(B53, 'Currency-Curve List'!$C$9:$E$103, 2, FALSE)</f>
        <v>234</v>
      </c>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4"/>
    </row>
    <row r="54" spans="2:53" ht="15" customHeight="1">
      <c r="C54" s="145" t="str">
        <f>trans_getMessage("","Curve Index",,LANG_ID)</f>
        <v>Curve Index</v>
      </c>
      <c r="D54" s="146"/>
      <c r="E54" s="147" t="str">
        <f>VLOOKUP(B53, 'Currency-Curve List'!$C$9:$E$103, 3, FALSE)</f>
        <v>YCSW0234 Index</v>
      </c>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c r="AQ54" s="148"/>
      <c r="AR54" s="148"/>
      <c r="AS54" s="148"/>
      <c r="AT54" s="148"/>
      <c r="AU54" s="148"/>
      <c r="AV54" s="148"/>
      <c r="AW54" s="148"/>
      <c r="AX54" s="148"/>
      <c r="AY54" s="148"/>
      <c r="AZ54" s="148"/>
      <c r="BA54" s="149"/>
    </row>
    <row r="55" spans="2:53" ht="15" customHeight="1">
      <c r="C55" s="145" t="str">
        <f>trans_getMessage("","Curve Name",,LANG_ID)</f>
        <v>Curve Name</v>
      </c>
      <c r="D55" s="146"/>
      <c r="E55" s="150" t="e" cm="1">
        <f t="array" aca="1" ref="E55" ca="1">_xll.BDP(E54, "NAME")</f>
        <v>#NAME?</v>
      </c>
      <c r="F55" s="151"/>
      <c r="G55" s="151"/>
      <c r="H55" s="151"/>
      <c r="I55" s="151"/>
      <c r="J55" s="151"/>
      <c r="K55" s="151"/>
      <c r="L55" s="151"/>
      <c r="M55" s="151"/>
      <c r="N55" s="151"/>
      <c r="O55" s="151"/>
      <c r="P55" s="151"/>
      <c r="Q55" s="151"/>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1"/>
      <c r="AP55" s="151"/>
      <c r="AQ55" s="151"/>
      <c r="AR55" s="151"/>
      <c r="AS55" s="151"/>
      <c r="AT55" s="151"/>
      <c r="AU55" s="151"/>
      <c r="AV55" s="151"/>
      <c r="AW55" s="151"/>
      <c r="AX55" s="151"/>
      <c r="AY55" s="151"/>
      <c r="AZ55" s="151"/>
      <c r="BA55" s="152"/>
    </row>
    <row r="56" spans="2:53" ht="15" customHeight="1">
      <c r="C56" s="145" t="str">
        <f>trans_getMessage("","Tenors",,LANG_ID)</f>
        <v>Tenors</v>
      </c>
      <c r="D56" s="146"/>
      <c r="E56" s="48" t="s">
        <v>50</v>
      </c>
      <c r="F56" s="42" t="e" cm="1">
        <f t="array" aca="1" ref="F56" ca="1">_xll.BDS(E54,E56,"Dir=H",)</f>
        <v>#NAME?</v>
      </c>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4"/>
    </row>
    <row r="57" spans="2:53" ht="15" hidden="1" customHeight="1">
      <c r="C57" s="145" t="s">
        <v>2211</v>
      </c>
      <c r="D57" s="146"/>
      <c r="E57" s="48"/>
      <c r="F57" s="42" t="e">
        <f ca="1">IF(F56="","",IF(F56="12M","1Y",IF(F56="24M","2Y",F56)))</f>
        <v>#NAME?</v>
      </c>
      <c r="G57" s="42" t="str">
        <f t="shared" ref="G57" si="142">IF(G56="","",IF(G56="12M","1Y",IF(G56="24M","2Y",G56)))</f>
        <v/>
      </c>
      <c r="H57" s="42" t="str">
        <f t="shared" ref="H57" si="143">IF(H56="","",IF(H56="12M","1Y",IF(H56="24M","2Y",H56)))</f>
        <v/>
      </c>
      <c r="I57" s="42" t="str">
        <f t="shared" ref="I57" si="144">IF(I56="","",IF(I56="12M","1Y",IF(I56="24M","2Y",I56)))</f>
        <v/>
      </c>
      <c r="J57" s="42" t="str">
        <f t="shared" ref="J57" si="145">IF(J56="","",IF(J56="12M","1Y",IF(J56="24M","2Y",J56)))</f>
        <v/>
      </c>
      <c r="K57" s="42" t="str">
        <f t="shared" ref="K57" si="146">IF(K56="","",IF(K56="12M","1Y",IF(K56="24M","2Y",K56)))</f>
        <v/>
      </c>
      <c r="L57" s="42" t="str">
        <f t="shared" ref="L57" si="147">IF(L56="","",IF(L56="12M","1Y",IF(L56="24M","2Y",L56)))</f>
        <v/>
      </c>
      <c r="M57" s="42" t="str">
        <f t="shared" ref="M57" si="148">IF(M56="","",IF(M56="12M","1Y",IF(M56="24M","2Y",M56)))</f>
        <v/>
      </c>
      <c r="N57" s="42" t="str">
        <f t="shared" ref="N57" si="149">IF(N56="","",IF(N56="12M","1Y",IF(N56="24M","2Y",N56)))</f>
        <v/>
      </c>
      <c r="O57" s="42" t="str">
        <f t="shared" ref="O57" si="150">IF(O56="","",IF(O56="12M","1Y",IF(O56="24M","2Y",O56)))</f>
        <v/>
      </c>
      <c r="P57" s="42" t="str">
        <f t="shared" ref="P57" si="151">IF(P56="","",IF(P56="12M","1Y",IF(P56="24M","2Y",P56)))</f>
        <v/>
      </c>
      <c r="Q57" s="42" t="str">
        <f t="shared" ref="Q57" si="152">IF(Q56="","",IF(Q56="12M","1Y",IF(Q56="24M","2Y",Q56)))</f>
        <v/>
      </c>
      <c r="R57" s="42" t="str">
        <f t="shared" ref="R57" si="153">IF(R56="","",IF(R56="12M","1Y",IF(R56="24M","2Y",R56)))</f>
        <v/>
      </c>
      <c r="S57" s="42" t="str">
        <f t="shared" ref="S57" si="154">IF(S56="","",IF(S56="12M","1Y",IF(S56="24M","2Y",S56)))</f>
        <v/>
      </c>
      <c r="T57" s="42" t="str">
        <f t="shared" ref="T57" si="155">IF(T56="","",IF(T56="12M","1Y",IF(T56="24M","2Y",T56)))</f>
        <v/>
      </c>
      <c r="U57" s="42" t="str">
        <f t="shared" ref="U57" si="156">IF(U56="","",IF(U56="12M","1Y",IF(U56="24M","2Y",U56)))</f>
        <v/>
      </c>
      <c r="V57" s="42" t="str">
        <f t="shared" ref="V57" si="157">IF(V56="","",IF(V56="12M","1Y",IF(V56="24M","2Y",V56)))</f>
        <v/>
      </c>
      <c r="W57" s="42" t="str">
        <f t="shared" ref="W57" si="158">IF(W56="","",IF(W56="12M","1Y",IF(W56="24M","2Y",W56)))</f>
        <v/>
      </c>
      <c r="X57" s="42" t="str">
        <f t="shared" ref="X57" si="159">IF(X56="","",IF(X56="12M","1Y",IF(X56="24M","2Y",X56)))</f>
        <v/>
      </c>
      <c r="Y57" s="42" t="str">
        <f t="shared" ref="Y57" si="160">IF(Y56="","",IF(Y56="12M","1Y",IF(Y56="24M","2Y",Y56)))</f>
        <v/>
      </c>
      <c r="Z57" s="42" t="str">
        <f t="shared" ref="Z57" si="161">IF(Z56="","",IF(Z56="12M","1Y",IF(Z56="24M","2Y",Z56)))</f>
        <v/>
      </c>
      <c r="AA57" s="42" t="str">
        <f t="shared" ref="AA57" si="162">IF(AA56="","",IF(AA56="12M","1Y",IF(AA56="24M","2Y",AA56)))</f>
        <v/>
      </c>
      <c r="AB57" s="42" t="str">
        <f t="shared" ref="AB57" si="163">IF(AB56="","",IF(AB56="12M","1Y",IF(AB56="24M","2Y",AB56)))</f>
        <v/>
      </c>
      <c r="AC57" s="42" t="str">
        <f t="shared" ref="AC57" si="164">IF(AC56="","",IF(AC56="12M","1Y",IF(AC56="24M","2Y",AC56)))</f>
        <v/>
      </c>
      <c r="AD57" s="42" t="str">
        <f t="shared" ref="AD57" si="165">IF(AD56="","",IF(AD56="12M","1Y",IF(AD56="24M","2Y",AD56)))</f>
        <v/>
      </c>
      <c r="AE57" s="42" t="str">
        <f t="shared" ref="AE57" si="166">IF(AE56="","",IF(AE56="12M","1Y",IF(AE56="24M","2Y",AE56)))</f>
        <v/>
      </c>
      <c r="AF57" s="42" t="str">
        <f t="shared" ref="AF57" si="167">IF(AF56="","",IF(AF56="12M","1Y",IF(AF56="24M","2Y",AF56)))</f>
        <v/>
      </c>
      <c r="AG57" s="42" t="str">
        <f t="shared" ref="AG57" si="168">IF(AG56="","",IF(AG56="12M","1Y",IF(AG56="24M","2Y",AG56)))</f>
        <v/>
      </c>
      <c r="AH57" s="42" t="str">
        <f t="shared" ref="AH57" si="169">IF(AH56="","",IF(AH56="12M","1Y",IF(AH56="24M","2Y",AH56)))</f>
        <v/>
      </c>
      <c r="AI57" s="42" t="str">
        <f t="shared" ref="AI57" si="170">IF(AI56="","",IF(AI56="12M","1Y",IF(AI56="24M","2Y",AI56)))</f>
        <v/>
      </c>
      <c r="AJ57" s="42" t="str">
        <f t="shared" ref="AJ57" si="171">IF(AJ56="","",IF(AJ56="12M","1Y",IF(AJ56="24M","2Y",AJ56)))</f>
        <v/>
      </c>
      <c r="AK57" s="42" t="str">
        <f t="shared" ref="AK57" si="172">IF(AK56="","",IF(AK56="12M","1Y",IF(AK56="24M","2Y",AK56)))</f>
        <v/>
      </c>
      <c r="AL57" s="42" t="str">
        <f t="shared" ref="AL57" si="173">IF(AL56="","",IF(AL56="12M","1Y",IF(AL56="24M","2Y",AL56)))</f>
        <v/>
      </c>
      <c r="AM57" s="42" t="str">
        <f t="shared" ref="AM57" si="174">IF(AM56="","",IF(AM56="12M","1Y",IF(AM56="24M","2Y",AM56)))</f>
        <v/>
      </c>
      <c r="AN57" s="42" t="str">
        <f t="shared" ref="AN57" si="175">IF(AN56="","",IF(AN56="12M","1Y",IF(AN56="24M","2Y",AN56)))</f>
        <v/>
      </c>
      <c r="AO57" s="42" t="str">
        <f t="shared" ref="AO57" si="176">IF(AO56="","",IF(AO56="12M","1Y",IF(AO56="24M","2Y",AO56)))</f>
        <v/>
      </c>
      <c r="AP57" s="42" t="str">
        <f t="shared" ref="AP57" si="177">IF(AP56="","",IF(AP56="12M","1Y",IF(AP56="24M","2Y",AP56)))</f>
        <v/>
      </c>
      <c r="AQ57" s="42" t="str">
        <f t="shared" ref="AQ57" si="178">IF(AQ56="","",IF(AQ56="12M","1Y",IF(AQ56="24M","2Y",AQ56)))</f>
        <v/>
      </c>
      <c r="AR57" s="42" t="str">
        <f t="shared" ref="AR57" si="179">IF(AR56="","",IF(AR56="12M","1Y",IF(AR56="24M","2Y",AR56)))</f>
        <v/>
      </c>
      <c r="AS57" s="42" t="str">
        <f t="shared" ref="AS57" si="180">IF(AS56="","",IF(AS56="12M","1Y",IF(AS56="24M","2Y",AS56)))</f>
        <v/>
      </c>
      <c r="AT57" s="42" t="str">
        <f t="shared" ref="AT57" si="181">IF(AT56="","",IF(AT56="12M","1Y",IF(AT56="24M","2Y",AT56)))</f>
        <v/>
      </c>
      <c r="AU57" s="42" t="str">
        <f t="shared" ref="AU57" si="182">IF(AU56="","",IF(AU56="12M","1Y",IF(AU56="24M","2Y",AU56)))</f>
        <v/>
      </c>
      <c r="AV57" s="42" t="str">
        <f t="shared" ref="AV57" si="183">IF(AV56="","",IF(AV56="12M","1Y",IF(AV56="24M","2Y",AV56)))</f>
        <v/>
      </c>
      <c r="AW57" s="42" t="str">
        <f t="shared" ref="AW57" si="184">IF(AW56="","",IF(AW56="12M","1Y",IF(AW56="24M","2Y",AW56)))</f>
        <v/>
      </c>
      <c r="AX57" s="42" t="str">
        <f t="shared" ref="AX57" si="185">IF(AX56="","",IF(AX56="12M","1Y",IF(AX56="24M","2Y",AX56)))</f>
        <v/>
      </c>
      <c r="AY57" s="42" t="str">
        <f t="shared" ref="AY57" si="186">IF(AY56="","",IF(AY56="12M","1Y",IF(AY56="24M","2Y",AY56)))</f>
        <v/>
      </c>
      <c r="AZ57" s="42" t="str">
        <f t="shared" ref="AZ57" si="187">IF(AZ56="","",IF(AZ56="12M","1Y",IF(AZ56="24M","2Y",AZ56)))</f>
        <v/>
      </c>
      <c r="BA57" s="42" t="str">
        <f t="shared" ref="BA57" si="188">IF(BA56="","",IF(BA56="12M","1Y",IF(BA56="24M","2Y",BA56)))</f>
        <v/>
      </c>
    </row>
    <row r="58" spans="2:53" s="41" customFormat="1" ht="15" customHeight="1">
      <c r="B58" s="7"/>
      <c r="C58" s="153" t="str">
        <f>trans_getMessage("","Name",,LANG_ID)</f>
        <v>Name</v>
      </c>
      <c r="D58" s="154"/>
      <c r="E58" s="49" t="s">
        <v>49</v>
      </c>
      <c r="F58" s="43" t="e" cm="1">
        <f t="array" aca="1" ref="F58" ca="1">IF(LEFT(_xlfn.SINGLE(_xll.BDP(F59, $E58)),1)="#", "-", _xll.BDP(F59, $E58))</f>
        <v>#NAME?</v>
      </c>
      <c r="G58" s="43" t="e" cm="1">
        <f t="array" aca="1" ref="G58" ca="1">IF(LEFT(_xlfn.SINGLE(_xll.BDP(G59, $E58)),1)="#", "-", _xll.BDP(G59, $E58))</f>
        <v>#NAME?</v>
      </c>
      <c r="H58" s="43" t="e" cm="1">
        <f t="array" aca="1" ref="H58" ca="1">IF(LEFT(_xlfn.SINGLE(_xll.BDP(H59, $E58)),1)="#", "-", _xll.BDP(H59, $E58))</f>
        <v>#NAME?</v>
      </c>
      <c r="I58" s="43" t="e" cm="1">
        <f t="array" aca="1" ref="I58" ca="1">IF(LEFT(_xlfn.SINGLE(_xll.BDP(I59, $E58)),1)="#", "-", _xll.BDP(I59, $E58))</f>
        <v>#NAME?</v>
      </c>
      <c r="J58" s="43" t="e" cm="1">
        <f t="array" aca="1" ref="J58" ca="1">IF(LEFT(_xlfn.SINGLE(_xll.BDP(J59, $E58)),1)="#", "-", _xll.BDP(J59, $E58))</f>
        <v>#NAME?</v>
      </c>
      <c r="K58" s="43" t="e" cm="1">
        <f t="array" aca="1" ref="K58" ca="1">IF(LEFT(_xlfn.SINGLE(_xll.BDP(K59, $E58)),1)="#", "-", _xll.BDP(K59, $E58))</f>
        <v>#NAME?</v>
      </c>
      <c r="L58" s="43" t="e" cm="1">
        <f t="array" aca="1" ref="L58" ca="1">IF(LEFT(_xlfn.SINGLE(_xll.BDP(L59, $E58)),1)="#", "-", _xll.BDP(L59, $E58))</f>
        <v>#NAME?</v>
      </c>
      <c r="M58" s="43" t="e" cm="1">
        <f t="array" aca="1" ref="M58" ca="1">IF(LEFT(_xlfn.SINGLE(_xll.BDP(M59, $E58)),1)="#", "-", _xll.BDP(M59, $E58))</f>
        <v>#NAME?</v>
      </c>
      <c r="N58" s="43" t="e" cm="1">
        <f t="array" aca="1" ref="N58" ca="1">IF(LEFT(_xlfn.SINGLE(_xll.BDP(N59, $E58)),1)="#", "-", _xll.BDP(N59, $E58))</f>
        <v>#NAME?</v>
      </c>
      <c r="O58" s="43" t="e" cm="1">
        <f t="array" aca="1" ref="O58" ca="1">IF(LEFT(_xlfn.SINGLE(_xll.BDP(O59, $E58)),1)="#", "-", _xll.BDP(O59, $E58))</f>
        <v>#NAME?</v>
      </c>
      <c r="P58" s="43" t="e" cm="1">
        <f t="array" aca="1" ref="P58" ca="1">IF(LEFT(_xlfn.SINGLE(_xll.BDP(P59, $E58)),1)="#", "-", _xll.BDP(P59, $E58))</f>
        <v>#NAME?</v>
      </c>
      <c r="Q58" s="43" t="e" cm="1">
        <f t="array" aca="1" ref="Q58" ca="1">IF(LEFT(_xlfn.SINGLE(_xll.BDP(Q59, $E58)),1)="#", "-", _xll.BDP(Q59, $E58))</f>
        <v>#NAME?</v>
      </c>
      <c r="R58" s="43" t="e" cm="1">
        <f t="array" aca="1" ref="R58" ca="1">IF(LEFT(_xlfn.SINGLE(_xll.BDP(R59, $E58)),1)="#", "-", _xll.BDP(R59, $E58))</f>
        <v>#NAME?</v>
      </c>
      <c r="S58" s="43" t="e" cm="1">
        <f t="array" aca="1" ref="S58" ca="1">IF(LEFT(_xlfn.SINGLE(_xll.BDP(S59, $E58)),1)="#", "-", _xll.BDP(S59, $E58))</f>
        <v>#NAME?</v>
      </c>
      <c r="T58" s="43" t="e" cm="1">
        <f t="array" aca="1" ref="T58" ca="1">IF(LEFT(_xlfn.SINGLE(_xll.BDP(T59, $E58)),1)="#", "-", _xll.BDP(T59, $E58))</f>
        <v>#NAME?</v>
      </c>
      <c r="U58" s="43" t="e" cm="1">
        <f t="array" aca="1" ref="U58" ca="1">IF(LEFT(_xlfn.SINGLE(_xll.BDP(U59, $E58)),1)="#", "-", _xll.BDP(U59, $E58))</f>
        <v>#NAME?</v>
      </c>
      <c r="V58" s="43" t="e" cm="1">
        <f t="array" aca="1" ref="V58" ca="1">IF(LEFT(_xlfn.SINGLE(_xll.BDP(V59, $E58)),1)="#", "-", _xll.BDP(V59, $E58))</f>
        <v>#NAME?</v>
      </c>
      <c r="W58" s="43" t="e" cm="1">
        <f t="array" aca="1" ref="W58" ca="1">IF(LEFT(_xlfn.SINGLE(_xll.BDP(W59, $E58)),1)="#", "-", _xll.BDP(W59, $E58))</f>
        <v>#NAME?</v>
      </c>
      <c r="X58" s="43" t="e" cm="1">
        <f t="array" aca="1" ref="X58" ca="1">IF(LEFT(_xlfn.SINGLE(_xll.BDP(X59, $E58)),1)="#", "-", _xll.BDP(X59, $E58))</f>
        <v>#NAME?</v>
      </c>
      <c r="Y58" s="43" t="e" cm="1">
        <f t="array" aca="1" ref="Y58" ca="1">IF(LEFT(_xlfn.SINGLE(_xll.BDP(Y59, $E58)),1)="#", "-", _xll.BDP(Y59, $E58))</f>
        <v>#NAME?</v>
      </c>
      <c r="Z58" s="43" t="e" cm="1">
        <f t="array" aca="1" ref="Z58" ca="1">IF(LEFT(_xlfn.SINGLE(_xll.BDP(Z59, $E58)),1)="#", "-", _xll.BDP(Z59, $E58))</f>
        <v>#NAME?</v>
      </c>
      <c r="AA58" s="43" t="e" cm="1">
        <f t="array" aca="1" ref="AA58" ca="1">IF(LEFT(_xlfn.SINGLE(_xll.BDP(AA59, $E58)),1)="#", "-", _xll.BDP(AA59, $E58))</f>
        <v>#NAME?</v>
      </c>
      <c r="AB58" s="43" t="e" cm="1">
        <f t="array" aca="1" ref="AB58" ca="1">IF(LEFT(_xlfn.SINGLE(_xll.BDP(AB59, $E58)),1)="#", "-", _xll.BDP(AB59, $E58))</f>
        <v>#NAME?</v>
      </c>
      <c r="AC58" s="43" t="e" cm="1">
        <f t="array" aca="1" ref="AC58" ca="1">IF(LEFT(_xlfn.SINGLE(_xll.BDP(AC59, $E58)),1)="#", "-", _xll.BDP(AC59, $E58))</f>
        <v>#NAME?</v>
      </c>
      <c r="AD58" s="43" t="e" cm="1">
        <f t="array" aca="1" ref="AD58" ca="1">IF(LEFT(_xlfn.SINGLE(_xll.BDP(AD59, $E58)),1)="#", "-", _xll.BDP(AD59, $E58))</f>
        <v>#NAME?</v>
      </c>
      <c r="AE58" s="43" t="e" cm="1">
        <f t="array" aca="1" ref="AE58" ca="1">IF(LEFT(_xlfn.SINGLE(_xll.BDP(AE59, $E58)),1)="#", "-", _xll.BDP(AE59, $E58))</f>
        <v>#NAME?</v>
      </c>
      <c r="AF58" s="43" t="e" cm="1">
        <f t="array" aca="1" ref="AF58" ca="1">IF(LEFT(_xlfn.SINGLE(_xll.BDP(AF59, $E58)),1)="#", "-", _xll.BDP(AF59, $E58))</f>
        <v>#NAME?</v>
      </c>
      <c r="AG58" s="43" t="e" cm="1">
        <f t="array" aca="1" ref="AG58" ca="1">IF(LEFT(_xlfn.SINGLE(_xll.BDP(AG59, $E58)),1)="#", "-", _xll.BDP(AG59, $E58))</f>
        <v>#NAME?</v>
      </c>
      <c r="AH58" s="43" t="e" cm="1">
        <f t="array" aca="1" ref="AH58" ca="1">IF(LEFT(_xlfn.SINGLE(_xll.BDP(AH59, $E58)),1)="#", "-", _xll.BDP(AH59, $E58))</f>
        <v>#NAME?</v>
      </c>
      <c r="AI58" s="43" t="e" cm="1">
        <f t="array" aca="1" ref="AI58" ca="1">IF(LEFT(_xlfn.SINGLE(_xll.BDP(AI59, $E58)),1)="#", "-", _xll.BDP(AI59, $E58))</f>
        <v>#NAME?</v>
      </c>
      <c r="AJ58" s="43" t="e" cm="1">
        <f t="array" aca="1" ref="AJ58" ca="1">IF(LEFT(_xlfn.SINGLE(_xll.BDP(AJ59, $E58)),1)="#", "-", _xll.BDP(AJ59, $E58))</f>
        <v>#NAME?</v>
      </c>
      <c r="AK58" s="43" t="e" cm="1">
        <f t="array" aca="1" ref="AK58" ca="1">IF(LEFT(_xlfn.SINGLE(_xll.BDP(AK59, $E58)),1)="#", "-", _xll.BDP(AK59, $E58))</f>
        <v>#NAME?</v>
      </c>
      <c r="AL58" s="43" t="e" cm="1">
        <f t="array" aca="1" ref="AL58" ca="1">IF(LEFT(_xlfn.SINGLE(_xll.BDP(AL59, $E58)),1)="#", "-", _xll.BDP(AL59, $E58))</f>
        <v>#NAME?</v>
      </c>
      <c r="AM58" s="43" t="e" cm="1">
        <f t="array" aca="1" ref="AM58" ca="1">IF(LEFT(_xlfn.SINGLE(_xll.BDP(AM59, $E58)),1)="#", "-", _xll.BDP(AM59, $E58))</f>
        <v>#NAME?</v>
      </c>
      <c r="AN58" s="43" t="e" cm="1">
        <f t="array" aca="1" ref="AN58" ca="1">IF(LEFT(_xlfn.SINGLE(_xll.BDP(AN59, $E58)),1)="#", "-", _xll.BDP(AN59, $E58))</f>
        <v>#NAME?</v>
      </c>
      <c r="AO58" s="43" t="e" cm="1">
        <f t="array" aca="1" ref="AO58" ca="1">IF(LEFT(_xlfn.SINGLE(_xll.BDP(AO59, $E58)),1)="#", "-", _xll.BDP(AO59, $E58))</f>
        <v>#NAME?</v>
      </c>
      <c r="AP58" s="43" t="e" cm="1">
        <f t="array" aca="1" ref="AP58" ca="1">IF(LEFT(_xlfn.SINGLE(_xll.BDP(AP59, $E58)),1)="#", "-", _xll.BDP(AP59, $E58))</f>
        <v>#NAME?</v>
      </c>
      <c r="AQ58" s="43" t="e" cm="1">
        <f t="array" aca="1" ref="AQ58" ca="1">IF(LEFT(_xlfn.SINGLE(_xll.BDP(AQ59, $E58)),1)="#", "-", _xll.BDP(AQ59, $E58))</f>
        <v>#NAME?</v>
      </c>
      <c r="AR58" s="43" t="e" cm="1">
        <f t="array" aca="1" ref="AR58" ca="1">IF(LEFT(_xlfn.SINGLE(_xll.BDP(AR59, $E58)),1)="#", "-", _xll.BDP(AR59, $E58))</f>
        <v>#NAME?</v>
      </c>
      <c r="AS58" s="43" t="e" cm="1">
        <f t="array" aca="1" ref="AS58" ca="1">IF(LEFT(_xlfn.SINGLE(_xll.BDP(AS59, $E58)),1)="#", "-", _xll.BDP(AS59, $E58))</f>
        <v>#NAME?</v>
      </c>
      <c r="AT58" s="43" t="e" cm="1">
        <f t="array" aca="1" ref="AT58" ca="1">IF(LEFT(_xlfn.SINGLE(_xll.BDP(AT59, $E58)),1)="#", "-", _xll.BDP(AT59, $E58))</f>
        <v>#NAME?</v>
      </c>
      <c r="AU58" s="43" t="e" cm="1">
        <f t="array" aca="1" ref="AU58" ca="1">IF(LEFT(_xlfn.SINGLE(_xll.BDP(AU59, $E58)),1)="#", "-", _xll.BDP(AU59, $E58))</f>
        <v>#NAME?</v>
      </c>
      <c r="AV58" s="43" t="e" cm="1">
        <f t="array" aca="1" ref="AV58" ca="1">IF(LEFT(_xlfn.SINGLE(_xll.BDP(AV59, $E58)),1)="#", "-", _xll.BDP(AV59, $E58))</f>
        <v>#NAME?</v>
      </c>
      <c r="AW58" s="43" t="e" cm="1">
        <f t="array" aca="1" ref="AW58" ca="1">IF(LEFT(_xlfn.SINGLE(_xll.BDP(AW59, $E58)),1)="#", "-", _xll.BDP(AW59, $E58))</f>
        <v>#NAME?</v>
      </c>
      <c r="AX58" s="43" t="e" cm="1">
        <f t="array" aca="1" ref="AX58" ca="1">IF(LEFT(_xlfn.SINGLE(_xll.BDP(AX59, $E58)),1)="#", "-", _xll.BDP(AX59, $E58))</f>
        <v>#NAME?</v>
      </c>
      <c r="AY58" s="43" t="e" cm="1">
        <f t="array" aca="1" ref="AY58" ca="1">IF(LEFT(_xlfn.SINGLE(_xll.BDP(AY59, $E58)),1)="#", "-", _xll.BDP(AY59, $E58))</f>
        <v>#NAME?</v>
      </c>
      <c r="AZ58" s="43" t="e" cm="1">
        <f t="array" aca="1" ref="AZ58" ca="1">IF(LEFT(_xlfn.SINGLE(_xll.BDP(AZ59, $E58)),1)="#", "-", _xll.BDP(AZ59, $E58))</f>
        <v>#NAME?</v>
      </c>
      <c r="BA58" s="45" t="e" cm="1">
        <f t="array" aca="1" ref="BA58" ca="1">IF(LEFT(_xlfn.SINGLE(_xll.BDP(BA59, $E58)),1)="#", "-", _xll.BDP(BA59, $E58))</f>
        <v>#NAME?</v>
      </c>
    </row>
    <row r="59" spans="2:53" ht="15" customHeight="1">
      <c r="B59" s="40"/>
      <c r="C59" s="145" t="str">
        <f>trans_getMessage("","Curve Tickers",,LANG_ID)</f>
        <v>Curve Tickers</v>
      </c>
      <c r="D59" s="146"/>
      <c r="E59" s="50" t="s">
        <v>46</v>
      </c>
      <c r="F59" s="42" t="e" cm="1">
        <f t="array" aca="1" ref="F59" ca="1">_xll.BDS(E54,E59,"Dir=H",)</f>
        <v>#NAME?</v>
      </c>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4"/>
    </row>
    <row r="60" spans="2:53" ht="15" customHeight="1">
      <c r="C60" s="138" t="str">
        <f>trans_getMessage("","Rate",,LANG_ID)</f>
        <v>Rate</v>
      </c>
      <c r="D60" s="139"/>
      <c r="E60" s="51" t="s">
        <v>44</v>
      </c>
      <c r="F60" s="46" t="str" cm="1">
        <f t="array" aca="1" ref="F60" ca="1">IF(ISERROR(_xlfn.SINGLE(_xll.BDP(F59, $E60))*1), "-", _xll.BDP(F59, $E60))</f>
        <v>-</v>
      </c>
      <c r="G60" s="46" t="str" cm="1">
        <f t="array" aca="1" ref="G60" ca="1">IF(ISERROR(_xlfn.SINGLE(_xll.BDP(G59, $E60))*1), "-", _xll.BDP(G59, $E60))</f>
        <v>-</v>
      </c>
      <c r="H60" s="46" t="str" cm="1">
        <f t="array" aca="1" ref="H60" ca="1">IF(ISERROR(_xlfn.SINGLE(_xll.BDP(H59, $E60))*1), "-", _xll.BDP(H59, $E60))</f>
        <v>-</v>
      </c>
      <c r="I60" s="46" t="str" cm="1">
        <f t="array" aca="1" ref="I60" ca="1">IF(ISERROR(_xlfn.SINGLE(_xll.BDP(I59, $E60))*1), "-", _xll.BDP(I59, $E60))</f>
        <v>-</v>
      </c>
      <c r="J60" s="46" t="str" cm="1">
        <f t="array" aca="1" ref="J60" ca="1">IF(ISERROR(_xlfn.SINGLE(_xll.BDP(J59, $E60))*1), "-", _xll.BDP(J59, $E60))</f>
        <v>-</v>
      </c>
      <c r="K60" s="46" t="str" cm="1">
        <f t="array" aca="1" ref="K60" ca="1">IF(ISERROR(_xlfn.SINGLE(_xll.BDP(K59, $E60))*1), "-", _xll.BDP(K59, $E60))</f>
        <v>-</v>
      </c>
      <c r="L60" s="46" t="str" cm="1">
        <f t="array" aca="1" ref="L60" ca="1">IF(ISERROR(_xlfn.SINGLE(_xll.BDP(L59, $E60))*1), "-", _xll.BDP(L59, $E60))</f>
        <v>-</v>
      </c>
      <c r="M60" s="46" t="str" cm="1">
        <f t="array" aca="1" ref="M60" ca="1">IF(ISERROR(_xlfn.SINGLE(_xll.BDP(M59, $E60))*1), "-", _xll.BDP(M59, $E60))</f>
        <v>-</v>
      </c>
      <c r="N60" s="46" t="str" cm="1">
        <f t="array" aca="1" ref="N60" ca="1">IF(ISERROR(_xlfn.SINGLE(_xll.BDP(N59, $E60))*1), "-", _xll.BDP(N59, $E60))</f>
        <v>-</v>
      </c>
      <c r="O60" s="46" t="str" cm="1">
        <f t="array" aca="1" ref="O60" ca="1">IF(ISERROR(_xlfn.SINGLE(_xll.BDP(O59, $E60))*1), "-", _xll.BDP(O59, $E60))</f>
        <v>-</v>
      </c>
      <c r="P60" s="46" t="str" cm="1">
        <f t="array" aca="1" ref="P60" ca="1">IF(ISERROR(_xlfn.SINGLE(_xll.BDP(P59, $E60))*1), "-", _xll.BDP(P59, $E60))</f>
        <v>-</v>
      </c>
      <c r="Q60" s="46" t="str" cm="1">
        <f t="array" aca="1" ref="Q60" ca="1">IF(ISERROR(_xlfn.SINGLE(_xll.BDP(Q59, $E60))*1), "-", _xll.BDP(Q59, $E60))</f>
        <v>-</v>
      </c>
      <c r="R60" s="46" t="str" cm="1">
        <f t="array" aca="1" ref="R60" ca="1">IF(ISERROR(_xlfn.SINGLE(_xll.BDP(R59, $E60))*1), "-", _xll.BDP(R59, $E60))</f>
        <v>-</v>
      </c>
      <c r="S60" s="46" t="str" cm="1">
        <f t="array" aca="1" ref="S60" ca="1">IF(ISERROR(_xlfn.SINGLE(_xll.BDP(S59, $E60))*1), "-", _xll.BDP(S59, $E60))</f>
        <v>-</v>
      </c>
      <c r="T60" s="46" t="str" cm="1">
        <f t="array" aca="1" ref="T60" ca="1">IF(ISERROR(_xlfn.SINGLE(_xll.BDP(T59, $E60))*1), "-", _xll.BDP(T59, $E60))</f>
        <v>-</v>
      </c>
      <c r="U60" s="46" t="str" cm="1">
        <f t="array" aca="1" ref="U60" ca="1">IF(ISERROR(_xlfn.SINGLE(_xll.BDP(U59, $E60))*1), "-", _xll.BDP(U59, $E60))</f>
        <v>-</v>
      </c>
      <c r="V60" s="46" t="str" cm="1">
        <f t="array" aca="1" ref="V60" ca="1">IF(ISERROR(_xlfn.SINGLE(_xll.BDP(V59, $E60))*1), "-", _xll.BDP(V59, $E60))</f>
        <v>-</v>
      </c>
      <c r="W60" s="46" t="str" cm="1">
        <f t="array" aca="1" ref="W60" ca="1">IF(ISERROR(_xlfn.SINGLE(_xll.BDP(W59, $E60))*1), "-", _xll.BDP(W59, $E60))</f>
        <v>-</v>
      </c>
      <c r="X60" s="46" t="str" cm="1">
        <f t="array" aca="1" ref="X60" ca="1">IF(ISERROR(_xlfn.SINGLE(_xll.BDP(X59, $E60))*1), "-", _xll.BDP(X59, $E60))</f>
        <v>-</v>
      </c>
      <c r="Y60" s="46" t="str" cm="1">
        <f t="array" aca="1" ref="Y60" ca="1">IF(ISERROR(_xlfn.SINGLE(_xll.BDP(Y59, $E60))*1), "-", _xll.BDP(Y59, $E60))</f>
        <v>-</v>
      </c>
      <c r="Z60" s="46" t="str" cm="1">
        <f t="array" aca="1" ref="Z60" ca="1">IF(ISERROR(_xlfn.SINGLE(_xll.BDP(Z59, $E60))*1), "-", _xll.BDP(Z59, $E60))</f>
        <v>-</v>
      </c>
      <c r="AA60" s="46" t="str" cm="1">
        <f t="array" aca="1" ref="AA60" ca="1">IF(ISERROR(_xlfn.SINGLE(_xll.BDP(AA59, $E60))*1), "-", _xll.BDP(AA59, $E60))</f>
        <v>-</v>
      </c>
      <c r="AB60" s="46" t="str" cm="1">
        <f t="array" aca="1" ref="AB60" ca="1">IF(ISERROR(_xlfn.SINGLE(_xll.BDP(AB59, $E60))*1), "-", _xll.BDP(AB59, $E60))</f>
        <v>-</v>
      </c>
      <c r="AC60" s="46" t="str" cm="1">
        <f t="array" aca="1" ref="AC60" ca="1">IF(ISERROR(_xlfn.SINGLE(_xll.BDP(AC59, $E60))*1), "-", _xll.BDP(AC59, $E60))</f>
        <v>-</v>
      </c>
      <c r="AD60" s="46" t="str" cm="1">
        <f t="array" aca="1" ref="AD60" ca="1">IF(ISERROR(_xlfn.SINGLE(_xll.BDP(AD59, $E60))*1), "-", _xll.BDP(AD59, $E60))</f>
        <v>-</v>
      </c>
      <c r="AE60" s="46" t="str" cm="1">
        <f t="array" aca="1" ref="AE60" ca="1">IF(ISERROR(_xlfn.SINGLE(_xll.BDP(AE59, $E60))*1), "-", _xll.BDP(AE59, $E60))</f>
        <v>-</v>
      </c>
      <c r="AF60" s="46" t="str" cm="1">
        <f t="array" aca="1" ref="AF60" ca="1">IF(ISERROR(_xlfn.SINGLE(_xll.BDP(AF59, $E60))*1), "-", _xll.BDP(AF59, $E60))</f>
        <v>-</v>
      </c>
      <c r="AG60" s="46" t="str" cm="1">
        <f t="array" aca="1" ref="AG60" ca="1">IF(ISERROR(_xlfn.SINGLE(_xll.BDP(AG59, $E60))*1), "-", _xll.BDP(AG59, $E60))</f>
        <v>-</v>
      </c>
      <c r="AH60" s="46" t="str" cm="1">
        <f t="array" aca="1" ref="AH60" ca="1">IF(ISERROR(_xlfn.SINGLE(_xll.BDP(AH59, $E60))*1), "-", _xll.BDP(AH59, $E60))</f>
        <v>-</v>
      </c>
      <c r="AI60" s="46" t="str" cm="1">
        <f t="array" aca="1" ref="AI60" ca="1">IF(ISERROR(_xlfn.SINGLE(_xll.BDP(AI59, $E60))*1), "-", _xll.BDP(AI59, $E60))</f>
        <v>-</v>
      </c>
      <c r="AJ60" s="46" t="str" cm="1">
        <f t="array" aca="1" ref="AJ60" ca="1">IF(ISERROR(_xlfn.SINGLE(_xll.BDP(AJ59, $E60))*1), "-", _xll.BDP(AJ59, $E60))</f>
        <v>-</v>
      </c>
      <c r="AK60" s="46" t="str" cm="1">
        <f t="array" aca="1" ref="AK60" ca="1">IF(ISERROR(_xlfn.SINGLE(_xll.BDP(AK59, $E60))*1), "-", _xll.BDP(AK59, $E60))</f>
        <v>-</v>
      </c>
      <c r="AL60" s="46" t="str" cm="1">
        <f t="array" aca="1" ref="AL60" ca="1">IF(ISERROR(_xlfn.SINGLE(_xll.BDP(AL59, $E60))*1), "-", _xll.BDP(AL59, $E60))</f>
        <v>-</v>
      </c>
      <c r="AM60" s="46" t="str" cm="1">
        <f t="array" aca="1" ref="AM60" ca="1">IF(ISERROR(_xlfn.SINGLE(_xll.BDP(AM59, $E60))*1), "-", _xll.BDP(AM59, $E60))</f>
        <v>-</v>
      </c>
      <c r="AN60" s="46" t="str" cm="1">
        <f t="array" aca="1" ref="AN60" ca="1">IF(ISERROR(_xlfn.SINGLE(_xll.BDP(AN59, $E60))*1), "-", _xll.BDP(AN59, $E60))</f>
        <v>-</v>
      </c>
      <c r="AO60" s="46" t="str" cm="1">
        <f t="array" aca="1" ref="AO60" ca="1">IF(ISERROR(_xlfn.SINGLE(_xll.BDP(AO59, $E60))*1), "-", _xll.BDP(AO59, $E60))</f>
        <v>-</v>
      </c>
      <c r="AP60" s="46" t="str" cm="1">
        <f t="array" aca="1" ref="AP60" ca="1">IF(ISERROR(_xlfn.SINGLE(_xll.BDP(AP59, $E60))*1), "-", _xll.BDP(AP59, $E60))</f>
        <v>-</v>
      </c>
      <c r="AQ60" s="46" t="str" cm="1">
        <f t="array" aca="1" ref="AQ60" ca="1">IF(ISERROR(_xlfn.SINGLE(_xll.BDP(AQ59, $E60))*1), "-", _xll.BDP(AQ59, $E60))</f>
        <v>-</v>
      </c>
      <c r="AR60" s="46" t="str" cm="1">
        <f t="array" aca="1" ref="AR60" ca="1">IF(ISERROR(_xlfn.SINGLE(_xll.BDP(AR59, $E60))*1), "-", _xll.BDP(AR59, $E60))</f>
        <v>-</v>
      </c>
      <c r="AS60" s="46" t="str" cm="1">
        <f t="array" aca="1" ref="AS60" ca="1">IF(ISERROR(_xlfn.SINGLE(_xll.BDP(AS59, $E60))*1), "-", _xll.BDP(AS59, $E60))</f>
        <v>-</v>
      </c>
      <c r="AT60" s="46" t="str" cm="1">
        <f t="array" aca="1" ref="AT60" ca="1">IF(ISERROR(_xlfn.SINGLE(_xll.BDP(AT59, $E60))*1), "-", _xll.BDP(AT59, $E60))</f>
        <v>-</v>
      </c>
      <c r="AU60" s="46" t="str" cm="1">
        <f t="array" aca="1" ref="AU60" ca="1">IF(ISERROR(_xlfn.SINGLE(_xll.BDP(AU59, $E60))*1), "-", _xll.BDP(AU59, $E60))</f>
        <v>-</v>
      </c>
      <c r="AV60" s="46" t="str" cm="1">
        <f t="array" aca="1" ref="AV60" ca="1">IF(ISERROR(_xlfn.SINGLE(_xll.BDP(AV59, $E60))*1), "-", _xll.BDP(AV59, $E60))</f>
        <v>-</v>
      </c>
      <c r="AW60" s="46" t="str" cm="1">
        <f t="array" aca="1" ref="AW60" ca="1">IF(ISERROR(_xlfn.SINGLE(_xll.BDP(AW59, $E60))*1), "-", _xll.BDP(AW59, $E60))</f>
        <v>-</v>
      </c>
      <c r="AX60" s="46" t="str" cm="1">
        <f t="array" aca="1" ref="AX60" ca="1">IF(ISERROR(_xlfn.SINGLE(_xll.BDP(AX59, $E60))*1), "-", _xll.BDP(AX59, $E60))</f>
        <v>-</v>
      </c>
      <c r="AY60" s="46" t="str" cm="1">
        <f t="array" aca="1" ref="AY60" ca="1">IF(ISERROR(_xlfn.SINGLE(_xll.BDP(AY59, $E60))*1), "-", _xll.BDP(AY59, $E60))</f>
        <v>-</v>
      </c>
      <c r="AZ60" s="46" t="str" cm="1">
        <f t="array" aca="1" ref="AZ60" ca="1">IF(ISERROR(_xlfn.SINGLE(_xll.BDP(AZ59, $E60))*1), "-", _xll.BDP(AZ59, $E60))</f>
        <v>-</v>
      </c>
      <c r="BA60" s="47" t="str" cm="1">
        <f t="array" aca="1" ref="BA60" ca="1">IF(ISERROR(_xlfn.SINGLE(_xll.BDP(BA59, $E60))*1), "-", _xll.BDP(BA59, $E60))</f>
        <v>-</v>
      </c>
    </row>
    <row r="61" spans="2:53" ht="15" hidden="1" customHeight="1"/>
    <row r="62" spans="2:53" ht="5.15" customHeight="1"/>
    <row r="63" spans="2:53" ht="15" customHeight="1">
      <c r="B63" s="38" t="s">
        <v>92</v>
      </c>
      <c r="C63" s="140" t="str">
        <f>trans_getMessage("","Curve Number",,LANG_ID)</f>
        <v>Curve Number</v>
      </c>
      <c r="D63" s="141"/>
      <c r="E63" s="142">
        <f>VLOOKUP(B63, 'Currency-Curve List'!$C$9:$E$103, 2, FALSE)</f>
        <v>193</v>
      </c>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4"/>
    </row>
    <row r="64" spans="2:53" ht="15" customHeight="1">
      <c r="C64" s="145" t="str">
        <f>trans_getMessage("","Curve Index",,LANG_ID)</f>
        <v>Curve Index</v>
      </c>
      <c r="D64" s="146"/>
      <c r="E64" s="147" t="str">
        <f>VLOOKUP(B63, 'Currency-Curve List'!$C$9:$E$103, 3, FALSE)</f>
        <v>YCSW0193 Index</v>
      </c>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148"/>
      <c r="AX64" s="148"/>
      <c r="AY64" s="148"/>
      <c r="AZ64" s="148"/>
      <c r="BA64" s="149"/>
    </row>
    <row r="65" spans="2:53" ht="15" customHeight="1">
      <c r="C65" s="145" t="str">
        <f>trans_getMessage("","Curve Name",,LANG_ID)</f>
        <v>Curve Name</v>
      </c>
      <c r="D65" s="146"/>
      <c r="E65" s="150" t="e" cm="1">
        <f t="array" aca="1" ref="E65" ca="1">_xll.BDP(E64, "NAME")</f>
        <v>#NAME?</v>
      </c>
      <c r="F65" s="151"/>
      <c r="G65" s="151"/>
      <c r="H65" s="151"/>
      <c r="I65" s="151"/>
      <c r="J65" s="151"/>
      <c r="K65" s="151"/>
      <c r="L65" s="151"/>
      <c r="M65" s="151"/>
      <c r="N65" s="151"/>
      <c r="O65" s="151"/>
      <c r="P65" s="151"/>
      <c r="Q65" s="151"/>
      <c r="R65" s="151"/>
      <c r="S65" s="151"/>
      <c r="T65" s="151"/>
      <c r="U65" s="151"/>
      <c r="V65" s="151"/>
      <c r="W65" s="151"/>
      <c r="X65" s="151"/>
      <c r="Y65" s="151"/>
      <c r="Z65" s="151"/>
      <c r="AA65" s="151"/>
      <c r="AB65" s="151"/>
      <c r="AC65" s="151"/>
      <c r="AD65" s="151"/>
      <c r="AE65" s="151"/>
      <c r="AF65" s="151"/>
      <c r="AG65" s="151"/>
      <c r="AH65" s="151"/>
      <c r="AI65" s="151"/>
      <c r="AJ65" s="151"/>
      <c r="AK65" s="151"/>
      <c r="AL65" s="151"/>
      <c r="AM65" s="151"/>
      <c r="AN65" s="151"/>
      <c r="AO65" s="151"/>
      <c r="AP65" s="151"/>
      <c r="AQ65" s="151"/>
      <c r="AR65" s="151"/>
      <c r="AS65" s="151"/>
      <c r="AT65" s="151"/>
      <c r="AU65" s="151"/>
      <c r="AV65" s="151"/>
      <c r="AW65" s="151"/>
      <c r="AX65" s="151"/>
      <c r="AY65" s="151"/>
      <c r="AZ65" s="151"/>
      <c r="BA65" s="152"/>
    </row>
    <row r="66" spans="2:53" ht="15" customHeight="1">
      <c r="C66" s="145" t="str">
        <f>trans_getMessage("","Tenors",,LANG_ID)</f>
        <v>Tenors</v>
      </c>
      <c r="D66" s="146"/>
      <c r="E66" s="48" t="s">
        <v>50</v>
      </c>
      <c r="F66" s="42" t="e" cm="1">
        <f t="array" aca="1" ref="F66" ca="1">_xll.BDS(E64,E66,"Dir=H",)</f>
        <v>#NAME?</v>
      </c>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4"/>
    </row>
    <row r="67" spans="2:53" ht="15" hidden="1" customHeight="1">
      <c r="C67" s="145" t="s">
        <v>2211</v>
      </c>
      <c r="D67" s="146"/>
      <c r="E67" s="48"/>
      <c r="F67" s="42" t="e">
        <f ca="1">IF(F66="","",IF(F66="12M","1Y",IF(F66="24M","2Y",F66)))</f>
        <v>#NAME?</v>
      </c>
      <c r="G67" s="42" t="str">
        <f t="shared" ref="G67" si="189">IF(G66="","",IF(G66="12M","1Y",IF(G66="24M","2Y",G66)))</f>
        <v/>
      </c>
      <c r="H67" s="42" t="str">
        <f t="shared" ref="H67" si="190">IF(H66="","",IF(H66="12M","1Y",IF(H66="24M","2Y",H66)))</f>
        <v/>
      </c>
      <c r="I67" s="42" t="str">
        <f t="shared" ref="I67" si="191">IF(I66="","",IF(I66="12M","1Y",IF(I66="24M","2Y",I66)))</f>
        <v/>
      </c>
      <c r="J67" s="42" t="str">
        <f t="shared" ref="J67" si="192">IF(J66="","",IF(J66="12M","1Y",IF(J66="24M","2Y",J66)))</f>
        <v/>
      </c>
      <c r="K67" s="42" t="str">
        <f t="shared" ref="K67" si="193">IF(K66="","",IF(K66="12M","1Y",IF(K66="24M","2Y",K66)))</f>
        <v/>
      </c>
      <c r="L67" s="42" t="str">
        <f t="shared" ref="L67" si="194">IF(L66="","",IF(L66="12M","1Y",IF(L66="24M","2Y",L66)))</f>
        <v/>
      </c>
      <c r="M67" s="42" t="str">
        <f t="shared" ref="M67" si="195">IF(M66="","",IF(M66="12M","1Y",IF(M66="24M","2Y",M66)))</f>
        <v/>
      </c>
      <c r="N67" s="42" t="str">
        <f t="shared" ref="N67" si="196">IF(N66="","",IF(N66="12M","1Y",IF(N66="24M","2Y",N66)))</f>
        <v/>
      </c>
      <c r="O67" s="42" t="str">
        <f t="shared" ref="O67" si="197">IF(O66="","",IF(O66="12M","1Y",IF(O66="24M","2Y",O66)))</f>
        <v/>
      </c>
      <c r="P67" s="42" t="str">
        <f t="shared" ref="P67" si="198">IF(P66="","",IF(P66="12M","1Y",IF(P66="24M","2Y",P66)))</f>
        <v/>
      </c>
      <c r="Q67" s="42" t="str">
        <f t="shared" ref="Q67" si="199">IF(Q66="","",IF(Q66="12M","1Y",IF(Q66="24M","2Y",Q66)))</f>
        <v/>
      </c>
      <c r="R67" s="42" t="str">
        <f t="shared" ref="R67" si="200">IF(R66="","",IF(R66="12M","1Y",IF(R66="24M","2Y",R66)))</f>
        <v/>
      </c>
      <c r="S67" s="42" t="str">
        <f t="shared" ref="S67" si="201">IF(S66="","",IF(S66="12M","1Y",IF(S66="24M","2Y",S66)))</f>
        <v/>
      </c>
      <c r="T67" s="42" t="str">
        <f t="shared" ref="T67" si="202">IF(T66="","",IF(T66="12M","1Y",IF(T66="24M","2Y",T66)))</f>
        <v/>
      </c>
      <c r="U67" s="42" t="str">
        <f t="shared" ref="U67" si="203">IF(U66="","",IF(U66="12M","1Y",IF(U66="24M","2Y",U66)))</f>
        <v/>
      </c>
      <c r="V67" s="42" t="str">
        <f t="shared" ref="V67" si="204">IF(V66="","",IF(V66="12M","1Y",IF(V66="24M","2Y",V66)))</f>
        <v/>
      </c>
      <c r="W67" s="42" t="str">
        <f t="shared" ref="W67" si="205">IF(W66="","",IF(W66="12M","1Y",IF(W66="24M","2Y",W66)))</f>
        <v/>
      </c>
      <c r="X67" s="42" t="str">
        <f t="shared" ref="X67" si="206">IF(X66="","",IF(X66="12M","1Y",IF(X66="24M","2Y",X66)))</f>
        <v/>
      </c>
      <c r="Y67" s="42" t="str">
        <f t="shared" ref="Y67" si="207">IF(Y66="","",IF(Y66="12M","1Y",IF(Y66="24M","2Y",Y66)))</f>
        <v/>
      </c>
      <c r="Z67" s="42" t="str">
        <f t="shared" ref="Z67" si="208">IF(Z66="","",IF(Z66="12M","1Y",IF(Z66="24M","2Y",Z66)))</f>
        <v/>
      </c>
      <c r="AA67" s="42" t="str">
        <f t="shared" ref="AA67" si="209">IF(AA66="","",IF(AA66="12M","1Y",IF(AA66="24M","2Y",AA66)))</f>
        <v/>
      </c>
      <c r="AB67" s="42" t="str">
        <f t="shared" ref="AB67" si="210">IF(AB66="","",IF(AB66="12M","1Y",IF(AB66="24M","2Y",AB66)))</f>
        <v/>
      </c>
      <c r="AC67" s="42" t="str">
        <f t="shared" ref="AC67" si="211">IF(AC66="","",IF(AC66="12M","1Y",IF(AC66="24M","2Y",AC66)))</f>
        <v/>
      </c>
      <c r="AD67" s="42" t="str">
        <f t="shared" ref="AD67" si="212">IF(AD66="","",IF(AD66="12M","1Y",IF(AD66="24M","2Y",AD66)))</f>
        <v/>
      </c>
      <c r="AE67" s="42" t="str">
        <f t="shared" ref="AE67" si="213">IF(AE66="","",IF(AE66="12M","1Y",IF(AE66="24M","2Y",AE66)))</f>
        <v/>
      </c>
      <c r="AF67" s="42" t="str">
        <f t="shared" ref="AF67" si="214">IF(AF66="","",IF(AF66="12M","1Y",IF(AF66="24M","2Y",AF66)))</f>
        <v/>
      </c>
      <c r="AG67" s="42" t="str">
        <f t="shared" ref="AG67" si="215">IF(AG66="","",IF(AG66="12M","1Y",IF(AG66="24M","2Y",AG66)))</f>
        <v/>
      </c>
      <c r="AH67" s="42" t="str">
        <f t="shared" ref="AH67" si="216">IF(AH66="","",IF(AH66="12M","1Y",IF(AH66="24M","2Y",AH66)))</f>
        <v/>
      </c>
      <c r="AI67" s="42" t="str">
        <f t="shared" ref="AI67" si="217">IF(AI66="","",IF(AI66="12M","1Y",IF(AI66="24M","2Y",AI66)))</f>
        <v/>
      </c>
      <c r="AJ67" s="42" t="str">
        <f t="shared" ref="AJ67" si="218">IF(AJ66="","",IF(AJ66="12M","1Y",IF(AJ66="24M","2Y",AJ66)))</f>
        <v/>
      </c>
      <c r="AK67" s="42" t="str">
        <f t="shared" ref="AK67" si="219">IF(AK66="","",IF(AK66="12M","1Y",IF(AK66="24M","2Y",AK66)))</f>
        <v/>
      </c>
      <c r="AL67" s="42" t="str">
        <f t="shared" ref="AL67" si="220">IF(AL66="","",IF(AL66="12M","1Y",IF(AL66="24M","2Y",AL66)))</f>
        <v/>
      </c>
      <c r="AM67" s="42" t="str">
        <f t="shared" ref="AM67" si="221">IF(AM66="","",IF(AM66="12M","1Y",IF(AM66="24M","2Y",AM66)))</f>
        <v/>
      </c>
      <c r="AN67" s="42" t="str">
        <f t="shared" ref="AN67" si="222">IF(AN66="","",IF(AN66="12M","1Y",IF(AN66="24M","2Y",AN66)))</f>
        <v/>
      </c>
      <c r="AO67" s="42" t="str">
        <f t="shared" ref="AO67" si="223">IF(AO66="","",IF(AO66="12M","1Y",IF(AO66="24M","2Y",AO66)))</f>
        <v/>
      </c>
      <c r="AP67" s="42" t="str">
        <f t="shared" ref="AP67" si="224">IF(AP66="","",IF(AP66="12M","1Y",IF(AP66="24M","2Y",AP66)))</f>
        <v/>
      </c>
      <c r="AQ67" s="42" t="str">
        <f t="shared" ref="AQ67" si="225">IF(AQ66="","",IF(AQ66="12M","1Y",IF(AQ66="24M","2Y",AQ66)))</f>
        <v/>
      </c>
      <c r="AR67" s="42" t="str">
        <f t="shared" ref="AR67" si="226">IF(AR66="","",IF(AR66="12M","1Y",IF(AR66="24M","2Y",AR66)))</f>
        <v/>
      </c>
      <c r="AS67" s="42" t="str">
        <f t="shared" ref="AS67" si="227">IF(AS66="","",IF(AS66="12M","1Y",IF(AS66="24M","2Y",AS66)))</f>
        <v/>
      </c>
      <c r="AT67" s="42" t="str">
        <f t="shared" ref="AT67" si="228">IF(AT66="","",IF(AT66="12M","1Y",IF(AT66="24M","2Y",AT66)))</f>
        <v/>
      </c>
      <c r="AU67" s="42" t="str">
        <f t="shared" ref="AU67" si="229">IF(AU66="","",IF(AU66="12M","1Y",IF(AU66="24M","2Y",AU66)))</f>
        <v/>
      </c>
      <c r="AV67" s="42" t="str">
        <f t="shared" ref="AV67" si="230">IF(AV66="","",IF(AV66="12M","1Y",IF(AV66="24M","2Y",AV66)))</f>
        <v/>
      </c>
      <c r="AW67" s="42" t="str">
        <f t="shared" ref="AW67" si="231">IF(AW66="","",IF(AW66="12M","1Y",IF(AW66="24M","2Y",AW66)))</f>
        <v/>
      </c>
      <c r="AX67" s="42" t="str">
        <f t="shared" ref="AX67" si="232">IF(AX66="","",IF(AX66="12M","1Y",IF(AX66="24M","2Y",AX66)))</f>
        <v/>
      </c>
      <c r="AY67" s="42" t="str">
        <f t="shared" ref="AY67" si="233">IF(AY66="","",IF(AY66="12M","1Y",IF(AY66="24M","2Y",AY66)))</f>
        <v/>
      </c>
      <c r="AZ67" s="42" t="str">
        <f t="shared" ref="AZ67" si="234">IF(AZ66="","",IF(AZ66="12M","1Y",IF(AZ66="24M","2Y",AZ66)))</f>
        <v/>
      </c>
      <c r="BA67" s="42" t="str">
        <f t="shared" ref="BA67" si="235">IF(BA66="","",IF(BA66="12M","1Y",IF(BA66="24M","2Y",BA66)))</f>
        <v/>
      </c>
    </row>
    <row r="68" spans="2:53" s="41" customFormat="1" ht="15" customHeight="1">
      <c r="B68" s="7"/>
      <c r="C68" s="153" t="str">
        <f>trans_getMessage("","Name",,LANG_ID)</f>
        <v>Name</v>
      </c>
      <c r="D68" s="154"/>
      <c r="E68" s="49" t="s">
        <v>49</v>
      </c>
      <c r="F68" s="43" t="e" cm="1">
        <f t="array" aca="1" ref="F68" ca="1">IF(LEFT(_xlfn.SINGLE(_xll.BDP(F69, $E68)),1)="#", "-", _xll.BDP(F69, $E68))</f>
        <v>#NAME?</v>
      </c>
      <c r="G68" s="43" t="e" cm="1">
        <f t="array" aca="1" ref="G68" ca="1">IF(LEFT(_xlfn.SINGLE(_xll.BDP(G69, $E68)),1)="#", "-", _xll.BDP(G69, $E68))</f>
        <v>#NAME?</v>
      </c>
      <c r="H68" s="43" t="e" cm="1">
        <f t="array" aca="1" ref="H68" ca="1">IF(LEFT(_xlfn.SINGLE(_xll.BDP(H69, $E68)),1)="#", "-", _xll.BDP(H69, $E68))</f>
        <v>#NAME?</v>
      </c>
      <c r="I68" s="43" t="e" cm="1">
        <f t="array" aca="1" ref="I68" ca="1">IF(LEFT(_xlfn.SINGLE(_xll.BDP(I69, $E68)),1)="#", "-", _xll.BDP(I69, $E68))</f>
        <v>#NAME?</v>
      </c>
      <c r="J68" s="43" t="e" cm="1">
        <f t="array" aca="1" ref="J68" ca="1">IF(LEFT(_xlfn.SINGLE(_xll.BDP(J69, $E68)),1)="#", "-", _xll.BDP(J69, $E68))</f>
        <v>#NAME?</v>
      </c>
      <c r="K68" s="43" t="e" cm="1">
        <f t="array" aca="1" ref="K68" ca="1">IF(LEFT(_xlfn.SINGLE(_xll.BDP(K69, $E68)),1)="#", "-", _xll.BDP(K69, $E68))</f>
        <v>#NAME?</v>
      </c>
      <c r="L68" s="43" t="e" cm="1">
        <f t="array" aca="1" ref="L68" ca="1">IF(LEFT(_xlfn.SINGLE(_xll.BDP(L69, $E68)),1)="#", "-", _xll.BDP(L69, $E68))</f>
        <v>#NAME?</v>
      </c>
      <c r="M68" s="43" t="e" cm="1">
        <f t="array" aca="1" ref="M68" ca="1">IF(LEFT(_xlfn.SINGLE(_xll.BDP(M69, $E68)),1)="#", "-", _xll.BDP(M69, $E68))</f>
        <v>#NAME?</v>
      </c>
      <c r="N68" s="43" t="e" cm="1">
        <f t="array" aca="1" ref="N68" ca="1">IF(LEFT(_xlfn.SINGLE(_xll.BDP(N69, $E68)),1)="#", "-", _xll.BDP(N69, $E68))</f>
        <v>#NAME?</v>
      </c>
      <c r="O68" s="43" t="e" cm="1">
        <f t="array" aca="1" ref="O68" ca="1">IF(LEFT(_xlfn.SINGLE(_xll.BDP(O69, $E68)),1)="#", "-", _xll.BDP(O69, $E68))</f>
        <v>#NAME?</v>
      </c>
      <c r="P68" s="43" t="e" cm="1">
        <f t="array" aca="1" ref="P68" ca="1">IF(LEFT(_xlfn.SINGLE(_xll.BDP(P69, $E68)),1)="#", "-", _xll.BDP(P69, $E68))</f>
        <v>#NAME?</v>
      </c>
      <c r="Q68" s="43" t="e" cm="1">
        <f t="array" aca="1" ref="Q68" ca="1">IF(LEFT(_xlfn.SINGLE(_xll.BDP(Q69, $E68)),1)="#", "-", _xll.BDP(Q69, $E68))</f>
        <v>#NAME?</v>
      </c>
      <c r="R68" s="43" t="e" cm="1">
        <f t="array" aca="1" ref="R68" ca="1">IF(LEFT(_xlfn.SINGLE(_xll.BDP(R69, $E68)),1)="#", "-", _xll.BDP(R69, $E68))</f>
        <v>#NAME?</v>
      </c>
      <c r="S68" s="43" t="e" cm="1">
        <f t="array" aca="1" ref="S68" ca="1">IF(LEFT(_xlfn.SINGLE(_xll.BDP(S69, $E68)),1)="#", "-", _xll.BDP(S69, $E68))</f>
        <v>#NAME?</v>
      </c>
      <c r="T68" s="43" t="e" cm="1">
        <f t="array" aca="1" ref="T68" ca="1">IF(LEFT(_xlfn.SINGLE(_xll.BDP(T69, $E68)),1)="#", "-", _xll.BDP(T69, $E68))</f>
        <v>#NAME?</v>
      </c>
      <c r="U68" s="43" t="e" cm="1">
        <f t="array" aca="1" ref="U68" ca="1">IF(LEFT(_xlfn.SINGLE(_xll.BDP(U69, $E68)),1)="#", "-", _xll.BDP(U69, $E68))</f>
        <v>#NAME?</v>
      </c>
      <c r="V68" s="43" t="e" cm="1">
        <f t="array" aca="1" ref="V68" ca="1">IF(LEFT(_xlfn.SINGLE(_xll.BDP(V69, $E68)),1)="#", "-", _xll.BDP(V69, $E68))</f>
        <v>#NAME?</v>
      </c>
      <c r="W68" s="43" t="e" cm="1">
        <f t="array" aca="1" ref="W68" ca="1">IF(LEFT(_xlfn.SINGLE(_xll.BDP(W69, $E68)),1)="#", "-", _xll.BDP(W69, $E68))</f>
        <v>#NAME?</v>
      </c>
      <c r="X68" s="43" t="e" cm="1">
        <f t="array" aca="1" ref="X68" ca="1">IF(LEFT(_xlfn.SINGLE(_xll.BDP(X69, $E68)),1)="#", "-", _xll.BDP(X69, $E68))</f>
        <v>#NAME?</v>
      </c>
      <c r="Y68" s="43" t="e" cm="1">
        <f t="array" aca="1" ref="Y68" ca="1">IF(LEFT(_xlfn.SINGLE(_xll.BDP(Y69, $E68)),1)="#", "-", _xll.BDP(Y69, $E68))</f>
        <v>#NAME?</v>
      </c>
      <c r="Z68" s="43" t="e" cm="1">
        <f t="array" aca="1" ref="Z68" ca="1">IF(LEFT(_xlfn.SINGLE(_xll.BDP(Z69, $E68)),1)="#", "-", _xll.BDP(Z69, $E68))</f>
        <v>#NAME?</v>
      </c>
      <c r="AA68" s="43" t="e" cm="1">
        <f t="array" aca="1" ref="AA68" ca="1">IF(LEFT(_xlfn.SINGLE(_xll.BDP(AA69, $E68)),1)="#", "-", _xll.BDP(AA69, $E68))</f>
        <v>#NAME?</v>
      </c>
      <c r="AB68" s="43" t="e" cm="1">
        <f t="array" aca="1" ref="AB68" ca="1">IF(LEFT(_xlfn.SINGLE(_xll.BDP(AB69, $E68)),1)="#", "-", _xll.BDP(AB69, $E68))</f>
        <v>#NAME?</v>
      </c>
      <c r="AC68" s="43" t="e" cm="1">
        <f t="array" aca="1" ref="AC68" ca="1">IF(LEFT(_xlfn.SINGLE(_xll.BDP(AC69, $E68)),1)="#", "-", _xll.BDP(AC69, $E68))</f>
        <v>#NAME?</v>
      </c>
      <c r="AD68" s="43" t="e" cm="1">
        <f t="array" aca="1" ref="AD68" ca="1">IF(LEFT(_xlfn.SINGLE(_xll.BDP(AD69, $E68)),1)="#", "-", _xll.BDP(AD69, $E68))</f>
        <v>#NAME?</v>
      </c>
      <c r="AE68" s="43" t="e" cm="1">
        <f t="array" aca="1" ref="AE68" ca="1">IF(LEFT(_xlfn.SINGLE(_xll.BDP(AE69, $E68)),1)="#", "-", _xll.BDP(AE69, $E68))</f>
        <v>#NAME?</v>
      </c>
      <c r="AF68" s="43" t="e" cm="1">
        <f t="array" aca="1" ref="AF68" ca="1">IF(LEFT(_xlfn.SINGLE(_xll.BDP(AF69, $E68)),1)="#", "-", _xll.BDP(AF69, $E68))</f>
        <v>#NAME?</v>
      </c>
      <c r="AG68" s="43" t="e" cm="1">
        <f t="array" aca="1" ref="AG68" ca="1">IF(LEFT(_xlfn.SINGLE(_xll.BDP(AG69, $E68)),1)="#", "-", _xll.BDP(AG69, $E68))</f>
        <v>#NAME?</v>
      </c>
      <c r="AH68" s="43" t="e" cm="1">
        <f t="array" aca="1" ref="AH68" ca="1">IF(LEFT(_xlfn.SINGLE(_xll.BDP(AH69, $E68)),1)="#", "-", _xll.BDP(AH69, $E68))</f>
        <v>#NAME?</v>
      </c>
      <c r="AI68" s="43" t="e" cm="1">
        <f t="array" aca="1" ref="AI68" ca="1">IF(LEFT(_xlfn.SINGLE(_xll.BDP(AI69, $E68)),1)="#", "-", _xll.BDP(AI69, $E68))</f>
        <v>#NAME?</v>
      </c>
      <c r="AJ68" s="43" t="e" cm="1">
        <f t="array" aca="1" ref="AJ68" ca="1">IF(LEFT(_xlfn.SINGLE(_xll.BDP(AJ69, $E68)),1)="#", "-", _xll.BDP(AJ69, $E68))</f>
        <v>#NAME?</v>
      </c>
      <c r="AK68" s="43" t="e" cm="1">
        <f t="array" aca="1" ref="AK68" ca="1">IF(LEFT(_xlfn.SINGLE(_xll.BDP(AK69, $E68)),1)="#", "-", _xll.BDP(AK69, $E68))</f>
        <v>#NAME?</v>
      </c>
      <c r="AL68" s="43" t="e" cm="1">
        <f t="array" aca="1" ref="AL68" ca="1">IF(LEFT(_xlfn.SINGLE(_xll.BDP(AL69, $E68)),1)="#", "-", _xll.BDP(AL69, $E68))</f>
        <v>#NAME?</v>
      </c>
      <c r="AM68" s="43" t="e" cm="1">
        <f t="array" aca="1" ref="AM68" ca="1">IF(LEFT(_xlfn.SINGLE(_xll.BDP(AM69, $E68)),1)="#", "-", _xll.BDP(AM69, $E68))</f>
        <v>#NAME?</v>
      </c>
      <c r="AN68" s="43" t="e" cm="1">
        <f t="array" aca="1" ref="AN68" ca="1">IF(LEFT(_xlfn.SINGLE(_xll.BDP(AN69, $E68)),1)="#", "-", _xll.BDP(AN69, $E68))</f>
        <v>#NAME?</v>
      </c>
      <c r="AO68" s="43" t="e" cm="1">
        <f t="array" aca="1" ref="AO68" ca="1">IF(LEFT(_xlfn.SINGLE(_xll.BDP(AO69, $E68)),1)="#", "-", _xll.BDP(AO69, $E68))</f>
        <v>#NAME?</v>
      </c>
      <c r="AP68" s="43" t="e" cm="1">
        <f t="array" aca="1" ref="AP68" ca="1">IF(LEFT(_xlfn.SINGLE(_xll.BDP(AP69, $E68)),1)="#", "-", _xll.BDP(AP69, $E68))</f>
        <v>#NAME?</v>
      </c>
      <c r="AQ68" s="43" t="e" cm="1">
        <f t="array" aca="1" ref="AQ68" ca="1">IF(LEFT(_xlfn.SINGLE(_xll.BDP(AQ69, $E68)),1)="#", "-", _xll.BDP(AQ69, $E68))</f>
        <v>#NAME?</v>
      </c>
      <c r="AR68" s="43" t="e" cm="1">
        <f t="array" aca="1" ref="AR68" ca="1">IF(LEFT(_xlfn.SINGLE(_xll.BDP(AR69, $E68)),1)="#", "-", _xll.BDP(AR69, $E68))</f>
        <v>#NAME?</v>
      </c>
      <c r="AS68" s="43" t="e" cm="1">
        <f t="array" aca="1" ref="AS68" ca="1">IF(LEFT(_xlfn.SINGLE(_xll.BDP(AS69, $E68)),1)="#", "-", _xll.BDP(AS69, $E68))</f>
        <v>#NAME?</v>
      </c>
      <c r="AT68" s="43" t="e" cm="1">
        <f t="array" aca="1" ref="AT68" ca="1">IF(LEFT(_xlfn.SINGLE(_xll.BDP(AT69, $E68)),1)="#", "-", _xll.BDP(AT69, $E68))</f>
        <v>#NAME?</v>
      </c>
      <c r="AU68" s="43" t="e" cm="1">
        <f t="array" aca="1" ref="AU68" ca="1">IF(LEFT(_xlfn.SINGLE(_xll.BDP(AU69, $E68)),1)="#", "-", _xll.BDP(AU69, $E68))</f>
        <v>#NAME?</v>
      </c>
      <c r="AV68" s="43" t="e" cm="1">
        <f t="array" aca="1" ref="AV68" ca="1">IF(LEFT(_xlfn.SINGLE(_xll.BDP(AV69, $E68)),1)="#", "-", _xll.BDP(AV69, $E68))</f>
        <v>#NAME?</v>
      </c>
      <c r="AW68" s="43" t="e" cm="1">
        <f t="array" aca="1" ref="AW68" ca="1">IF(LEFT(_xlfn.SINGLE(_xll.BDP(AW69, $E68)),1)="#", "-", _xll.BDP(AW69, $E68))</f>
        <v>#NAME?</v>
      </c>
      <c r="AX68" s="43" t="e" cm="1">
        <f t="array" aca="1" ref="AX68" ca="1">IF(LEFT(_xlfn.SINGLE(_xll.BDP(AX69, $E68)),1)="#", "-", _xll.BDP(AX69, $E68))</f>
        <v>#NAME?</v>
      </c>
      <c r="AY68" s="43" t="e" cm="1">
        <f t="array" aca="1" ref="AY68" ca="1">IF(LEFT(_xlfn.SINGLE(_xll.BDP(AY69, $E68)),1)="#", "-", _xll.BDP(AY69, $E68))</f>
        <v>#NAME?</v>
      </c>
      <c r="AZ68" s="43" t="e" cm="1">
        <f t="array" aca="1" ref="AZ68" ca="1">IF(LEFT(_xlfn.SINGLE(_xll.BDP(AZ69, $E68)),1)="#", "-", _xll.BDP(AZ69, $E68))</f>
        <v>#NAME?</v>
      </c>
      <c r="BA68" s="45" t="e" cm="1">
        <f t="array" aca="1" ref="BA68" ca="1">IF(LEFT(_xlfn.SINGLE(_xll.BDP(BA69, $E68)),1)="#", "-", _xll.BDP(BA69, $E68))</f>
        <v>#NAME?</v>
      </c>
    </row>
    <row r="69" spans="2:53" ht="15" customHeight="1">
      <c r="B69" s="40"/>
      <c r="C69" s="145" t="str">
        <f>trans_getMessage("","Curve Tickers",,LANG_ID)</f>
        <v>Curve Tickers</v>
      </c>
      <c r="D69" s="146"/>
      <c r="E69" s="50" t="s">
        <v>46</v>
      </c>
      <c r="F69" s="42" t="e" cm="1">
        <f t="array" aca="1" ref="F69" ca="1">_xll.BDS(E64,E69,"Dir=H",)</f>
        <v>#NAME?</v>
      </c>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4"/>
    </row>
    <row r="70" spans="2:53" ht="15" customHeight="1">
      <c r="C70" s="138" t="str">
        <f>trans_getMessage("","Rate",,LANG_ID)</f>
        <v>Rate</v>
      </c>
      <c r="D70" s="139"/>
      <c r="E70" s="51" t="s">
        <v>44</v>
      </c>
      <c r="F70" s="46" t="str" cm="1">
        <f t="array" aca="1" ref="F70" ca="1">IF(ISERROR(_xlfn.SINGLE(_xll.BDP(F69, $E70))*1), "-", _xll.BDP(F69, $E70))</f>
        <v>-</v>
      </c>
      <c r="G70" s="46" t="str" cm="1">
        <f t="array" aca="1" ref="G70" ca="1">IF(ISERROR(_xlfn.SINGLE(_xll.BDP(G69, $E70))*1), "-", _xll.BDP(G69, $E70))</f>
        <v>-</v>
      </c>
      <c r="H70" s="46" t="str" cm="1">
        <f t="array" aca="1" ref="H70" ca="1">IF(ISERROR(_xlfn.SINGLE(_xll.BDP(H69, $E70))*1), "-", _xll.BDP(H69, $E70))</f>
        <v>-</v>
      </c>
      <c r="I70" s="46" t="str" cm="1">
        <f t="array" aca="1" ref="I70" ca="1">IF(ISERROR(_xlfn.SINGLE(_xll.BDP(I69, $E70))*1), "-", _xll.BDP(I69, $E70))</f>
        <v>-</v>
      </c>
      <c r="J70" s="46" t="str" cm="1">
        <f t="array" aca="1" ref="J70" ca="1">IF(ISERROR(_xlfn.SINGLE(_xll.BDP(J69, $E70))*1), "-", _xll.BDP(J69, $E70))</f>
        <v>-</v>
      </c>
      <c r="K70" s="46" t="str" cm="1">
        <f t="array" aca="1" ref="K70" ca="1">IF(ISERROR(_xlfn.SINGLE(_xll.BDP(K69, $E70))*1), "-", _xll.BDP(K69, $E70))</f>
        <v>-</v>
      </c>
      <c r="L70" s="46" t="str" cm="1">
        <f t="array" aca="1" ref="L70" ca="1">IF(ISERROR(_xlfn.SINGLE(_xll.BDP(L69, $E70))*1), "-", _xll.BDP(L69, $E70))</f>
        <v>-</v>
      </c>
      <c r="M70" s="46" t="str" cm="1">
        <f t="array" aca="1" ref="M70" ca="1">IF(ISERROR(_xlfn.SINGLE(_xll.BDP(M69, $E70))*1), "-", _xll.BDP(M69, $E70))</f>
        <v>-</v>
      </c>
      <c r="N70" s="46" t="str" cm="1">
        <f t="array" aca="1" ref="N70" ca="1">IF(ISERROR(_xlfn.SINGLE(_xll.BDP(N69, $E70))*1), "-", _xll.BDP(N69, $E70))</f>
        <v>-</v>
      </c>
      <c r="O70" s="46" t="str" cm="1">
        <f t="array" aca="1" ref="O70" ca="1">IF(ISERROR(_xlfn.SINGLE(_xll.BDP(O69, $E70))*1), "-", _xll.BDP(O69, $E70))</f>
        <v>-</v>
      </c>
      <c r="P70" s="46" t="str" cm="1">
        <f t="array" aca="1" ref="P70" ca="1">IF(ISERROR(_xlfn.SINGLE(_xll.BDP(P69, $E70))*1), "-", _xll.BDP(P69, $E70))</f>
        <v>-</v>
      </c>
      <c r="Q70" s="46" t="str" cm="1">
        <f t="array" aca="1" ref="Q70" ca="1">IF(ISERROR(_xlfn.SINGLE(_xll.BDP(Q69, $E70))*1), "-", _xll.BDP(Q69, $E70))</f>
        <v>-</v>
      </c>
      <c r="R70" s="46" t="str" cm="1">
        <f t="array" aca="1" ref="R70" ca="1">IF(ISERROR(_xlfn.SINGLE(_xll.BDP(R69, $E70))*1), "-", _xll.BDP(R69, $E70))</f>
        <v>-</v>
      </c>
      <c r="S70" s="46" t="str" cm="1">
        <f t="array" aca="1" ref="S70" ca="1">IF(ISERROR(_xlfn.SINGLE(_xll.BDP(S69, $E70))*1), "-", _xll.BDP(S69, $E70))</f>
        <v>-</v>
      </c>
      <c r="T70" s="46" t="str" cm="1">
        <f t="array" aca="1" ref="T70" ca="1">IF(ISERROR(_xlfn.SINGLE(_xll.BDP(T69, $E70))*1), "-", _xll.BDP(T69, $E70))</f>
        <v>-</v>
      </c>
      <c r="U70" s="46" t="str" cm="1">
        <f t="array" aca="1" ref="U70" ca="1">IF(ISERROR(_xlfn.SINGLE(_xll.BDP(U69, $E70))*1), "-", _xll.BDP(U69, $E70))</f>
        <v>-</v>
      </c>
      <c r="V70" s="46" t="str" cm="1">
        <f t="array" aca="1" ref="V70" ca="1">IF(ISERROR(_xlfn.SINGLE(_xll.BDP(V69, $E70))*1), "-", _xll.BDP(V69, $E70))</f>
        <v>-</v>
      </c>
      <c r="W70" s="46" t="str" cm="1">
        <f t="array" aca="1" ref="W70" ca="1">IF(ISERROR(_xlfn.SINGLE(_xll.BDP(W69, $E70))*1), "-", _xll.BDP(W69, $E70))</f>
        <v>-</v>
      </c>
      <c r="X70" s="46" t="str" cm="1">
        <f t="array" aca="1" ref="X70" ca="1">IF(ISERROR(_xlfn.SINGLE(_xll.BDP(X69, $E70))*1), "-", _xll.BDP(X69, $E70))</f>
        <v>-</v>
      </c>
      <c r="Y70" s="46" t="str" cm="1">
        <f t="array" aca="1" ref="Y70" ca="1">IF(ISERROR(_xlfn.SINGLE(_xll.BDP(Y69, $E70))*1), "-", _xll.BDP(Y69, $E70))</f>
        <v>-</v>
      </c>
      <c r="Z70" s="46" t="str" cm="1">
        <f t="array" aca="1" ref="Z70" ca="1">IF(ISERROR(_xlfn.SINGLE(_xll.BDP(Z69, $E70))*1), "-", _xll.BDP(Z69, $E70))</f>
        <v>-</v>
      </c>
      <c r="AA70" s="46" t="str" cm="1">
        <f t="array" aca="1" ref="AA70" ca="1">IF(ISERROR(_xlfn.SINGLE(_xll.BDP(AA69, $E70))*1), "-", _xll.BDP(AA69, $E70))</f>
        <v>-</v>
      </c>
      <c r="AB70" s="46" t="str" cm="1">
        <f t="array" aca="1" ref="AB70" ca="1">IF(ISERROR(_xlfn.SINGLE(_xll.BDP(AB69, $E70))*1), "-", _xll.BDP(AB69, $E70))</f>
        <v>-</v>
      </c>
      <c r="AC70" s="46" t="str" cm="1">
        <f t="array" aca="1" ref="AC70" ca="1">IF(ISERROR(_xlfn.SINGLE(_xll.BDP(AC69, $E70))*1), "-", _xll.BDP(AC69, $E70))</f>
        <v>-</v>
      </c>
      <c r="AD70" s="46" t="str" cm="1">
        <f t="array" aca="1" ref="AD70" ca="1">IF(ISERROR(_xlfn.SINGLE(_xll.BDP(AD69, $E70))*1), "-", _xll.BDP(AD69, $E70))</f>
        <v>-</v>
      </c>
      <c r="AE70" s="46" t="str" cm="1">
        <f t="array" aca="1" ref="AE70" ca="1">IF(ISERROR(_xlfn.SINGLE(_xll.BDP(AE69, $E70))*1), "-", _xll.BDP(AE69, $E70))</f>
        <v>-</v>
      </c>
      <c r="AF70" s="46" t="str" cm="1">
        <f t="array" aca="1" ref="AF70" ca="1">IF(ISERROR(_xlfn.SINGLE(_xll.BDP(AF69, $E70))*1), "-", _xll.BDP(AF69, $E70))</f>
        <v>-</v>
      </c>
      <c r="AG70" s="46" t="str" cm="1">
        <f t="array" aca="1" ref="AG70" ca="1">IF(ISERROR(_xlfn.SINGLE(_xll.BDP(AG69, $E70))*1), "-", _xll.BDP(AG69, $E70))</f>
        <v>-</v>
      </c>
      <c r="AH70" s="46" t="str" cm="1">
        <f t="array" aca="1" ref="AH70" ca="1">IF(ISERROR(_xlfn.SINGLE(_xll.BDP(AH69, $E70))*1), "-", _xll.BDP(AH69, $E70))</f>
        <v>-</v>
      </c>
      <c r="AI70" s="46" t="str" cm="1">
        <f t="array" aca="1" ref="AI70" ca="1">IF(ISERROR(_xlfn.SINGLE(_xll.BDP(AI69, $E70))*1), "-", _xll.BDP(AI69, $E70))</f>
        <v>-</v>
      </c>
      <c r="AJ70" s="46" t="str" cm="1">
        <f t="array" aca="1" ref="AJ70" ca="1">IF(ISERROR(_xlfn.SINGLE(_xll.BDP(AJ69, $E70))*1), "-", _xll.BDP(AJ69, $E70))</f>
        <v>-</v>
      </c>
      <c r="AK70" s="46" t="str" cm="1">
        <f t="array" aca="1" ref="AK70" ca="1">IF(ISERROR(_xlfn.SINGLE(_xll.BDP(AK69, $E70))*1), "-", _xll.BDP(AK69, $E70))</f>
        <v>-</v>
      </c>
      <c r="AL70" s="46" t="str" cm="1">
        <f t="array" aca="1" ref="AL70" ca="1">IF(ISERROR(_xlfn.SINGLE(_xll.BDP(AL69, $E70))*1), "-", _xll.BDP(AL69, $E70))</f>
        <v>-</v>
      </c>
      <c r="AM70" s="46" t="str" cm="1">
        <f t="array" aca="1" ref="AM70" ca="1">IF(ISERROR(_xlfn.SINGLE(_xll.BDP(AM69, $E70))*1), "-", _xll.BDP(AM69, $E70))</f>
        <v>-</v>
      </c>
      <c r="AN70" s="46" t="str" cm="1">
        <f t="array" aca="1" ref="AN70" ca="1">IF(ISERROR(_xlfn.SINGLE(_xll.BDP(AN69, $E70))*1), "-", _xll.BDP(AN69, $E70))</f>
        <v>-</v>
      </c>
      <c r="AO70" s="46" t="str" cm="1">
        <f t="array" aca="1" ref="AO70" ca="1">IF(ISERROR(_xlfn.SINGLE(_xll.BDP(AO69, $E70))*1), "-", _xll.BDP(AO69, $E70))</f>
        <v>-</v>
      </c>
      <c r="AP70" s="46" t="str" cm="1">
        <f t="array" aca="1" ref="AP70" ca="1">IF(ISERROR(_xlfn.SINGLE(_xll.BDP(AP69, $E70))*1), "-", _xll.BDP(AP69, $E70))</f>
        <v>-</v>
      </c>
      <c r="AQ70" s="46" t="str" cm="1">
        <f t="array" aca="1" ref="AQ70" ca="1">IF(ISERROR(_xlfn.SINGLE(_xll.BDP(AQ69, $E70))*1), "-", _xll.BDP(AQ69, $E70))</f>
        <v>-</v>
      </c>
      <c r="AR70" s="46" t="str" cm="1">
        <f t="array" aca="1" ref="AR70" ca="1">IF(ISERROR(_xlfn.SINGLE(_xll.BDP(AR69, $E70))*1), "-", _xll.BDP(AR69, $E70))</f>
        <v>-</v>
      </c>
      <c r="AS70" s="46" t="str" cm="1">
        <f t="array" aca="1" ref="AS70" ca="1">IF(ISERROR(_xlfn.SINGLE(_xll.BDP(AS69, $E70))*1), "-", _xll.BDP(AS69, $E70))</f>
        <v>-</v>
      </c>
      <c r="AT70" s="46" t="str" cm="1">
        <f t="array" aca="1" ref="AT70" ca="1">IF(ISERROR(_xlfn.SINGLE(_xll.BDP(AT69, $E70))*1), "-", _xll.BDP(AT69, $E70))</f>
        <v>-</v>
      </c>
      <c r="AU70" s="46" t="str" cm="1">
        <f t="array" aca="1" ref="AU70" ca="1">IF(ISERROR(_xlfn.SINGLE(_xll.BDP(AU69, $E70))*1), "-", _xll.BDP(AU69, $E70))</f>
        <v>-</v>
      </c>
      <c r="AV70" s="46" t="str" cm="1">
        <f t="array" aca="1" ref="AV70" ca="1">IF(ISERROR(_xlfn.SINGLE(_xll.BDP(AV69, $E70))*1), "-", _xll.BDP(AV69, $E70))</f>
        <v>-</v>
      </c>
      <c r="AW70" s="46" t="str" cm="1">
        <f t="array" aca="1" ref="AW70" ca="1">IF(ISERROR(_xlfn.SINGLE(_xll.BDP(AW69, $E70))*1), "-", _xll.BDP(AW69, $E70))</f>
        <v>-</v>
      </c>
      <c r="AX70" s="46" t="str" cm="1">
        <f t="array" aca="1" ref="AX70" ca="1">IF(ISERROR(_xlfn.SINGLE(_xll.BDP(AX69, $E70))*1), "-", _xll.BDP(AX69, $E70))</f>
        <v>-</v>
      </c>
      <c r="AY70" s="46" t="str" cm="1">
        <f t="array" aca="1" ref="AY70" ca="1">IF(ISERROR(_xlfn.SINGLE(_xll.BDP(AY69, $E70))*1), "-", _xll.BDP(AY69, $E70))</f>
        <v>-</v>
      </c>
      <c r="AZ70" s="46" t="str" cm="1">
        <f t="array" aca="1" ref="AZ70" ca="1">IF(ISERROR(_xlfn.SINGLE(_xll.BDP(AZ69, $E70))*1), "-", _xll.BDP(AZ69, $E70))</f>
        <v>-</v>
      </c>
      <c r="BA70" s="47" t="str" cm="1">
        <f t="array" aca="1" ref="BA70" ca="1">IF(ISERROR(_xlfn.SINGLE(_xll.BDP(BA69, $E70))*1), "-", _xll.BDP(BA69, $E70))</f>
        <v>-</v>
      </c>
    </row>
    <row r="71" spans="2:53" ht="15" hidden="1" customHeight="1"/>
    <row r="72" spans="2:53" ht="5.15" customHeight="1"/>
    <row r="73" spans="2:53" ht="15" customHeight="1">
      <c r="B73" s="38" t="s">
        <v>82</v>
      </c>
      <c r="C73" s="140" t="str">
        <f>trans_getMessage("","Curve Number",,LANG_ID)</f>
        <v>Curve Number</v>
      </c>
      <c r="D73" s="141"/>
      <c r="E73" s="142">
        <f>VLOOKUP(B73, 'Currency-Curve List'!$C$9:$E$103, 2, FALSE)</f>
        <v>204</v>
      </c>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143"/>
      <c r="BA73" s="144"/>
    </row>
    <row r="74" spans="2:53" ht="15" customHeight="1">
      <c r="C74" s="145" t="str">
        <f>trans_getMessage("","Curve Index",,LANG_ID)</f>
        <v>Curve Index</v>
      </c>
      <c r="D74" s="146"/>
      <c r="E74" s="147" t="str">
        <f>VLOOKUP(B73, 'Currency-Curve List'!$C$9:$E$103, 3, FALSE)</f>
        <v>YCSW0204 Index</v>
      </c>
      <c r="F74" s="148"/>
      <c r="G74" s="148" t="s">
        <v>2</v>
      </c>
      <c r="H74" s="148" t="s">
        <v>3</v>
      </c>
      <c r="I74" s="148" t="s">
        <v>15</v>
      </c>
      <c r="J74" s="148" t="s">
        <v>5</v>
      </c>
      <c r="K74" s="148" t="s">
        <v>6</v>
      </c>
      <c r="L74" s="148" t="s">
        <v>7</v>
      </c>
      <c r="M74" s="148" t="s">
        <v>8</v>
      </c>
      <c r="N74" s="148" t="s">
        <v>9</v>
      </c>
      <c r="O74" s="148" t="s">
        <v>17</v>
      </c>
      <c r="P74" s="148" t="s">
        <v>18</v>
      </c>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9"/>
    </row>
    <row r="75" spans="2:53" ht="15" customHeight="1">
      <c r="C75" s="145" t="str">
        <f>trans_getMessage("","Curve Name",,LANG_ID)</f>
        <v>Curve Name</v>
      </c>
      <c r="D75" s="146"/>
      <c r="E75" s="150" t="e" cm="1">
        <f t="array" aca="1" ref="E75" ca="1">_xll.BDP(E74, "NAME")</f>
        <v>#NAME?</v>
      </c>
      <c r="F75" s="151"/>
      <c r="G75" s="151"/>
      <c r="H75" s="151"/>
      <c r="I75" s="151"/>
      <c r="J75" s="151"/>
      <c r="K75" s="151"/>
      <c r="L75" s="151"/>
      <c r="M75" s="151"/>
      <c r="N75" s="151"/>
      <c r="O75" s="151"/>
      <c r="P75" s="151"/>
      <c r="Q75" s="151"/>
      <c r="R75" s="151"/>
      <c r="S75" s="151"/>
      <c r="T75" s="151"/>
      <c r="U75" s="151"/>
      <c r="V75" s="151"/>
      <c r="W75" s="151"/>
      <c r="X75" s="151"/>
      <c r="Y75" s="151"/>
      <c r="Z75" s="151"/>
      <c r="AA75" s="151"/>
      <c r="AB75" s="151"/>
      <c r="AC75" s="151"/>
      <c r="AD75" s="151"/>
      <c r="AE75" s="151"/>
      <c r="AF75" s="151"/>
      <c r="AG75" s="151"/>
      <c r="AH75" s="151"/>
      <c r="AI75" s="151"/>
      <c r="AJ75" s="151"/>
      <c r="AK75" s="151"/>
      <c r="AL75" s="151"/>
      <c r="AM75" s="151"/>
      <c r="AN75" s="151"/>
      <c r="AO75" s="151"/>
      <c r="AP75" s="151"/>
      <c r="AQ75" s="151"/>
      <c r="AR75" s="151"/>
      <c r="AS75" s="151"/>
      <c r="AT75" s="151"/>
      <c r="AU75" s="151"/>
      <c r="AV75" s="151"/>
      <c r="AW75" s="151"/>
      <c r="AX75" s="151"/>
      <c r="AY75" s="151"/>
      <c r="AZ75" s="151"/>
      <c r="BA75" s="152"/>
    </row>
    <row r="76" spans="2:53" ht="15" customHeight="1">
      <c r="C76" s="145" t="str">
        <f>trans_getMessage("","Tenors",,LANG_ID)</f>
        <v>Tenors</v>
      </c>
      <c r="D76" s="146"/>
      <c r="E76" s="48" t="s">
        <v>50</v>
      </c>
      <c r="F76" s="42" t="e" cm="1">
        <f t="array" aca="1" ref="F76" ca="1">_xll.BDS(E74,E76,"Dir=H",)</f>
        <v>#NAME?</v>
      </c>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4"/>
    </row>
    <row r="77" spans="2:53" ht="15" hidden="1" customHeight="1">
      <c r="C77" s="145" t="s">
        <v>2211</v>
      </c>
      <c r="D77" s="146"/>
      <c r="E77" s="48"/>
      <c r="F77" s="42" t="e">
        <f ca="1">IF(F76="","",IF(F76="12M","1Y",IF(F76="24M","2Y",F76)))</f>
        <v>#NAME?</v>
      </c>
      <c r="G77" s="42" t="str">
        <f t="shared" ref="G77" si="236">IF(G76="","",IF(G76="12M","1Y",IF(G76="24M","2Y",G76)))</f>
        <v/>
      </c>
      <c r="H77" s="42" t="str">
        <f t="shared" ref="H77" si="237">IF(H76="","",IF(H76="12M","1Y",IF(H76="24M","2Y",H76)))</f>
        <v/>
      </c>
      <c r="I77" s="42" t="str">
        <f t="shared" ref="I77" si="238">IF(I76="","",IF(I76="12M","1Y",IF(I76="24M","2Y",I76)))</f>
        <v/>
      </c>
      <c r="J77" s="42" t="str">
        <f t="shared" ref="J77" si="239">IF(J76="","",IF(J76="12M","1Y",IF(J76="24M","2Y",J76)))</f>
        <v/>
      </c>
      <c r="K77" s="42" t="str">
        <f t="shared" ref="K77" si="240">IF(K76="","",IF(K76="12M","1Y",IF(K76="24M","2Y",K76)))</f>
        <v/>
      </c>
      <c r="L77" s="42" t="str">
        <f t="shared" ref="L77" si="241">IF(L76="","",IF(L76="12M","1Y",IF(L76="24M","2Y",L76)))</f>
        <v/>
      </c>
      <c r="M77" s="42" t="str">
        <f t="shared" ref="M77" si="242">IF(M76="","",IF(M76="12M","1Y",IF(M76="24M","2Y",M76)))</f>
        <v/>
      </c>
      <c r="N77" s="42" t="str">
        <f t="shared" ref="N77" si="243">IF(N76="","",IF(N76="12M","1Y",IF(N76="24M","2Y",N76)))</f>
        <v/>
      </c>
      <c r="O77" s="42" t="str">
        <f t="shared" ref="O77" si="244">IF(O76="","",IF(O76="12M","1Y",IF(O76="24M","2Y",O76)))</f>
        <v/>
      </c>
      <c r="P77" s="42" t="str">
        <f t="shared" ref="P77" si="245">IF(P76="","",IF(P76="12M","1Y",IF(P76="24M","2Y",P76)))</f>
        <v/>
      </c>
      <c r="Q77" s="42" t="str">
        <f t="shared" ref="Q77" si="246">IF(Q76="","",IF(Q76="12M","1Y",IF(Q76="24M","2Y",Q76)))</f>
        <v/>
      </c>
      <c r="R77" s="42" t="str">
        <f t="shared" ref="R77" si="247">IF(R76="","",IF(R76="12M","1Y",IF(R76="24M","2Y",R76)))</f>
        <v/>
      </c>
      <c r="S77" s="42" t="str">
        <f t="shared" ref="S77" si="248">IF(S76="","",IF(S76="12M","1Y",IF(S76="24M","2Y",S76)))</f>
        <v/>
      </c>
      <c r="T77" s="42" t="str">
        <f t="shared" ref="T77" si="249">IF(T76="","",IF(T76="12M","1Y",IF(T76="24M","2Y",T76)))</f>
        <v/>
      </c>
      <c r="U77" s="42" t="str">
        <f t="shared" ref="U77" si="250">IF(U76="","",IF(U76="12M","1Y",IF(U76="24M","2Y",U76)))</f>
        <v/>
      </c>
      <c r="V77" s="42" t="str">
        <f t="shared" ref="V77" si="251">IF(V76="","",IF(V76="12M","1Y",IF(V76="24M","2Y",V76)))</f>
        <v/>
      </c>
      <c r="W77" s="42" t="str">
        <f t="shared" ref="W77" si="252">IF(W76="","",IF(W76="12M","1Y",IF(W76="24M","2Y",W76)))</f>
        <v/>
      </c>
      <c r="X77" s="42" t="str">
        <f t="shared" ref="X77" si="253">IF(X76="","",IF(X76="12M","1Y",IF(X76="24M","2Y",X76)))</f>
        <v/>
      </c>
      <c r="Y77" s="42" t="str">
        <f t="shared" ref="Y77" si="254">IF(Y76="","",IF(Y76="12M","1Y",IF(Y76="24M","2Y",Y76)))</f>
        <v/>
      </c>
      <c r="Z77" s="42" t="str">
        <f t="shared" ref="Z77" si="255">IF(Z76="","",IF(Z76="12M","1Y",IF(Z76="24M","2Y",Z76)))</f>
        <v/>
      </c>
      <c r="AA77" s="42" t="str">
        <f t="shared" ref="AA77" si="256">IF(AA76="","",IF(AA76="12M","1Y",IF(AA76="24M","2Y",AA76)))</f>
        <v/>
      </c>
      <c r="AB77" s="42" t="str">
        <f t="shared" ref="AB77" si="257">IF(AB76="","",IF(AB76="12M","1Y",IF(AB76="24M","2Y",AB76)))</f>
        <v/>
      </c>
      <c r="AC77" s="42" t="str">
        <f t="shared" ref="AC77" si="258">IF(AC76="","",IF(AC76="12M","1Y",IF(AC76="24M","2Y",AC76)))</f>
        <v/>
      </c>
      <c r="AD77" s="42" t="str">
        <f t="shared" ref="AD77" si="259">IF(AD76="","",IF(AD76="12M","1Y",IF(AD76="24M","2Y",AD76)))</f>
        <v/>
      </c>
      <c r="AE77" s="42" t="str">
        <f t="shared" ref="AE77" si="260">IF(AE76="","",IF(AE76="12M","1Y",IF(AE76="24M","2Y",AE76)))</f>
        <v/>
      </c>
      <c r="AF77" s="42" t="str">
        <f t="shared" ref="AF77" si="261">IF(AF76="","",IF(AF76="12M","1Y",IF(AF76="24M","2Y",AF76)))</f>
        <v/>
      </c>
      <c r="AG77" s="42" t="str">
        <f t="shared" ref="AG77" si="262">IF(AG76="","",IF(AG76="12M","1Y",IF(AG76="24M","2Y",AG76)))</f>
        <v/>
      </c>
      <c r="AH77" s="42" t="str">
        <f t="shared" ref="AH77" si="263">IF(AH76="","",IF(AH76="12M","1Y",IF(AH76="24M","2Y",AH76)))</f>
        <v/>
      </c>
      <c r="AI77" s="42" t="str">
        <f t="shared" ref="AI77" si="264">IF(AI76="","",IF(AI76="12M","1Y",IF(AI76="24M","2Y",AI76)))</f>
        <v/>
      </c>
      <c r="AJ77" s="42" t="str">
        <f t="shared" ref="AJ77" si="265">IF(AJ76="","",IF(AJ76="12M","1Y",IF(AJ76="24M","2Y",AJ76)))</f>
        <v/>
      </c>
      <c r="AK77" s="42" t="str">
        <f t="shared" ref="AK77" si="266">IF(AK76="","",IF(AK76="12M","1Y",IF(AK76="24M","2Y",AK76)))</f>
        <v/>
      </c>
      <c r="AL77" s="42" t="str">
        <f t="shared" ref="AL77" si="267">IF(AL76="","",IF(AL76="12M","1Y",IF(AL76="24M","2Y",AL76)))</f>
        <v/>
      </c>
      <c r="AM77" s="42" t="str">
        <f t="shared" ref="AM77" si="268">IF(AM76="","",IF(AM76="12M","1Y",IF(AM76="24M","2Y",AM76)))</f>
        <v/>
      </c>
      <c r="AN77" s="42" t="str">
        <f t="shared" ref="AN77" si="269">IF(AN76="","",IF(AN76="12M","1Y",IF(AN76="24M","2Y",AN76)))</f>
        <v/>
      </c>
      <c r="AO77" s="42" t="str">
        <f t="shared" ref="AO77" si="270">IF(AO76="","",IF(AO76="12M","1Y",IF(AO76="24M","2Y",AO76)))</f>
        <v/>
      </c>
      <c r="AP77" s="42" t="str">
        <f t="shared" ref="AP77" si="271">IF(AP76="","",IF(AP76="12M","1Y",IF(AP76="24M","2Y",AP76)))</f>
        <v/>
      </c>
      <c r="AQ77" s="42" t="str">
        <f t="shared" ref="AQ77" si="272">IF(AQ76="","",IF(AQ76="12M","1Y",IF(AQ76="24M","2Y",AQ76)))</f>
        <v/>
      </c>
      <c r="AR77" s="42" t="str">
        <f t="shared" ref="AR77" si="273">IF(AR76="","",IF(AR76="12M","1Y",IF(AR76="24M","2Y",AR76)))</f>
        <v/>
      </c>
      <c r="AS77" s="42" t="str">
        <f t="shared" ref="AS77" si="274">IF(AS76="","",IF(AS76="12M","1Y",IF(AS76="24M","2Y",AS76)))</f>
        <v/>
      </c>
      <c r="AT77" s="42" t="str">
        <f t="shared" ref="AT77" si="275">IF(AT76="","",IF(AT76="12M","1Y",IF(AT76="24M","2Y",AT76)))</f>
        <v/>
      </c>
      <c r="AU77" s="42" t="str">
        <f t="shared" ref="AU77" si="276">IF(AU76="","",IF(AU76="12M","1Y",IF(AU76="24M","2Y",AU76)))</f>
        <v/>
      </c>
      <c r="AV77" s="42" t="str">
        <f t="shared" ref="AV77" si="277">IF(AV76="","",IF(AV76="12M","1Y",IF(AV76="24M","2Y",AV76)))</f>
        <v/>
      </c>
      <c r="AW77" s="42" t="str">
        <f t="shared" ref="AW77" si="278">IF(AW76="","",IF(AW76="12M","1Y",IF(AW76="24M","2Y",AW76)))</f>
        <v/>
      </c>
      <c r="AX77" s="42" t="str">
        <f t="shared" ref="AX77" si="279">IF(AX76="","",IF(AX76="12M","1Y",IF(AX76="24M","2Y",AX76)))</f>
        <v/>
      </c>
      <c r="AY77" s="42" t="str">
        <f t="shared" ref="AY77" si="280">IF(AY76="","",IF(AY76="12M","1Y",IF(AY76="24M","2Y",AY76)))</f>
        <v/>
      </c>
      <c r="AZ77" s="42" t="str">
        <f t="shared" ref="AZ77" si="281">IF(AZ76="","",IF(AZ76="12M","1Y",IF(AZ76="24M","2Y",AZ76)))</f>
        <v/>
      </c>
      <c r="BA77" s="42" t="str">
        <f t="shared" ref="BA77" si="282">IF(BA76="","",IF(BA76="12M","1Y",IF(BA76="24M","2Y",BA76)))</f>
        <v/>
      </c>
    </row>
    <row r="78" spans="2:53" s="41" customFormat="1" ht="15" customHeight="1">
      <c r="B78" s="7"/>
      <c r="C78" s="153" t="str">
        <f>trans_getMessage("","Name",,LANG_ID)</f>
        <v>Name</v>
      </c>
      <c r="D78" s="154"/>
      <c r="E78" s="49" t="s">
        <v>49</v>
      </c>
      <c r="F78" s="43" t="e" cm="1">
        <f t="array" aca="1" ref="F78" ca="1">IF(LEFT(_xlfn.SINGLE(_xll.BDP(F79, $E78)),1)="#", "-", _xll.BDP(F79, $E78))</f>
        <v>#NAME?</v>
      </c>
      <c r="G78" s="43" t="e" cm="1">
        <f t="array" aca="1" ref="G78" ca="1">IF(LEFT(_xlfn.SINGLE(_xll.BDP(G79, $E78)),1)="#", "-", _xll.BDP(G79, $E78))</f>
        <v>#NAME?</v>
      </c>
      <c r="H78" s="43" t="e" cm="1">
        <f t="array" aca="1" ref="H78" ca="1">IF(LEFT(_xlfn.SINGLE(_xll.BDP(H79, $E78)),1)="#", "-", _xll.BDP(H79, $E78))</f>
        <v>#NAME?</v>
      </c>
      <c r="I78" s="43" t="e" cm="1">
        <f t="array" aca="1" ref="I78" ca="1">IF(LEFT(_xlfn.SINGLE(_xll.BDP(I79, $E78)),1)="#", "-", _xll.BDP(I79, $E78))</f>
        <v>#NAME?</v>
      </c>
      <c r="J78" s="43" t="e" cm="1">
        <f t="array" aca="1" ref="J78" ca="1">IF(LEFT(_xlfn.SINGLE(_xll.BDP(J79, $E78)),1)="#", "-", _xll.BDP(J79, $E78))</f>
        <v>#NAME?</v>
      </c>
      <c r="K78" s="43" t="e" cm="1">
        <f t="array" aca="1" ref="K78" ca="1">IF(LEFT(_xlfn.SINGLE(_xll.BDP(K79, $E78)),1)="#", "-", _xll.BDP(K79, $E78))</f>
        <v>#NAME?</v>
      </c>
      <c r="L78" s="43" t="e" cm="1">
        <f t="array" aca="1" ref="L78" ca="1">IF(LEFT(_xlfn.SINGLE(_xll.BDP(L79, $E78)),1)="#", "-", _xll.BDP(L79, $E78))</f>
        <v>#NAME?</v>
      </c>
      <c r="M78" s="43" t="e" cm="1">
        <f t="array" aca="1" ref="M78" ca="1">IF(LEFT(_xlfn.SINGLE(_xll.BDP(M79, $E78)),1)="#", "-", _xll.BDP(M79, $E78))</f>
        <v>#NAME?</v>
      </c>
      <c r="N78" s="43" t="e" cm="1">
        <f t="array" aca="1" ref="N78" ca="1">IF(LEFT(_xlfn.SINGLE(_xll.BDP(N79, $E78)),1)="#", "-", _xll.BDP(N79, $E78))</f>
        <v>#NAME?</v>
      </c>
      <c r="O78" s="43" t="e" cm="1">
        <f t="array" aca="1" ref="O78" ca="1">IF(LEFT(_xlfn.SINGLE(_xll.BDP(O79, $E78)),1)="#", "-", _xll.BDP(O79, $E78))</f>
        <v>#NAME?</v>
      </c>
      <c r="P78" s="43" t="e" cm="1">
        <f t="array" aca="1" ref="P78" ca="1">IF(LEFT(_xlfn.SINGLE(_xll.BDP(P79, $E78)),1)="#", "-", _xll.BDP(P79, $E78))</f>
        <v>#NAME?</v>
      </c>
      <c r="Q78" s="43" t="e" cm="1">
        <f t="array" aca="1" ref="Q78" ca="1">IF(LEFT(_xlfn.SINGLE(_xll.BDP(Q79, $E78)),1)="#", "-", _xll.BDP(Q79, $E78))</f>
        <v>#NAME?</v>
      </c>
      <c r="R78" s="43" t="e" cm="1">
        <f t="array" aca="1" ref="R78" ca="1">IF(LEFT(_xlfn.SINGLE(_xll.BDP(R79, $E78)),1)="#", "-", _xll.BDP(R79, $E78))</f>
        <v>#NAME?</v>
      </c>
      <c r="S78" s="43" t="e" cm="1">
        <f t="array" aca="1" ref="S78" ca="1">IF(LEFT(_xlfn.SINGLE(_xll.BDP(S79, $E78)),1)="#", "-", _xll.BDP(S79, $E78))</f>
        <v>#NAME?</v>
      </c>
      <c r="T78" s="43" t="e" cm="1">
        <f t="array" aca="1" ref="T78" ca="1">IF(LEFT(_xlfn.SINGLE(_xll.BDP(T79, $E78)),1)="#", "-", _xll.BDP(T79, $E78))</f>
        <v>#NAME?</v>
      </c>
      <c r="U78" s="43" t="e" cm="1">
        <f t="array" aca="1" ref="U78" ca="1">IF(LEFT(_xlfn.SINGLE(_xll.BDP(U79, $E78)),1)="#", "-", _xll.BDP(U79, $E78))</f>
        <v>#NAME?</v>
      </c>
      <c r="V78" s="43" t="e" cm="1">
        <f t="array" aca="1" ref="V78" ca="1">IF(LEFT(_xlfn.SINGLE(_xll.BDP(V79, $E78)),1)="#", "-", _xll.BDP(V79, $E78))</f>
        <v>#NAME?</v>
      </c>
      <c r="W78" s="43" t="e" cm="1">
        <f t="array" aca="1" ref="W78" ca="1">IF(LEFT(_xlfn.SINGLE(_xll.BDP(W79, $E78)),1)="#", "-", _xll.BDP(W79, $E78))</f>
        <v>#NAME?</v>
      </c>
      <c r="X78" s="43" t="e" cm="1">
        <f t="array" aca="1" ref="X78" ca="1">IF(LEFT(_xlfn.SINGLE(_xll.BDP(X79, $E78)),1)="#", "-", _xll.BDP(X79, $E78))</f>
        <v>#NAME?</v>
      </c>
      <c r="Y78" s="43" t="e" cm="1">
        <f t="array" aca="1" ref="Y78" ca="1">IF(LEFT(_xlfn.SINGLE(_xll.BDP(Y79, $E78)),1)="#", "-", _xll.BDP(Y79, $E78))</f>
        <v>#NAME?</v>
      </c>
      <c r="Z78" s="43" t="e" cm="1">
        <f t="array" aca="1" ref="Z78" ca="1">IF(LEFT(_xlfn.SINGLE(_xll.BDP(Z79, $E78)),1)="#", "-", _xll.BDP(Z79, $E78))</f>
        <v>#NAME?</v>
      </c>
      <c r="AA78" s="43" t="e" cm="1">
        <f t="array" aca="1" ref="AA78" ca="1">IF(LEFT(_xlfn.SINGLE(_xll.BDP(AA79, $E78)),1)="#", "-", _xll.BDP(AA79, $E78))</f>
        <v>#NAME?</v>
      </c>
      <c r="AB78" s="43" t="e" cm="1">
        <f t="array" aca="1" ref="AB78" ca="1">IF(LEFT(_xlfn.SINGLE(_xll.BDP(AB79, $E78)),1)="#", "-", _xll.BDP(AB79, $E78))</f>
        <v>#NAME?</v>
      </c>
      <c r="AC78" s="43" t="e" cm="1">
        <f t="array" aca="1" ref="AC78" ca="1">IF(LEFT(_xlfn.SINGLE(_xll.BDP(AC79, $E78)),1)="#", "-", _xll.BDP(AC79, $E78))</f>
        <v>#NAME?</v>
      </c>
      <c r="AD78" s="43" t="e" cm="1">
        <f t="array" aca="1" ref="AD78" ca="1">IF(LEFT(_xlfn.SINGLE(_xll.BDP(AD79, $E78)),1)="#", "-", _xll.BDP(AD79, $E78))</f>
        <v>#NAME?</v>
      </c>
      <c r="AE78" s="43" t="e" cm="1">
        <f t="array" aca="1" ref="AE78" ca="1">IF(LEFT(_xlfn.SINGLE(_xll.BDP(AE79, $E78)),1)="#", "-", _xll.BDP(AE79, $E78))</f>
        <v>#NAME?</v>
      </c>
      <c r="AF78" s="43" t="e" cm="1">
        <f t="array" aca="1" ref="AF78" ca="1">IF(LEFT(_xlfn.SINGLE(_xll.BDP(AF79, $E78)),1)="#", "-", _xll.BDP(AF79, $E78))</f>
        <v>#NAME?</v>
      </c>
      <c r="AG78" s="43" t="e" cm="1">
        <f t="array" aca="1" ref="AG78" ca="1">IF(LEFT(_xlfn.SINGLE(_xll.BDP(AG79, $E78)),1)="#", "-", _xll.BDP(AG79, $E78))</f>
        <v>#NAME?</v>
      </c>
      <c r="AH78" s="43" t="e" cm="1">
        <f t="array" aca="1" ref="AH78" ca="1">IF(LEFT(_xlfn.SINGLE(_xll.BDP(AH79, $E78)),1)="#", "-", _xll.BDP(AH79, $E78))</f>
        <v>#NAME?</v>
      </c>
      <c r="AI78" s="43" t="e" cm="1">
        <f t="array" aca="1" ref="AI78" ca="1">IF(LEFT(_xlfn.SINGLE(_xll.BDP(AI79, $E78)),1)="#", "-", _xll.BDP(AI79, $E78))</f>
        <v>#NAME?</v>
      </c>
      <c r="AJ78" s="43" t="e" cm="1">
        <f t="array" aca="1" ref="AJ78" ca="1">IF(LEFT(_xlfn.SINGLE(_xll.BDP(AJ79, $E78)),1)="#", "-", _xll.BDP(AJ79, $E78))</f>
        <v>#NAME?</v>
      </c>
      <c r="AK78" s="43" t="e" cm="1">
        <f t="array" aca="1" ref="AK78" ca="1">IF(LEFT(_xlfn.SINGLE(_xll.BDP(AK79, $E78)),1)="#", "-", _xll.BDP(AK79, $E78))</f>
        <v>#NAME?</v>
      </c>
      <c r="AL78" s="43" t="e" cm="1">
        <f t="array" aca="1" ref="AL78" ca="1">IF(LEFT(_xlfn.SINGLE(_xll.BDP(AL79, $E78)),1)="#", "-", _xll.BDP(AL79, $E78))</f>
        <v>#NAME?</v>
      </c>
      <c r="AM78" s="43" t="e" cm="1">
        <f t="array" aca="1" ref="AM78" ca="1">IF(LEFT(_xlfn.SINGLE(_xll.BDP(AM79, $E78)),1)="#", "-", _xll.BDP(AM79, $E78))</f>
        <v>#NAME?</v>
      </c>
      <c r="AN78" s="43" t="e" cm="1">
        <f t="array" aca="1" ref="AN78" ca="1">IF(LEFT(_xlfn.SINGLE(_xll.BDP(AN79, $E78)),1)="#", "-", _xll.BDP(AN79, $E78))</f>
        <v>#NAME?</v>
      </c>
      <c r="AO78" s="43" t="e" cm="1">
        <f t="array" aca="1" ref="AO78" ca="1">IF(LEFT(_xlfn.SINGLE(_xll.BDP(AO79, $E78)),1)="#", "-", _xll.BDP(AO79, $E78))</f>
        <v>#NAME?</v>
      </c>
      <c r="AP78" s="43" t="e" cm="1">
        <f t="array" aca="1" ref="AP78" ca="1">IF(LEFT(_xlfn.SINGLE(_xll.BDP(AP79, $E78)),1)="#", "-", _xll.BDP(AP79, $E78))</f>
        <v>#NAME?</v>
      </c>
      <c r="AQ78" s="43" t="e" cm="1">
        <f t="array" aca="1" ref="AQ78" ca="1">IF(LEFT(_xlfn.SINGLE(_xll.BDP(AQ79, $E78)),1)="#", "-", _xll.BDP(AQ79, $E78))</f>
        <v>#NAME?</v>
      </c>
      <c r="AR78" s="43" t="e" cm="1">
        <f t="array" aca="1" ref="AR78" ca="1">IF(LEFT(_xlfn.SINGLE(_xll.BDP(AR79, $E78)),1)="#", "-", _xll.BDP(AR79, $E78))</f>
        <v>#NAME?</v>
      </c>
      <c r="AS78" s="43" t="e" cm="1">
        <f t="array" aca="1" ref="AS78" ca="1">IF(LEFT(_xlfn.SINGLE(_xll.BDP(AS79, $E78)),1)="#", "-", _xll.BDP(AS79, $E78))</f>
        <v>#NAME?</v>
      </c>
      <c r="AT78" s="43" t="e" cm="1">
        <f t="array" aca="1" ref="AT78" ca="1">IF(LEFT(_xlfn.SINGLE(_xll.BDP(AT79, $E78)),1)="#", "-", _xll.BDP(AT79, $E78))</f>
        <v>#NAME?</v>
      </c>
      <c r="AU78" s="43" t="e" cm="1">
        <f t="array" aca="1" ref="AU78" ca="1">IF(LEFT(_xlfn.SINGLE(_xll.BDP(AU79, $E78)),1)="#", "-", _xll.BDP(AU79, $E78))</f>
        <v>#NAME?</v>
      </c>
      <c r="AV78" s="43" t="e" cm="1">
        <f t="array" aca="1" ref="AV78" ca="1">IF(LEFT(_xlfn.SINGLE(_xll.BDP(AV79, $E78)),1)="#", "-", _xll.BDP(AV79, $E78))</f>
        <v>#NAME?</v>
      </c>
      <c r="AW78" s="43" t="e" cm="1">
        <f t="array" aca="1" ref="AW78" ca="1">IF(LEFT(_xlfn.SINGLE(_xll.BDP(AW79, $E78)),1)="#", "-", _xll.BDP(AW79, $E78))</f>
        <v>#NAME?</v>
      </c>
      <c r="AX78" s="43" t="e" cm="1">
        <f t="array" aca="1" ref="AX78" ca="1">IF(LEFT(_xlfn.SINGLE(_xll.BDP(AX79, $E78)),1)="#", "-", _xll.BDP(AX79, $E78))</f>
        <v>#NAME?</v>
      </c>
      <c r="AY78" s="43" t="e" cm="1">
        <f t="array" aca="1" ref="AY78" ca="1">IF(LEFT(_xlfn.SINGLE(_xll.BDP(AY79, $E78)),1)="#", "-", _xll.BDP(AY79, $E78))</f>
        <v>#NAME?</v>
      </c>
      <c r="AZ78" s="43" t="e" cm="1">
        <f t="array" aca="1" ref="AZ78" ca="1">IF(LEFT(_xlfn.SINGLE(_xll.BDP(AZ79, $E78)),1)="#", "-", _xll.BDP(AZ79, $E78))</f>
        <v>#NAME?</v>
      </c>
      <c r="BA78" s="45" t="e" cm="1">
        <f t="array" aca="1" ref="BA78" ca="1">IF(LEFT(_xlfn.SINGLE(_xll.BDP(BA79, $E78)),1)="#", "-", _xll.BDP(BA79, $E78))</f>
        <v>#NAME?</v>
      </c>
    </row>
    <row r="79" spans="2:53" ht="15" customHeight="1">
      <c r="B79" s="40"/>
      <c r="C79" s="145" t="str">
        <f>trans_getMessage("","Curve Tickers",,LANG_ID)</f>
        <v>Curve Tickers</v>
      </c>
      <c r="D79" s="146"/>
      <c r="E79" s="50" t="s">
        <v>46</v>
      </c>
      <c r="F79" s="42" t="e" cm="1">
        <f t="array" aca="1" ref="F79" ca="1">_xll.BDS(E74,E79,"Dir=H",)</f>
        <v>#NAME?</v>
      </c>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4"/>
    </row>
    <row r="80" spans="2:53" ht="15" customHeight="1">
      <c r="C80" s="138" t="str">
        <f>trans_getMessage("","Rate",,LANG_ID)</f>
        <v>Rate</v>
      </c>
      <c r="D80" s="139"/>
      <c r="E80" s="51" t="s">
        <v>44</v>
      </c>
      <c r="F80" s="46" t="str" cm="1">
        <f t="array" aca="1" ref="F80" ca="1">IF(ISERROR(_xlfn.SINGLE(_xll.BDP(F79, $E80))*1), "-", _xll.BDP(F79, $E80))</f>
        <v>-</v>
      </c>
      <c r="G80" s="46" t="str" cm="1">
        <f t="array" aca="1" ref="G80" ca="1">IF(ISERROR(_xlfn.SINGLE(_xll.BDP(G79, $E80))*1), "-", _xll.BDP(G79, $E80))</f>
        <v>-</v>
      </c>
      <c r="H80" s="46" t="str" cm="1">
        <f t="array" aca="1" ref="H80" ca="1">IF(ISERROR(_xlfn.SINGLE(_xll.BDP(H79, $E80))*1), "-", _xll.BDP(H79, $E80))</f>
        <v>-</v>
      </c>
      <c r="I80" s="46" t="str" cm="1">
        <f t="array" aca="1" ref="I80" ca="1">IF(ISERROR(_xlfn.SINGLE(_xll.BDP(I79, $E80))*1), "-", _xll.BDP(I79, $E80))</f>
        <v>-</v>
      </c>
      <c r="J80" s="46" t="str" cm="1">
        <f t="array" aca="1" ref="J80" ca="1">IF(ISERROR(_xlfn.SINGLE(_xll.BDP(J79, $E80))*1), "-", _xll.BDP(J79, $E80))</f>
        <v>-</v>
      </c>
      <c r="K80" s="46" t="str" cm="1">
        <f t="array" aca="1" ref="K80" ca="1">IF(ISERROR(_xlfn.SINGLE(_xll.BDP(K79, $E80))*1), "-", _xll.BDP(K79, $E80))</f>
        <v>-</v>
      </c>
      <c r="L80" s="46" t="str" cm="1">
        <f t="array" aca="1" ref="L80" ca="1">IF(ISERROR(_xlfn.SINGLE(_xll.BDP(L79, $E80))*1), "-", _xll.BDP(L79, $E80))</f>
        <v>-</v>
      </c>
      <c r="M80" s="46" t="str" cm="1">
        <f t="array" aca="1" ref="M80" ca="1">IF(ISERROR(_xlfn.SINGLE(_xll.BDP(M79, $E80))*1), "-", _xll.BDP(M79, $E80))</f>
        <v>-</v>
      </c>
      <c r="N80" s="46" t="str" cm="1">
        <f t="array" aca="1" ref="N80" ca="1">IF(ISERROR(_xlfn.SINGLE(_xll.BDP(N79, $E80))*1), "-", _xll.BDP(N79, $E80))</f>
        <v>-</v>
      </c>
      <c r="O80" s="46" t="str" cm="1">
        <f t="array" aca="1" ref="O80" ca="1">IF(ISERROR(_xlfn.SINGLE(_xll.BDP(O79, $E80))*1), "-", _xll.BDP(O79, $E80))</f>
        <v>-</v>
      </c>
      <c r="P80" s="46" t="str" cm="1">
        <f t="array" aca="1" ref="P80" ca="1">IF(ISERROR(_xlfn.SINGLE(_xll.BDP(P79, $E80))*1), "-", _xll.BDP(P79, $E80))</f>
        <v>-</v>
      </c>
      <c r="Q80" s="46" t="str" cm="1">
        <f t="array" aca="1" ref="Q80" ca="1">IF(ISERROR(_xlfn.SINGLE(_xll.BDP(Q79, $E80))*1), "-", _xll.BDP(Q79, $E80))</f>
        <v>-</v>
      </c>
      <c r="R80" s="46" t="str" cm="1">
        <f t="array" aca="1" ref="R80" ca="1">IF(ISERROR(_xlfn.SINGLE(_xll.BDP(R79, $E80))*1), "-", _xll.BDP(R79, $E80))</f>
        <v>-</v>
      </c>
      <c r="S80" s="46" t="str" cm="1">
        <f t="array" aca="1" ref="S80" ca="1">IF(ISERROR(_xlfn.SINGLE(_xll.BDP(S79, $E80))*1), "-", _xll.BDP(S79, $E80))</f>
        <v>-</v>
      </c>
      <c r="T80" s="46" t="str" cm="1">
        <f t="array" aca="1" ref="T80" ca="1">IF(ISERROR(_xlfn.SINGLE(_xll.BDP(T79, $E80))*1), "-", _xll.BDP(T79, $E80))</f>
        <v>-</v>
      </c>
      <c r="U80" s="46" t="str" cm="1">
        <f t="array" aca="1" ref="U80" ca="1">IF(ISERROR(_xlfn.SINGLE(_xll.BDP(U79, $E80))*1), "-", _xll.BDP(U79, $E80))</f>
        <v>-</v>
      </c>
      <c r="V80" s="46" t="str" cm="1">
        <f t="array" aca="1" ref="V80" ca="1">IF(ISERROR(_xlfn.SINGLE(_xll.BDP(V79, $E80))*1), "-", _xll.BDP(V79, $E80))</f>
        <v>-</v>
      </c>
      <c r="W80" s="46" t="str" cm="1">
        <f t="array" aca="1" ref="W80" ca="1">IF(ISERROR(_xlfn.SINGLE(_xll.BDP(W79, $E80))*1), "-", _xll.BDP(W79, $E80))</f>
        <v>-</v>
      </c>
      <c r="X80" s="46" t="str" cm="1">
        <f t="array" aca="1" ref="X80" ca="1">IF(ISERROR(_xlfn.SINGLE(_xll.BDP(X79, $E80))*1), "-", _xll.BDP(X79, $E80))</f>
        <v>-</v>
      </c>
      <c r="Y80" s="46" t="str" cm="1">
        <f t="array" aca="1" ref="Y80" ca="1">IF(ISERROR(_xlfn.SINGLE(_xll.BDP(Y79, $E80))*1), "-", _xll.BDP(Y79, $E80))</f>
        <v>-</v>
      </c>
      <c r="Z80" s="46" t="str" cm="1">
        <f t="array" aca="1" ref="Z80" ca="1">IF(ISERROR(_xlfn.SINGLE(_xll.BDP(Z79, $E80))*1), "-", _xll.BDP(Z79, $E80))</f>
        <v>-</v>
      </c>
      <c r="AA80" s="46" t="str" cm="1">
        <f t="array" aca="1" ref="AA80" ca="1">IF(ISERROR(_xlfn.SINGLE(_xll.BDP(AA79, $E80))*1), "-", _xll.BDP(AA79, $E80))</f>
        <v>-</v>
      </c>
      <c r="AB80" s="46" t="str" cm="1">
        <f t="array" aca="1" ref="AB80" ca="1">IF(ISERROR(_xlfn.SINGLE(_xll.BDP(AB79, $E80))*1), "-", _xll.BDP(AB79, $E80))</f>
        <v>-</v>
      </c>
      <c r="AC80" s="46" t="str" cm="1">
        <f t="array" aca="1" ref="AC80" ca="1">IF(ISERROR(_xlfn.SINGLE(_xll.BDP(AC79, $E80))*1), "-", _xll.BDP(AC79, $E80))</f>
        <v>-</v>
      </c>
      <c r="AD80" s="46" t="str" cm="1">
        <f t="array" aca="1" ref="AD80" ca="1">IF(ISERROR(_xlfn.SINGLE(_xll.BDP(AD79, $E80))*1), "-", _xll.BDP(AD79, $E80))</f>
        <v>-</v>
      </c>
      <c r="AE80" s="46" t="str" cm="1">
        <f t="array" aca="1" ref="AE80" ca="1">IF(ISERROR(_xlfn.SINGLE(_xll.BDP(AE79, $E80))*1), "-", _xll.BDP(AE79, $E80))</f>
        <v>-</v>
      </c>
      <c r="AF80" s="46" t="str" cm="1">
        <f t="array" aca="1" ref="AF80" ca="1">IF(ISERROR(_xlfn.SINGLE(_xll.BDP(AF79, $E80))*1), "-", _xll.BDP(AF79, $E80))</f>
        <v>-</v>
      </c>
      <c r="AG80" s="46" t="str" cm="1">
        <f t="array" aca="1" ref="AG80" ca="1">IF(ISERROR(_xlfn.SINGLE(_xll.BDP(AG79, $E80))*1), "-", _xll.BDP(AG79, $E80))</f>
        <v>-</v>
      </c>
      <c r="AH80" s="46" t="str" cm="1">
        <f t="array" aca="1" ref="AH80" ca="1">IF(ISERROR(_xlfn.SINGLE(_xll.BDP(AH79, $E80))*1), "-", _xll.BDP(AH79, $E80))</f>
        <v>-</v>
      </c>
      <c r="AI80" s="46" t="str" cm="1">
        <f t="array" aca="1" ref="AI80" ca="1">IF(ISERROR(_xlfn.SINGLE(_xll.BDP(AI79, $E80))*1), "-", _xll.BDP(AI79, $E80))</f>
        <v>-</v>
      </c>
      <c r="AJ80" s="46" t="str" cm="1">
        <f t="array" aca="1" ref="AJ80" ca="1">IF(ISERROR(_xlfn.SINGLE(_xll.BDP(AJ79, $E80))*1), "-", _xll.BDP(AJ79, $E80))</f>
        <v>-</v>
      </c>
      <c r="AK80" s="46" t="str" cm="1">
        <f t="array" aca="1" ref="AK80" ca="1">IF(ISERROR(_xlfn.SINGLE(_xll.BDP(AK79, $E80))*1), "-", _xll.BDP(AK79, $E80))</f>
        <v>-</v>
      </c>
      <c r="AL80" s="46" t="str" cm="1">
        <f t="array" aca="1" ref="AL80" ca="1">IF(ISERROR(_xlfn.SINGLE(_xll.BDP(AL79, $E80))*1), "-", _xll.BDP(AL79, $E80))</f>
        <v>-</v>
      </c>
      <c r="AM80" s="46" t="str" cm="1">
        <f t="array" aca="1" ref="AM80" ca="1">IF(ISERROR(_xlfn.SINGLE(_xll.BDP(AM79, $E80))*1), "-", _xll.BDP(AM79, $E80))</f>
        <v>-</v>
      </c>
      <c r="AN80" s="46" t="str" cm="1">
        <f t="array" aca="1" ref="AN80" ca="1">IF(ISERROR(_xlfn.SINGLE(_xll.BDP(AN79, $E80))*1), "-", _xll.BDP(AN79, $E80))</f>
        <v>-</v>
      </c>
      <c r="AO80" s="46" t="str" cm="1">
        <f t="array" aca="1" ref="AO80" ca="1">IF(ISERROR(_xlfn.SINGLE(_xll.BDP(AO79, $E80))*1), "-", _xll.BDP(AO79, $E80))</f>
        <v>-</v>
      </c>
      <c r="AP80" s="46" t="str" cm="1">
        <f t="array" aca="1" ref="AP80" ca="1">IF(ISERROR(_xlfn.SINGLE(_xll.BDP(AP79, $E80))*1), "-", _xll.BDP(AP79, $E80))</f>
        <v>-</v>
      </c>
      <c r="AQ80" s="46" t="str" cm="1">
        <f t="array" aca="1" ref="AQ80" ca="1">IF(ISERROR(_xlfn.SINGLE(_xll.BDP(AQ79, $E80))*1), "-", _xll.BDP(AQ79, $E80))</f>
        <v>-</v>
      </c>
      <c r="AR80" s="46" t="str" cm="1">
        <f t="array" aca="1" ref="AR80" ca="1">IF(ISERROR(_xlfn.SINGLE(_xll.BDP(AR79, $E80))*1), "-", _xll.BDP(AR79, $E80))</f>
        <v>-</v>
      </c>
      <c r="AS80" s="46" t="str" cm="1">
        <f t="array" aca="1" ref="AS80" ca="1">IF(ISERROR(_xlfn.SINGLE(_xll.BDP(AS79, $E80))*1), "-", _xll.BDP(AS79, $E80))</f>
        <v>-</v>
      </c>
      <c r="AT80" s="46" t="str" cm="1">
        <f t="array" aca="1" ref="AT80" ca="1">IF(ISERROR(_xlfn.SINGLE(_xll.BDP(AT79, $E80))*1), "-", _xll.BDP(AT79, $E80))</f>
        <v>-</v>
      </c>
      <c r="AU80" s="46" t="str" cm="1">
        <f t="array" aca="1" ref="AU80" ca="1">IF(ISERROR(_xlfn.SINGLE(_xll.BDP(AU79, $E80))*1), "-", _xll.BDP(AU79, $E80))</f>
        <v>-</v>
      </c>
      <c r="AV80" s="46" t="str" cm="1">
        <f t="array" aca="1" ref="AV80" ca="1">IF(ISERROR(_xlfn.SINGLE(_xll.BDP(AV79, $E80))*1), "-", _xll.BDP(AV79, $E80))</f>
        <v>-</v>
      </c>
      <c r="AW80" s="46" t="str" cm="1">
        <f t="array" aca="1" ref="AW80" ca="1">IF(ISERROR(_xlfn.SINGLE(_xll.BDP(AW79, $E80))*1), "-", _xll.BDP(AW79, $E80))</f>
        <v>-</v>
      </c>
      <c r="AX80" s="46" t="str" cm="1">
        <f t="array" aca="1" ref="AX80" ca="1">IF(ISERROR(_xlfn.SINGLE(_xll.BDP(AX79, $E80))*1), "-", _xll.BDP(AX79, $E80))</f>
        <v>-</v>
      </c>
      <c r="AY80" s="46" t="str" cm="1">
        <f t="array" aca="1" ref="AY80" ca="1">IF(ISERROR(_xlfn.SINGLE(_xll.BDP(AY79, $E80))*1), "-", _xll.BDP(AY79, $E80))</f>
        <v>-</v>
      </c>
      <c r="AZ80" s="46" t="str" cm="1">
        <f t="array" aca="1" ref="AZ80" ca="1">IF(ISERROR(_xlfn.SINGLE(_xll.BDP(AZ79, $E80))*1), "-", _xll.BDP(AZ79, $E80))</f>
        <v>-</v>
      </c>
      <c r="BA80" s="47" t="str" cm="1">
        <f t="array" aca="1" ref="BA80" ca="1">IF(ISERROR(_xlfn.SINGLE(_xll.BDP(BA79, $E80))*1), "-", _xll.BDP(BA79, $E80))</f>
        <v>-</v>
      </c>
    </row>
    <row r="81" spans="2:53" ht="15" hidden="1" customHeight="1"/>
    <row r="82" spans="2:53" ht="5.15" customHeight="1"/>
    <row r="83" spans="2:53" ht="15" customHeight="1">
      <c r="B83" s="38" t="s">
        <v>93</v>
      </c>
      <c r="C83" s="140" t="str">
        <f>trans_getMessage("","Curve Number",,LANG_ID)</f>
        <v>Curve Number</v>
      </c>
      <c r="D83" s="141"/>
      <c r="E83" s="142">
        <f>VLOOKUP(B83, 'Currency-Curve List'!$C$9:$E$103, 2, FALSE)</f>
        <v>329</v>
      </c>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43"/>
      <c r="AL83" s="143"/>
      <c r="AM83" s="143"/>
      <c r="AN83" s="143"/>
      <c r="AO83" s="143"/>
      <c r="AP83" s="143"/>
      <c r="AQ83" s="143"/>
      <c r="AR83" s="143"/>
      <c r="AS83" s="143"/>
      <c r="AT83" s="143"/>
      <c r="AU83" s="143"/>
      <c r="AV83" s="143"/>
      <c r="AW83" s="143"/>
      <c r="AX83" s="143"/>
      <c r="AY83" s="143"/>
      <c r="AZ83" s="143"/>
      <c r="BA83" s="144"/>
    </row>
    <row r="84" spans="2:53" ht="15" customHeight="1">
      <c r="C84" s="145" t="str">
        <f>trans_getMessage("","Curve Index",,LANG_ID)</f>
        <v>Curve Index</v>
      </c>
      <c r="D84" s="146"/>
      <c r="E84" s="147" t="str">
        <f>VLOOKUP(B83, 'Currency-Curve List'!$C$9:$E$103, 3, FALSE)</f>
        <v>YCSW0329 Index</v>
      </c>
      <c r="F84" s="148"/>
      <c r="G84" s="148"/>
      <c r="H84" s="148"/>
      <c r="I84" s="148"/>
      <c r="J84" s="148"/>
      <c r="K84" s="148"/>
      <c r="L84" s="148"/>
      <c r="M84" s="148"/>
      <c r="N84" s="148"/>
      <c r="O84" s="148"/>
      <c r="P84" s="148"/>
      <c r="Q84" s="148"/>
      <c r="R84" s="148"/>
      <c r="S84" s="148"/>
      <c r="T84" s="148"/>
      <c r="U84" s="148"/>
      <c r="V84" s="148"/>
      <c r="W84" s="148"/>
      <c r="X84" s="148"/>
      <c r="Y84" s="148"/>
      <c r="Z84" s="148"/>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9"/>
    </row>
    <row r="85" spans="2:53" ht="15" customHeight="1">
      <c r="C85" s="145" t="str">
        <f>trans_getMessage("","Curve Name",,LANG_ID)</f>
        <v>Curve Name</v>
      </c>
      <c r="D85" s="146"/>
      <c r="E85" s="150" t="e" cm="1">
        <f t="array" aca="1" ref="E85" ca="1">_xll.BDP(E84, "NAME")</f>
        <v>#NAME?</v>
      </c>
      <c r="F85" s="151"/>
      <c r="G85" s="151"/>
      <c r="H85" s="151"/>
      <c r="I85" s="151"/>
      <c r="J85" s="151"/>
      <c r="K85" s="151"/>
      <c r="L85" s="151"/>
      <c r="M85" s="151"/>
      <c r="N85" s="151"/>
      <c r="O85" s="151"/>
      <c r="P85" s="151"/>
      <c r="Q85" s="151"/>
      <c r="R85" s="151"/>
      <c r="S85" s="151"/>
      <c r="T85" s="151"/>
      <c r="U85" s="151"/>
      <c r="V85" s="151"/>
      <c r="W85" s="151"/>
      <c r="X85" s="151"/>
      <c r="Y85" s="151"/>
      <c r="Z85" s="151"/>
      <c r="AA85" s="151"/>
      <c r="AB85" s="151"/>
      <c r="AC85" s="151"/>
      <c r="AD85" s="151"/>
      <c r="AE85" s="151"/>
      <c r="AF85" s="151"/>
      <c r="AG85" s="151"/>
      <c r="AH85" s="151"/>
      <c r="AI85" s="151"/>
      <c r="AJ85" s="151"/>
      <c r="AK85" s="151"/>
      <c r="AL85" s="151"/>
      <c r="AM85" s="151"/>
      <c r="AN85" s="151"/>
      <c r="AO85" s="151"/>
      <c r="AP85" s="151"/>
      <c r="AQ85" s="151"/>
      <c r="AR85" s="151"/>
      <c r="AS85" s="151"/>
      <c r="AT85" s="151"/>
      <c r="AU85" s="151"/>
      <c r="AV85" s="151"/>
      <c r="AW85" s="151"/>
      <c r="AX85" s="151"/>
      <c r="AY85" s="151"/>
      <c r="AZ85" s="151"/>
      <c r="BA85" s="152"/>
    </row>
    <row r="86" spans="2:53" ht="15" customHeight="1">
      <c r="C86" s="145" t="str">
        <f>trans_getMessage("","Tenors",,LANG_ID)</f>
        <v>Tenors</v>
      </c>
      <c r="D86" s="146"/>
      <c r="E86" s="48" t="s">
        <v>50</v>
      </c>
      <c r="F86" s="42" t="e" cm="1">
        <f t="array" aca="1" ref="F86" ca="1">_xll.BDS(E84,E86,"Dir=H",)</f>
        <v>#NAME?</v>
      </c>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4"/>
    </row>
    <row r="87" spans="2:53" ht="15" hidden="1" customHeight="1">
      <c r="C87" s="145" t="s">
        <v>2211</v>
      </c>
      <c r="D87" s="146"/>
      <c r="E87" s="48"/>
      <c r="F87" s="42" t="e">
        <f ca="1">IF(F86="","",IF(F86="12M","1Y",IF(F86="24M","2Y",F86)))</f>
        <v>#NAME?</v>
      </c>
      <c r="G87" s="42" t="str">
        <f t="shared" ref="G87" si="283">IF(G86="","",IF(G86="12M","1Y",IF(G86="24M","2Y",G86)))</f>
        <v/>
      </c>
      <c r="H87" s="42" t="str">
        <f t="shared" ref="H87" si="284">IF(H86="","",IF(H86="12M","1Y",IF(H86="24M","2Y",H86)))</f>
        <v/>
      </c>
      <c r="I87" s="42" t="str">
        <f t="shared" ref="I87" si="285">IF(I86="","",IF(I86="12M","1Y",IF(I86="24M","2Y",I86)))</f>
        <v/>
      </c>
      <c r="J87" s="42" t="str">
        <f t="shared" ref="J87" si="286">IF(J86="","",IF(J86="12M","1Y",IF(J86="24M","2Y",J86)))</f>
        <v/>
      </c>
      <c r="K87" s="42" t="str">
        <f t="shared" ref="K87" si="287">IF(K86="","",IF(K86="12M","1Y",IF(K86="24M","2Y",K86)))</f>
        <v/>
      </c>
      <c r="L87" s="42" t="str">
        <f t="shared" ref="L87" si="288">IF(L86="","",IF(L86="12M","1Y",IF(L86="24M","2Y",L86)))</f>
        <v/>
      </c>
      <c r="M87" s="42" t="str">
        <f t="shared" ref="M87" si="289">IF(M86="","",IF(M86="12M","1Y",IF(M86="24M","2Y",M86)))</f>
        <v/>
      </c>
      <c r="N87" s="42" t="str">
        <f t="shared" ref="N87" si="290">IF(N86="","",IF(N86="12M","1Y",IF(N86="24M","2Y",N86)))</f>
        <v/>
      </c>
      <c r="O87" s="42" t="str">
        <f t="shared" ref="O87" si="291">IF(O86="","",IF(O86="12M","1Y",IF(O86="24M","2Y",O86)))</f>
        <v/>
      </c>
      <c r="P87" s="42" t="str">
        <f t="shared" ref="P87" si="292">IF(P86="","",IF(P86="12M","1Y",IF(P86="24M","2Y",P86)))</f>
        <v/>
      </c>
      <c r="Q87" s="42" t="str">
        <f t="shared" ref="Q87" si="293">IF(Q86="","",IF(Q86="12M","1Y",IF(Q86="24M","2Y",Q86)))</f>
        <v/>
      </c>
      <c r="R87" s="42" t="str">
        <f t="shared" ref="R87" si="294">IF(R86="","",IF(R86="12M","1Y",IF(R86="24M","2Y",R86)))</f>
        <v/>
      </c>
      <c r="S87" s="42" t="str">
        <f t="shared" ref="S87" si="295">IF(S86="","",IF(S86="12M","1Y",IF(S86="24M","2Y",S86)))</f>
        <v/>
      </c>
      <c r="T87" s="42" t="str">
        <f t="shared" ref="T87" si="296">IF(T86="","",IF(T86="12M","1Y",IF(T86="24M","2Y",T86)))</f>
        <v/>
      </c>
      <c r="U87" s="42" t="str">
        <f t="shared" ref="U87" si="297">IF(U86="","",IF(U86="12M","1Y",IF(U86="24M","2Y",U86)))</f>
        <v/>
      </c>
      <c r="V87" s="42" t="str">
        <f t="shared" ref="V87" si="298">IF(V86="","",IF(V86="12M","1Y",IF(V86="24M","2Y",V86)))</f>
        <v/>
      </c>
      <c r="W87" s="42" t="str">
        <f t="shared" ref="W87" si="299">IF(W86="","",IF(W86="12M","1Y",IF(W86="24M","2Y",W86)))</f>
        <v/>
      </c>
      <c r="X87" s="42" t="str">
        <f t="shared" ref="X87" si="300">IF(X86="","",IF(X86="12M","1Y",IF(X86="24M","2Y",X86)))</f>
        <v/>
      </c>
      <c r="Y87" s="42" t="str">
        <f t="shared" ref="Y87" si="301">IF(Y86="","",IF(Y86="12M","1Y",IF(Y86="24M","2Y",Y86)))</f>
        <v/>
      </c>
      <c r="Z87" s="42" t="str">
        <f t="shared" ref="Z87" si="302">IF(Z86="","",IF(Z86="12M","1Y",IF(Z86="24M","2Y",Z86)))</f>
        <v/>
      </c>
      <c r="AA87" s="42" t="str">
        <f t="shared" ref="AA87" si="303">IF(AA86="","",IF(AA86="12M","1Y",IF(AA86="24M","2Y",AA86)))</f>
        <v/>
      </c>
      <c r="AB87" s="42" t="str">
        <f t="shared" ref="AB87" si="304">IF(AB86="","",IF(AB86="12M","1Y",IF(AB86="24M","2Y",AB86)))</f>
        <v/>
      </c>
      <c r="AC87" s="42" t="str">
        <f t="shared" ref="AC87" si="305">IF(AC86="","",IF(AC86="12M","1Y",IF(AC86="24M","2Y",AC86)))</f>
        <v/>
      </c>
      <c r="AD87" s="42" t="str">
        <f t="shared" ref="AD87" si="306">IF(AD86="","",IF(AD86="12M","1Y",IF(AD86="24M","2Y",AD86)))</f>
        <v/>
      </c>
      <c r="AE87" s="42" t="str">
        <f t="shared" ref="AE87" si="307">IF(AE86="","",IF(AE86="12M","1Y",IF(AE86="24M","2Y",AE86)))</f>
        <v/>
      </c>
      <c r="AF87" s="42" t="str">
        <f t="shared" ref="AF87" si="308">IF(AF86="","",IF(AF86="12M","1Y",IF(AF86="24M","2Y",AF86)))</f>
        <v/>
      </c>
      <c r="AG87" s="42" t="str">
        <f t="shared" ref="AG87" si="309">IF(AG86="","",IF(AG86="12M","1Y",IF(AG86="24M","2Y",AG86)))</f>
        <v/>
      </c>
      <c r="AH87" s="42" t="str">
        <f t="shared" ref="AH87" si="310">IF(AH86="","",IF(AH86="12M","1Y",IF(AH86="24M","2Y",AH86)))</f>
        <v/>
      </c>
      <c r="AI87" s="42" t="str">
        <f t="shared" ref="AI87" si="311">IF(AI86="","",IF(AI86="12M","1Y",IF(AI86="24M","2Y",AI86)))</f>
        <v/>
      </c>
      <c r="AJ87" s="42" t="str">
        <f t="shared" ref="AJ87" si="312">IF(AJ86="","",IF(AJ86="12M","1Y",IF(AJ86="24M","2Y",AJ86)))</f>
        <v/>
      </c>
      <c r="AK87" s="42" t="str">
        <f t="shared" ref="AK87" si="313">IF(AK86="","",IF(AK86="12M","1Y",IF(AK86="24M","2Y",AK86)))</f>
        <v/>
      </c>
      <c r="AL87" s="42" t="str">
        <f t="shared" ref="AL87" si="314">IF(AL86="","",IF(AL86="12M","1Y",IF(AL86="24M","2Y",AL86)))</f>
        <v/>
      </c>
      <c r="AM87" s="42" t="str">
        <f t="shared" ref="AM87" si="315">IF(AM86="","",IF(AM86="12M","1Y",IF(AM86="24M","2Y",AM86)))</f>
        <v/>
      </c>
      <c r="AN87" s="42" t="str">
        <f t="shared" ref="AN87" si="316">IF(AN86="","",IF(AN86="12M","1Y",IF(AN86="24M","2Y",AN86)))</f>
        <v/>
      </c>
      <c r="AO87" s="42" t="str">
        <f t="shared" ref="AO87" si="317">IF(AO86="","",IF(AO86="12M","1Y",IF(AO86="24M","2Y",AO86)))</f>
        <v/>
      </c>
      <c r="AP87" s="42" t="str">
        <f t="shared" ref="AP87" si="318">IF(AP86="","",IF(AP86="12M","1Y",IF(AP86="24M","2Y",AP86)))</f>
        <v/>
      </c>
      <c r="AQ87" s="42" t="str">
        <f t="shared" ref="AQ87" si="319">IF(AQ86="","",IF(AQ86="12M","1Y",IF(AQ86="24M","2Y",AQ86)))</f>
        <v/>
      </c>
      <c r="AR87" s="42" t="str">
        <f t="shared" ref="AR87" si="320">IF(AR86="","",IF(AR86="12M","1Y",IF(AR86="24M","2Y",AR86)))</f>
        <v/>
      </c>
      <c r="AS87" s="42" t="str">
        <f t="shared" ref="AS87" si="321">IF(AS86="","",IF(AS86="12M","1Y",IF(AS86="24M","2Y",AS86)))</f>
        <v/>
      </c>
      <c r="AT87" s="42" t="str">
        <f t="shared" ref="AT87" si="322">IF(AT86="","",IF(AT86="12M","1Y",IF(AT86="24M","2Y",AT86)))</f>
        <v/>
      </c>
      <c r="AU87" s="42" t="str">
        <f t="shared" ref="AU87" si="323">IF(AU86="","",IF(AU86="12M","1Y",IF(AU86="24M","2Y",AU86)))</f>
        <v/>
      </c>
      <c r="AV87" s="42" t="str">
        <f t="shared" ref="AV87" si="324">IF(AV86="","",IF(AV86="12M","1Y",IF(AV86="24M","2Y",AV86)))</f>
        <v/>
      </c>
      <c r="AW87" s="42" t="str">
        <f t="shared" ref="AW87" si="325">IF(AW86="","",IF(AW86="12M","1Y",IF(AW86="24M","2Y",AW86)))</f>
        <v/>
      </c>
      <c r="AX87" s="42" t="str">
        <f t="shared" ref="AX87" si="326">IF(AX86="","",IF(AX86="12M","1Y",IF(AX86="24M","2Y",AX86)))</f>
        <v/>
      </c>
      <c r="AY87" s="42" t="str">
        <f t="shared" ref="AY87" si="327">IF(AY86="","",IF(AY86="12M","1Y",IF(AY86="24M","2Y",AY86)))</f>
        <v/>
      </c>
      <c r="AZ87" s="42" t="str">
        <f t="shared" ref="AZ87" si="328">IF(AZ86="","",IF(AZ86="12M","1Y",IF(AZ86="24M","2Y",AZ86)))</f>
        <v/>
      </c>
      <c r="BA87" s="42" t="str">
        <f t="shared" ref="BA87" si="329">IF(BA86="","",IF(BA86="12M","1Y",IF(BA86="24M","2Y",BA86)))</f>
        <v/>
      </c>
    </row>
    <row r="88" spans="2:53" s="41" customFormat="1" ht="15" customHeight="1">
      <c r="B88" s="7"/>
      <c r="C88" s="153" t="str">
        <f>trans_getMessage("","Name",,LANG_ID)</f>
        <v>Name</v>
      </c>
      <c r="D88" s="154"/>
      <c r="E88" s="49" t="s">
        <v>49</v>
      </c>
      <c r="F88" s="43" t="e" cm="1">
        <f t="array" aca="1" ref="F88" ca="1">IF(LEFT(_xlfn.SINGLE(_xll.BDP(F89, $E88)),1)="#", "-", _xll.BDP(F89, $E88))</f>
        <v>#NAME?</v>
      </c>
      <c r="G88" s="43" t="e" cm="1">
        <f t="array" aca="1" ref="G88" ca="1">IF(LEFT(_xlfn.SINGLE(_xll.BDP(G89, $E88)),1)="#", "-", _xll.BDP(G89, $E88))</f>
        <v>#NAME?</v>
      </c>
      <c r="H88" s="43" t="e" cm="1">
        <f t="array" aca="1" ref="H88" ca="1">IF(LEFT(_xlfn.SINGLE(_xll.BDP(H89, $E88)),1)="#", "-", _xll.BDP(H89, $E88))</f>
        <v>#NAME?</v>
      </c>
      <c r="I88" s="43" t="e" cm="1">
        <f t="array" aca="1" ref="I88" ca="1">IF(LEFT(_xlfn.SINGLE(_xll.BDP(I89, $E88)),1)="#", "-", _xll.BDP(I89, $E88))</f>
        <v>#NAME?</v>
      </c>
      <c r="J88" s="43" t="e" cm="1">
        <f t="array" aca="1" ref="J88" ca="1">IF(LEFT(_xlfn.SINGLE(_xll.BDP(J89, $E88)),1)="#", "-", _xll.BDP(J89, $E88))</f>
        <v>#NAME?</v>
      </c>
      <c r="K88" s="43" t="e" cm="1">
        <f t="array" aca="1" ref="K88" ca="1">IF(LEFT(_xlfn.SINGLE(_xll.BDP(K89, $E88)),1)="#", "-", _xll.BDP(K89, $E88))</f>
        <v>#NAME?</v>
      </c>
      <c r="L88" s="43" t="e" cm="1">
        <f t="array" aca="1" ref="L88" ca="1">IF(LEFT(_xlfn.SINGLE(_xll.BDP(L89, $E88)),1)="#", "-", _xll.BDP(L89, $E88))</f>
        <v>#NAME?</v>
      </c>
      <c r="M88" s="43" t="e" cm="1">
        <f t="array" aca="1" ref="M88" ca="1">IF(LEFT(_xlfn.SINGLE(_xll.BDP(M89, $E88)),1)="#", "-", _xll.BDP(M89, $E88))</f>
        <v>#NAME?</v>
      </c>
      <c r="N88" s="43" t="e" cm="1">
        <f t="array" aca="1" ref="N88" ca="1">IF(LEFT(_xlfn.SINGLE(_xll.BDP(N89, $E88)),1)="#", "-", _xll.BDP(N89, $E88))</f>
        <v>#NAME?</v>
      </c>
      <c r="O88" s="43" t="e" cm="1">
        <f t="array" aca="1" ref="O88" ca="1">IF(LEFT(_xlfn.SINGLE(_xll.BDP(O89, $E88)),1)="#", "-", _xll.BDP(O89, $E88))</f>
        <v>#NAME?</v>
      </c>
      <c r="P88" s="43" t="e" cm="1">
        <f t="array" aca="1" ref="P88" ca="1">IF(LEFT(_xlfn.SINGLE(_xll.BDP(P89, $E88)),1)="#", "-", _xll.BDP(P89, $E88))</f>
        <v>#NAME?</v>
      </c>
      <c r="Q88" s="43" t="e" cm="1">
        <f t="array" aca="1" ref="Q88" ca="1">IF(LEFT(_xlfn.SINGLE(_xll.BDP(Q89, $E88)),1)="#", "-", _xll.BDP(Q89, $E88))</f>
        <v>#NAME?</v>
      </c>
      <c r="R88" s="43" t="e" cm="1">
        <f t="array" aca="1" ref="R88" ca="1">IF(LEFT(_xlfn.SINGLE(_xll.BDP(R89, $E88)),1)="#", "-", _xll.BDP(R89, $E88))</f>
        <v>#NAME?</v>
      </c>
      <c r="S88" s="43" t="e" cm="1">
        <f t="array" aca="1" ref="S88" ca="1">IF(LEFT(_xlfn.SINGLE(_xll.BDP(S89, $E88)),1)="#", "-", _xll.BDP(S89, $E88))</f>
        <v>#NAME?</v>
      </c>
      <c r="T88" s="43" t="e" cm="1">
        <f t="array" aca="1" ref="T88" ca="1">IF(LEFT(_xlfn.SINGLE(_xll.BDP(T89, $E88)),1)="#", "-", _xll.BDP(T89, $E88))</f>
        <v>#NAME?</v>
      </c>
      <c r="U88" s="43" t="e" cm="1">
        <f t="array" aca="1" ref="U88" ca="1">IF(LEFT(_xlfn.SINGLE(_xll.BDP(U89, $E88)),1)="#", "-", _xll.BDP(U89, $E88))</f>
        <v>#NAME?</v>
      </c>
      <c r="V88" s="43" t="e" cm="1">
        <f t="array" aca="1" ref="V88" ca="1">IF(LEFT(_xlfn.SINGLE(_xll.BDP(V89, $E88)),1)="#", "-", _xll.BDP(V89, $E88))</f>
        <v>#NAME?</v>
      </c>
      <c r="W88" s="43" t="e" cm="1">
        <f t="array" aca="1" ref="W88" ca="1">IF(LEFT(_xlfn.SINGLE(_xll.BDP(W89, $E88)),1)="#", "-", _xll.BDP(W89, $E88))</f>
        <v>#NAME?</v>
      </c>
      <c r="X88" s="43" t="e" cm="1">
        <f t="array" aca="1" ref="X88" ca="1">IF(LEFT(_xlfn.SINGLE(_xll.BDP(X89, $E88)),1)="#", "-", _xll.BDP(X89, $E88))</f>
        <v>#NAME?</v>
      </c>
      <c r="Y88" s="43" t="e" cm="1">
        <f t="array" aca="1" ref="Y88" ca="1">IF(LEFT(_xlfn.SINGLE(_xll.BDP(Y89, $E88)),1)="#", "-", _xll.BDP(Y89, $E88))</f>
        <v>#NAME?</v>
      </c>
      <c r="Z88" s="43" t="e" cm="1">
        <f t="array" aca="1" ref="Z88" ca="1">IF(LEFT(_xlfn.SINGLE(_xll.BDP(Z89, $E88)),1)="#", "-", _xll.BDP(Z89, $E88))</f>
        <v>#NAME?</v>
      </c>
      <c r="AA88" s="43" t="e" cm="1">
        <f t="array" aca="1" ref="AA88" ca="1">IF(LEFT(_xlfn.SINGLE(_xll.BDP(AA89, $E88)),1)="#", "-", _xll.BDP(AA89, $E88))</f>
        <v>#NAME?</v>
      </c>
      <c r="AB88" s="43" t="e" cm="1">
        <f t="array" aca="1" ref="AB88" ca="1">IF(LEFT(_xlfn.SINGLE(_xll.BDP(AB89, $E88)),1)="#", "-", _xll.BDP(AB89, $E88))</f>
        <v>#NAME?</v>
      </c>
      <c r="AC88" s="43" t="e" cm="1">
        <f t="array" aca="1" ref="AC88" ca="1">IF(LEFT(_xlfn.SINGLE(_xll.BDP(AC89, $E88)),1)="#", "-", _xll.BDP(AC89, $E88))</f>
        <v>#NAME?</v>
      </c>
      <c r="AD88" s="43" t="e" cm="1">
        <f t="array" aca="1" ref="AD88" ca="1">IF(LEFT(_xlfn.SINGLE(_xll.BDP(AD89, $E88)),1)="#", "-", _xll.BDP(AD89, $E88))</f>
        <v>#NAME?</v>
      </c>
      <c r="AE88" s="43" t="e" cm="1">
        <f t="array" aca="1" ref="AE88" ca="1">IF(LEFT(_xlfn.SINGLE(_xll.BDP(AE89, $E88)),1)="#", "-", _xll.BDP(AE89, $E88))</f>
        <v>#NAME?</v>
      </c>
      <c r="AF88" s="43" t="e" cm="1">
        <f t="array" aca="1" ref="AF88" ca="1">IF(LEFT(_xlfn.SINGLE(_xll.BDP(AF89, $E88)),1)="#", "-", _xll.BDP(AF89, $E88))</f>
        <v>#NAME?</v>
      </c>
      <c r="AG88" s="43" t="e" cm="1">
        <f t="array" aca="1" ref="AG88" ca="1">IF(LEFT(_xlfn.SINGLE(_xll.BDP(AG89, $E88)),1)="#", "-", _xll.BDP(AG89, $E88))</f>
        <v>#NAME?</v>
      </c>
      <c r="AH88" s="43" t="e" cm="1">
        <f t="array" aca="1" ref="AH88" ca="1">IF(LEFT(_xlfn.SINGLE(_xll.BDP(AH89, $E88)),1)="#", "-", _xll.BDP(AH89, $E88))</f>
        <v>#NAME?</v>
      </c>
      <c r="AI88" s="43" t="e" cm="1">
        <f t="array" aca="1" ref="AI88" ca="1">IF(LEFT(_xlfn.SINGLE(_xll.BDP(AI89, $E88)),1)="#", "-", _xll.BDP(AI89, $E88))</f>
        <v>#NAME?</v>
      </c>
      <c r="AJ88" s="43" t="e" cm="1">
        <f t="array" aca="1" ref="AJ88" ca="1">IF(LEFT(_xlfn.SINGLE(_xll.BDP(AJ89, $E88)),1)="#", "-", _xll.BDP(AJ89, $E88))</f>
        <v>#NAME?</v>
      </c>
      <c r="AK88" s="43" t="e" cm="1">
        <f t="array" aca="1" ref="AK88" ca="1">IF(LEFT(_xlfn.SINGLE(_xll.BDP(AK89, $E88)),1)="#", "-", _xll.BDP(AK89, $E88))</f>
        <v>#NAME?</v>
      </c>
      <c r="AL88" s="43" t="e" cm="1">
        <f t="array" aca="1" ref="AL88" ca="1">IF(LEFT(_xlfn.SINGLE(_xll.BDP(AL89, $E88)),1)="#", "-", _xll.BDP(AL89, $E88))</f>
        <v>#NAME?</v>
      </c>
      <c r="AM88" s="43" t="e" cm="1">
        <f t="array" aca="1" ref="AM88" ca="1">IF(LEFT(_xlfn.SINGLE(_xll.BDP(AM89, $E88)),1)="#", "-", _xll.BDP(AM89, $E88))</f>
        <v>#NAME?</v>
      </c>
      <c r="AN88" s="43" t="e" cm="1">
        <f t="array" aca="1" ref="AN88" ca="1">IF(LEFT(_xlfn.SINGLE(_xll.BDP(AN89, $E88)),1)="#", "-", _xll.BDP(AN89, $E88))</f>
        <v>#NAME?</v>
      </c>
      <c r="AO88" s="43" t="e" cm="1">
        <f t="array" aca="1" ref="AO88" ca="1">IF(LEFT(_xlfn.SINGLE(_xll.BDP(AO89, $E88)),1)="#", "-", _xll.BDP(AO89, $E88))</f>
        <v>#NAME?</v>
      </c>
      <c r="AP88" s="43" t="e" cm="1">
        <f t="array" aca="1" ref="AP88" ca="1">IF(LEFT(_xlfn.SINGLE(_xll.BDP(AP89, $E88)),1)="#", "-", _xll.BDP(AP89, $E88))</f>
        <v>#NAME?</v>
      </c>
      <c r="AQ88" s="43" t="e" cm="1">
        <f t="array" aca="1" ref="AQ88" ca="1">IF(LEFT(_xlfn.SINGLE(_xll.BDP(AQ89, $E88)),1)="#", "-", _xll.BDP(AQ89, $E88))</f>
        <v>#NAME?</v>
      </c>
      <c r="AR88" s="43" t="e" cm="1">
        <f t="array" aca="1" ref="AR88" ca="1">IF(LEFT(_xlfn.SINGLE(_xll.BDP(AR89, $E88)),1)="#", "-", _xll.BDP(AR89, $E88))</f>
        <v>#NAME?</v>
      </c>
      <c r="AS88" s="43" t="e" cm="1">
        <f t="array" aca="1" ref="AS88" ca="1">IF(LEFT(_xlfn.SINGLE(_xll.BDP(AS89, $E88)),1)="#", "-", _xll.BDP(AS89, $E88))</f>
        <v>#NAME?</v>
      </c>
      <c r="AT88" s="43" t="e" cm="1">
        <f t="array" aca="1" ref="AT88" ca="1">IF(LEFT(_xlfn.SINGLE(_xll.BDP(AT89, $E88)),1)="#", "-", _xll.BDP(AT89, $E88))</f>
        <v>#NAME?</v>
      </c>
      <c r="AU88" s="43" t="e" cm="1">
        <f t="array" aca="1" ref="AU88" ca="1">IF(LEFT(_xlfn.SINGLE(_xll.BDP(AU89, $E88)),1)="#", "-", _xll.BDP(AU89, $E88))</f>
        <v>#NAME?</v>
      </c>
      <c r="AV88" s="43" t="e" cm="1">
        <f t="array" aca="1" ref="AV88" ca="1">IF(LEFT(_xlfn.SINGLE(_xll.BDP(AV89, $E88)),1)="#", "-", _xll.BDP(AV89, $E88))</f>
        <v>#NAME?</v>
      </c>
      <c r="AW88" s="43" t="e" cm="1">
        <f t="array" aca="1" ref="AW88" ca="1">IF(LEFT(_xlfn.SINGLE(_xll.BDP(AW89, $E88)),1)="#", "-", _xll.BDP(AW89, $E88))</f>
        <v>#NAME?</v>
      </c>
      <c r="AX88" s="43" t="e" cm="1">
        <f t="array" aca="1" ref="AX88" ca="1">IF(LEFT(_xlfn.SINGLE(_xll.BDP(AX89, $E88)),1)="#", "-", _xll.BDP(AX89, $E88))</f>
        <v>#NAME?</v>
      </c>
      <c r="AY88" s="43" t="e" cm="1">
        <f t="array" aca="1" ref="AY88" ca="1">IF(LEFT(_xlfn.SINGLE(_xll.BDP(AY89, $E88)),1)="#", "-", _xll.BDP(AY89, $E88))</f>
        <v>#NAME?</v>
      </c>
      <c r="AZ88" s="43" t="e" cm="1">
        <f t="array" aca="1" ref="AZ88" ca="1">IF(LEFT(_xlfn.SINGLE(_xll.BDP(AZ89, $E88)),1)="#", "-", _xll.BDP(AZ89, $E88))</f>
        <v>#NAME?</v>
      </c>
      <c r="BA88" s="45" t="e" cm="1">
        <f t="array" aca="1" ref="BA88" ca="1">IF(LEFT(_xlfn.SINGLE(_xll.BDP(BA89, $E88)),1)="#", "-", _xll.BDP(BA89, $E88))</f>
        <v>#NAME?</v>
      </c>
    </row>
    <row r="89" spans="2:53" ht="15" customHeight="1">
      <c r="B89" s="40"/>
      <c r="C89" s="145" t="str">
        <f>trans_getMessage("","Curve Tickers",,LANG_ID)</f>
        <v>Curve Tickers</v>
      </c>
      <c r="D89" s="146"/>
      <c r="E89" s="50" t="s">
        <v>46</v>
      </c>
      <c r="F89" s="42" t="e" cm="1">
        <f t="array" aca="1" ref="F89" ca="1">_xll.BDS(E84,E89,"Dir=H",)</f>
        <v>#NAME?</v>
      </c>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4"/>
    </row>
    <row r="90" spans="2:53" ht="15" customHeight="1">
      <c r="C90" s="138" t="str">
        <f>trans_getMessage("","Rate",,LANG_ID)</f>
        <v>Rate</v>
      </c>
      <c r="D90" s="139"/>
      <c r="E90" s="51" t="s">
        <v>44</v>
      </c>
      <c r="F90" s="46" t="str" cm="1">
        <f t="array" aca="1" ref="F90" ca="1">IF(ISERROR(_xlfn.SINGLE(_xll.BDP(F89, $E90))*1), "-", _xll.BDP(F89, $E90))</f>
        <v>-</v>
      </c>
      <c r="G90" s="46" t="str" cm="1">
        <f t="array" aca="1" ref="G90" ca="1">IF(ISERROR(_xlfn.SINGLE(_xll.BDP(G89, $E90))*1), "-", _xll.BDP(G89, $E90))</f>
        <v>-</v>
      </c>
      <c r="H90" s="46" t="str" cm="1">
        <f t="array" aca="1" ref="H90" ca="1">IF(ISERROR(_xlfn.SINGLE(_xll.BDP(H89, $E90))*1), "-", _xll.BDP(H89, $E90))</f>
        <v>-</v>
      </c>
      <c r="I90" s="46" t="str" cm="1">
        <f t="array" aca="1" ref="I90" ca="1">IF(ISERROR(_xlfn.SINGLE(_xll.BDP(I89, $E90))*1), "-", _xll.BDP(I89, $E90))</f>
        <v>-</v>
      </c>
      <c r="J90" s="46" t="str" cm="1">
        <f t="array" aca="1" ref="J90" ca="1">IF(ISERROR(_xlfn.SINGLE(_xll.BDP(J89, $E90))*1), "-", _xll.BDP(J89, $E90))</f>
        <v>-</v>
      </c>
      <c r="K90" s="46" t="str" cm="1">
        <f t="array" aca="1" ref="K90" ca="1">IF(ISERROR(_xlfn.SINGLE(_xll.BDP(K89, $E90))*1), "-", _xll.BDP(K89, $E90))</f>
        <v>-</v>
      </c>
      <c r="L90" s="46" t="str" cm="1">
        <f t="array" aca="1" ref="L90" ca="1">IF(ISERROR(_xlfn.SINGLE(_xll.BDP(L89, $E90))*1), "-", _xll.BDP(L89, $E90))</f>
        <v>-</v>
      </c>
      <c r="M90" s="46" t="str" cm="1">
        <f t="array" aca="1" ref="M90" ca="1">IF(ISERROR(_xlfn.SINGLE(_xll.BDP(M89, $E90))*1), "-", _xll.BDP(M89, $E90))</f>
        <v>-</v>
      </c>
      <c r="N90" s="46" t="str" cm="1">
        <f t="array" aca="1" ref="N90" ca="1">IF(ISERROR(_xlfn.SINGLE(_xll.BDP(N89, $E90))*1), "-", _xll.BDP(N89, $E90))</f>
        <v>-</v>
      </c>
      <c r="O90" s="46" t="str" cm="1">
        <f t="array" aca="1" ref="O90" ca="1">IF(ISERROR(_xlfn.SINGLE(_xll.BDP(O89, $E90))*1), "-", _xll.BDP(O89, $E90))</f>
        <v>-</v>
      </c>
      <c r="P90" s="46" t="str" cm="1">
        <f t="array" aca="1" ref="P90" ca="1">IF(ISERROR(_xlfn.SINGLE(_xll.BDP(P89, $E90))*1), "-", _xll.BDP(P89, $E90))</f>
        <v>-</v>
      </c>
      <c r="Q90" s="46" t="str" cm="1">
        <f t="array" aca="1" ref="Q90" ca="1">IF(ISERROR(_xlfn.SINGLE(_xll.BDP(Q89, $E90))*1), "-", _xll.BDP(Q89, $E90))</f>
        <v>-</v>
      </c>
      <c r="R90" s="46" t="str" cm="1">
        <f t="array" aca="1" ref="R90" ca="1">IF(ISERROR(_xlfn.SINGLE(_xll.BDP(R89, $E90))*1), "-", _xll.BDP(R89, $E90))</f>
        <v>-</v>
      </c>
      <c r="S90" s="46" t="str" cm="1">
        <f t="array" aca="1" ref="S90" ca="1">IF(ISERROR(_xlfn.SINGLE(_xll.BDP(S89, $E90))*1), "-", _xll.BDP(S89, $E90))</f>
        <v>-</v>
      </c>
      <c r="T90" s="46" t="str" cm="1">
        <f t="array" aca="1" ref="T90" ca="1">IF(ISERROR(_xlfn.SINGLE(_xll.BDP(T89, $E90))*1), "-", _xll.BDP(T89, $E90))</f>
        <v>-</v>
      </c>
      <c r="U90" s="46" t="str" cm="1">
        <f t="array" aca="1" ref="U90" ca="1">IF(ISERROR(_xlfn.SINGLE(_xll.BDP(U89, $E90))*1), "-", _xll.BDP(U89, $E90))</f>
        <v>-</v>
      </c>
      <c r="V90" s="46" t="str" cm="1">
        <f t="array" aca="1" ref="V90" ca="1">IF(ISERROR(_xlfn.SINGLE(_xll.BDP(V89, $E90))*1), "-", _xll.BDP(V89, $E90))</f>
        <v>-</v>
      </c>
      <c r="W90" s="46" t="str" cm="1">
        <f t="array" aca="1" ref="W90" ca="1">IF(ISERROR(_xlfn.SINGLE(_xll.BDP(W89, $E90))*1), "-", _xll.BDP(W89, $E90))</f>
        <v>-</v>
      </c>
      <c r="X90" s="46" t="str" cm="1">
        <f t="array" aca="1" ref="X90" ca="1">IF(ISERROR(_xlfn.SINGLE(_xll.BDP(X89, $E90))*1), "-", _xll.BDP(X89, $E90))</f>
        <v>-</v>
      </c>
      <c r="Y90" s="46" t="str" cm="1">
        <f t="array" aca="1" ref="Y90" ca="1">IF(ISERROR(_xlfn.SINGLE(_xll.BDP(Y89, $E90))*1), "-", _xll.BDP(Y89, $E90))</f>
        <v>-</v>
      </c>
      <c r="Z90" s="46" t="str" cm="1">
        <f t="array" aca="1" ref="Z90" ca="1">IF(ISERROR(_xlfn.SINGLE(_xll.BDP(Z89, $E90))*1), "-", _xll.BDP(Z89, $E90))</f>
        <v>-</v>
      </c>
      <c r="AA90" s="46" t="str" cm="1">
        <f t="array" aca="1" ref="AA90" ca="1">IF(ISERROR(_xlfn.SINGLE(_xll.BDP(AA89, $E90))*1), "-", _xll.BDP(AA89, $E90))</f>
        <v>-</v>
      </c>
      <c r="AB90" s="46" t="str" cm="1">
        <f t="array" aca="1" ref="AB90" ca="1">IF(ISERROR(_xlfn.SINGLE(_xll.BDP(AB89, $E90))*1), "-", _xll.BDP(AB89, $E90))</f>
        <v>-</v>
      </c>
      <c r="AC90" s="46" t="str" cm="1">
        <f t="array" aca="1" ref="AC90" ca="1">IF(ISERROR(_xlfn.SINGLE(_xll.BDP(AC89, $E90))*1), "-", _xll.BDP(AC89, $E90))</f>
        <v>-</v>
      </c>
      <c r="AD90" s="46" t="str" cm="1">
        <f t="array" aca="1" ref="AD90" ca="1">IF(ISERROR(_xlfn.SINGLE(_xll.BDP(AD89, $E90))*1), "-", _xll.BDP(AD89, $E90))</f>
        <v>-</v>
      </c>
      <c r="AE90" s="46" t="str" cm="1">
        <f t="array" aca="1" ref="AE90" ca="1">IF(ISERROR(_xlfn.SINGLE(_xll.BDP(AE89, $E90))*1), "-", _xll.BDP(AE89, $E90))</f>
        <v>-</v>
      </c>
      <c r="AF90" s="46" t="str" cm="1">
        <f t="array" aca="1" ref="AF90" ca="1">IF(ISERROR(_xlfn.SINGLE(_xll.BDP(AF89, $E90))*1), "-", _xll.BDP(AF89, $E90))</f>
        <v>-</v>
      </c>
      <c r="AG90" s="46" t="str" cm="1">
        <f t="array" aca="1" ref="AG90" ca="1">IF(ISERROR(_xlfn.SINGLE(_xll.BDP(AG89, $E90))*1), "-", _xll.BDP(AG89, $E90))</f>
        <v>-</v>
      </c>
      <c r="AH90" s="46" t="str" cm="1">
        <f t="array" aca="1" ref="AH90" ca="1">IF(ISERROR(_xlfn.SINGLE(_xll.BDP(AH89, $E90))*1), "-", _xll.BDP(AH89, $E90))</f>
        <v>-</v>
      </c>
      <c r="AI90" s="46" t="str" cm="1">
        <f t="array" aca="1" ref="AI90" ca="1">IF(ISERROR(_xlfn.SINGLE(_xll.BDP(AI89, $E90))*1), "-", _xll.BDP(AI89, $E90))</f>
        <v>-</v>
      </c>
      <c r="AJ90" s="46" t="str" cm="1">
        <f t="array" aca="1" ref="AJ90" ca="1">IF(ISERROR(_xlfn.SINGLE(_xll.BDP(AJ89, $E90))*1), "-", _xll.BDP(AJ89, $E90))</f>
        <v>-</v>
      </c>
      <c r="AK90" s="46" t="str" cm="1">
        <f t="array" aca="1" ref="AK90" ca="1">IF(ISERROR(_xlfn.SINGLE(_xll.BDP(AK89, $E90))*1), "-", _xll.BDP(AK89, $E90))</f>
        <v>-</v>
      </c>
      <c r="AL90" s="46" t="str" cm="1">
        <f t="array" aca="1" ref="AL90" ca="1">IF(ISERROR(_xlfn.SINGLE(_xll.BDP(AL89, $E90))*1), "-", _xll.BDP(AL89, $E90))</f>
        <v>-</v>
      </c>
      <c r="AM90" s="46" t="str" cm="1">
        <f t="array" aca="1" ref="AM90" ca="1">IF(ISERROR(_xlfn.SINGLE(_xll.BDP(AM89, $E90))*1), "-", _xll.BDP(AM89, $E90))</f>
        <v>-</v>
      </c>
      <c r="AN90" s="46" t="str" cm="1">
        <f t="array" aca="1" ref="AN90" ca="1">IF(ISERROR(_xlfn.SINGLE(_xll.BDP(AN89, $E90))*1), "-", _xll.BDP(AN89, $E90))</f>
        <v>-</v>
      </c>
      <c r="AO90" s="46" t="str" cm="1">
        <f t="array" aca="1" ref="AO90" ca="1">IF(ISERROR(_xlfn.SINGLE(_xll.BDP(AO89, $E90))*1), "-", _xll.BDP(AO89, $E90))</f>
        <v>-</v>
      </c>
      <c r="AP90" s="46" t="str" cm="1">
        <f t="array" aca="1" ref="AP90" ca="1">IF(ISERROR(_xlfn.SINGLE(_xll.BDP(AP89, $E90))*1), "-", _xll.BDP(AP89, $E90))</f>
        <v>-</v>
      </c>
      <c r="AQ90" s="46" t="str" cm="1">
        <f t="array" aca="1" ref="AQ90" ca="1">IF(ISERROR(_xlfn.SINGLE(_xll.BDP(AQ89, $E90))*1), "-", _xll.BDP(AQ89, $E90))</f>
        <v>-</v>
      </c>
      <c r="AR90" s="46" t="str" cm="1">
        <f t="array" aca="1" ref="AR90" ca="1">IF(ISERROR(_xlfn.SINGLE(_xll.BDP(AR89, $E90))*1), "-", _xll.BDP(AR89, $E90))</f>
        <v>-</v>
      </c>
      <c r="AS90" s="46" t="str" cm="1">
        <f t="array" aca="1" ref="AS90" ca="1">IF(ISERROR(_xlfn.SINGLE(_xll.BDP(AS89, $E90))*1), "-", _xll.BDP(AS89, $E90))</f>
        <v>-</v>
      </c>
      <c r="AT90" s="46" t="str" cm="1">
        <f t="array" aca="1" ref="AT90" ca="1">IF(ISERROR(_xlfn.SINGLE(_xll.BDP(AT89, $E90))*1), "-", _xll.BDP(AT89, $E90))</f>
        <v>-</v>
      </c>
      <c r="AU90" s="46" t="str" cm="1">
        <f t="array" aca="1" ref="AU90" ca="1">IF(ISERROR(_xlfn.SINGLE(_xll.BDP(AU89, $E90))*1), "-", _xll.BDP(AU89, $E90))</f>
        <v>-</v>
      </c>
      <c r="AV90" s="46" t="str" cm="1">
        <f t="array" aca="1" ref="AV90" ca="1">IF(ISERROR(_xlfn.SINGLE(_xll.BDP(AV89, $E90))*1), "-", _xll.BDP(AV89, $E90))</f>
        <v>-</v>
      </c>
      <c r="AW90" s="46" t="str" cm="1">
        <f t="array" aca="1" ref="AW90" ca="1">IF(ISERROR(_xlfn.SINGLE(_xll.BDP(AW89, $E90))*1), "-", _xll.BDP(AW89, $E90))</f>
        <v>-</v>
      </c>
      <c r="AX90" s="46" t="str" cm="1">
        <f t="array" aca="1" ref="AX90" ca="1">IF(ISERROR(_xlfn.SINGLE(_xll.BDP(AX89, $E90))*1), "-", _xll.BDP(AX89, $E90))</f>
        <v>-</v>
      </c>
      <c r="AY90" s="46" t="str" cm="1">
        <f t="array" aca="1" ref="AY90" ca="1">IF(ISERROR(_xlfn.SINGLE(_xll.BDP(AY89, $E90))*1), "-", _xll.BDP(AY89, $E90))</f>
        <v>-</v>
      </c>
      <c r="AZ90" s="46" t="str" cm="1">
        <f t="array" aca="1" ref="AZ90" ca="1">IF(ISERROR(_xlfn.SINGLE(_xll.BDP(AZ89, $E90))*1), "-", _xll.BDP(AZ89, $E90))</f>
        <v>-</v>
      </c>
      <c r="BA90" s="47" t="str" cm="1">
        <f t="array" aca="1" ref="BA90" ca="1">IF(ISERROR(_xlfn.SINGLE(_xll.BDP(BA89, $E90))*1), "-", _xll.BDP(BA89, $E90))</f>
        <v>-</v>
      </c>
    </row>
    <row r="91" spans="2:53" ht="15" hidden="1" customHeight="1"/>
    <row r="92" spans="2:53" ht="5.15" customHeight="1"/>
    <row r="93" spans="2:53" ht="15" customHeight="1">
      <c r="B93" s="38" t="s">
        <v>36</v>
      </c>
      <c r="C93" s="140" t="str">
        <f>trans_getMessage("","Curve Number",,LANG_ID)</f>
        <v>Curve Number</v>
      </c>
      <c r="D93" s="141"/>
      <c r="E93" s="142">
        <f>VLOOKUP(B93, 'Currency-Curve List'!$C$9:$E$103, 2, FALSE)</f>
        <v>320</v>
      </c>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4"/>
    </row>
    <row r="94" spans="2:53" ht="15" customHeight="1">
      <c r="C94" s="145" t="str">
        <f>trans_getMessage("","Curve Index",,LANG_ID)</f>
        <v>Curve Index</v>
      </c>
      <c r="D94" s="146"/>
      <c r="E94" s="147" t="str">
        <f>VLOOKUP(B93, 'Currency-Curve List'!$C$9:$E$103, 3, FALSE)</f>
        <v>YCSW0320 Index</v>
      </c>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9"/>
    </row>
    <row r="95" spans="2:53" ht="15" customHeight="1">
      <c r="C95" s="145" t="str">
        <f>trans_getMessage("","Curve Name",,LANG_ID)</f>
        <v>Curve Name</v>
      </c>
      <c r="D95" s="146"/>
      <c r="E95" s="150" t="e" cm="1">
        <f t="array" aca="1" ref="E95" ca="1">_xll.BDP(E94, "NAME")</f>
        <v>#NAME?</v>
      </c>
      <c r="F95" s="151"/>
      <c r="G95" s="151"/>
      <c r="H95" s="151"/>
      <c r="I95" s="151"/>
      <c r="J95" s="151"/>
      <c r="K95" s="151"/>
      <c r="L95" s="151"/>
      <c r="M95" s="151"/>
      <c r="N95" s="151"/>
      <c r="O95" s="151"/>
      <c r="P95" s="151"/>
      <c r="Q95" s="151"/>
      <c r="R95" s="151"/>
      <c r="S95" s="151"/>
      <c r="T95" s="151"/>
      <c r="U95" s="151"/>
      <c r="V95" s="151"/>
      <c r="W95" s="151"/>
      <c r="X95" s="151"/>
      <c r="Y95" s="151"/>
      <c r="Z95" s="151"/>
      <c r="AA95" s="151"/>
      <c r="AB95" s="151"/>
      <c r="AC95" s="151"/>
      <c r="AD95" s="151"/>
      <c r="AE95" s="151"/>
      <c r="AF95" s="151"/>
      <c r="AG95" s="151"/>
      <c r="AH95" s="151"/>
      <c r="AI95" s="151"/>
      <c r="AJ95" s="151"/>
      <c r="AK95" s="151"/>
      <c r="AL95" s="151"/>
      <c r="AM95" s="151"/>
      <c r="AN95" s="151"/>
      <c r="AO95" s="151"/>
      <c r="AP95" s="151"/>
      <c r="AQ95" s="151"/>
      <c r="AR95" s="151"/>
      <c r="AS95" s="151"/>
      <c r="AT95" s="151"/>
      <c r="AU95" s="151"/>
      <c r="AV95" s="151"/>
      <c r="AW95" s="151"/>
      <c r="AX95" s="151"/>
      <c r="AY95" s="151"/>
      <c r="AZ95" s="151"/>
      <c r="BA95" s="152"/>
    </row>
    <row r="96" spans="2:53" ht="15" customHeight="1">
      <c r="C96" s="145" t="str">
        <f>trans_getMessage("","Tenors",,LANG_ID)</f>
        <v>Tenors</v>
      </c>
      <c r="D96" s="146"/>
      <c r="E96" s="48" t="s">
        <v>50</v>
      </c>
      <c r="F96" s="42" t="e" cm="1">
        <f t="array" aca="1" ref="F96" ca="1">_xll.BDS(E94,E96,"Dir=H",)</f>
        <v>#NAME?</v>
      </c>
      <c r="G96" s="42"/>
      <c r="H96" s="42"/>
      <c r="I96" s="42"/>
      <c r="J96" s="42"/>
      <c r="K96" s="42"/>
      <c r="L96" s="42"/>
      <c r="M96" s="42"/>
      <c r="N96" s="42"/>
      <c r="O96" s="42"/>
      <c r="P96" s="42"/>
      <c r="Q96" s="42"/>
      <c r="R96" s="42"/>
      <c r="S96" s="42"/>
      <c r="T96" s="42"/>
      <c r="U96" s="42"/>
      <c r="V96" s="42"/>
      <c r="W96" s="42"/>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c r="AW96" s="42"/>
      <c r="AX96" s="42"/>
      <c r="AY96" s="42"/>
      <c r="AZ96" s="42"/>
      <c r="BA96" s="44"/>
    </row>
    <row r="97" spans="2:53" ht="15" hidden="1" customHeight="1">
      <c r="C97" s="145" t="s">
        <v>2211</v>
      </c>
      <c r="D97" s="146"/>
      <c r="E97" s="48"/>
      <c r="F97" s="42" t="e">
        <f ca="1">IF(F96="","",IF(F96="12M","1Y",IF(F96="24M","2Y",F96)))</f>
        <v>#NAME?</v>
      </c>
      <c r="G97" s="42" t="str">
        <f t="shared" ref="G97" si="330">IF(G96="","",IF(G96="12M","1Y",IF(G96="24M","2Y",G96)))</f>
        <v/>
      </c>
      <c r="H97" s="42" t="str">
        <f t="shared" ref="H97" si="331">IF(H96="","",IF(H96="12M","1Y",IF(H96="24M","2Y",H96)))</f>
        <v/>
      </c>
      <c r="I97" s="42" t="str">
        <f t="shared" ref="I97" si="332">IF(I96="","",IF(I96="12M","1Y",IF(I96="24M","2Y",I96)))</f>
        <v/>
      </c>
      <c r="J97" s="42" t="str">
        <f t="shared" ref="J97" si="333">IF(J96="","",IF(J96="12M","1Y",IF(J96="24M","2Y",J96)))</f>
        <v/>
      </c>
      <c r="K97" s="42" t="str">
        <f t="shared" ref="K97" si="334">IF(K96="","",IF(K96="12M","1Y",IF(K96="24M","2Y",K96)))</f>
        <v/>
      </c>
      <c r="L97" s="42" t="str">
        <f t="shared" ref="L97" si="335">IF(L96="","",IF(L96="12M","1Y",IF(L96="24M","2Y",L96)))</f>
        <v/>
      </c>
      <c r="M97" s="42" t="str">
        <f t="shared" ref="M97" si="336">IF(M96="","",IF(M96="12M","1Y",IF(M96="24M","2Y",M96)))</f>
        <v/>
      </c>
      <c r="N97" s="42" t="str">
        <f t="shared" ref="N97" si="337">IF(N96="","",IF(N96="12M","1Y",IF(N96="24M","2Y",N96)))</f>
        <v/>
      </c>
      <c r="O97" s="42" t="str">
        <f t="shared" ref="O97" si="338">IF(O96="","",IF(O96="12M","1Y",IF(O96="24M","2Y",O96)))</f>
        <v/>
      </c>
      <c r="P97" s="42" t="str">
        <f t="shared" ref="P97" si="339">IF(P96="","",IF(P96="12M","1Y",IF(P96="24M","2Y",P96)))</f>
        <v/>
      </c>
      <c r="Q97" s="42" t="str">
        <f t="shared" ref="Q97" si="340">IF(Q96="","",IF(Q96="12M","1Y",IF(Q96="24M","2Y",Q96)))</f>
        <v/>
      </c>
      <c r="R97" s="42" t="str">
        <f t="shared" ref="R97" si="341">IF(R96="","",IF(R96="12M","1Y",IF(R96="24M","2Y",R96)))</f>
        <v/>
      </c>
      <c r="S97" s="42" t="str">
        <f t="shared" ref="S97" si="342">IF(S96="","",IF(S96="12M","1Y",IF(S96="24M","2Y",S96)))</f>
        <v/>
      </c>
      <c r="T97" s="42" t="str">
        <f t="shared" ref="T97" si="343">IF(T96="","",IF(T96="12M","1Y",IF(T96="24M","2Y",T96)))</f>
        <v/>
      </c>
      <c r="U97" s="42" t="str">
        <f t="shared" ref="U97" si="344">IF(U96="","",IF(U96="12M","1Y",IF(U96="24M","2Y",U96)))</f>
        <v/>
      </c>
      <c r="V97" s="42" t="str">
        <f t="shared" ref="V97" si="345">IF(V96="","",IF(V96="12M","1Y",IF(V96="24M","2Y",V96)))</f>
        <v/>
      </c>
      <c r="W97" s="42" t="str">
        <f t="shared" ref="W97" si="346">IF(W96="","",IF(W96="12M","1Y",IF(W96="24M","2Y",W96)))</f>
        <v/>
      </c>
      <c r="X97" s="42" t="str">
        <f t="shared" ref="X97" si="347">IF(X96="","",IF(X96="12M","1Y",IF(X96="24M","2Y",X96)))</f>
        <v/>
      </c>
      <c r="Y97" s="42" t="str">
        <f t="shared" ref="Y97" si="348">IF(Y96="","",IF(Y96="12M","1Y",IF(Y96="24M","2Y",Y96)))</f>
        <v/>
      </c>
      <c r="Z97" s="42" t="str">
        <f t="shared" ref="Z97" si="349">IF(Z96="","",IF(Z96="12M","1Y",IF(Z96="24M","2Y",Z96)))</f>
        <v/>
      </c>
      <c r="AA97" s="42" t="str">
        <f t="shared" ref="AA97" si="350">IF(AA96="","",IF(AA96="12M","1Y",IF(AA96="24M","2Y",AA96)))</f>
        <v/>
      </c>
      <c r="AB97" s="42" t="str">
        <f t="shared" ref="AB97" si="351">IF(AB96="","",IF(AB96="12M","1Y",IF(AB96="24M","2Y",AB96)))</f>
        <v/>
      </c>
      <c r="AC97" s="42" t="str">
        <f t="shared" ref="AC97" si="352">IF(AC96="","",IF(AC96="12M","1Y",IF(AC96="24M","2Y",AC96)))</f>
        <v/>
      </c>
      <c r="AD97" s="42" t="str">
        <f t="shared" ref="AD97" si="353">IF(AD96="","",IF(AD96="12M","1Y",IF(AD96="24M","2Y",AD96)))</f>
        <v/>
      </c>
      <c r="AE97" s="42" t="str">
        <f t="shared" ref="AE97" si="354">IF(AE96="","",IF(AE96="12M","1Y",IF(AE96="24M","2Y",AE96)))</f>
        <v/>
      </c>
      <c r="AF97" s="42" t="str">
        <f t="shared" ref="AF97" si="355">IF(AF96="","",IF(AF96="12M","1Y",IF(AF96="24M","2Y",AF96)))</f>
        <v/>
      </c>
      <c r="AG97" s="42" t="str">
        <f t="shared" ref="AG97" si="356">IF(AG96="","",IF(AG96="12M","1Y",IF(AG96="24M","2Y",AG96)))</f>
        <v/>
      </c>
      <c r="AH97" s="42" t="str">
        <f t="shared" ref="AH97" si="357">IF(AH96="","",IF(AH96="12M","1Y",IF(AH96="24M","2Y",AH96)))</f>
        <v/>
      </c>
      <c r="AI97" s="42" t="str">
        <f t="shared" ref="AI97" si="358">IF(AI96="","",IF(AI96="12M","1Y",IF(AI96="24M","2Y",AI96)))</f>
        <v/>
      </c>
      <c r="AJ97" s="42" t="str">
        <f t="shared" ref="AJ97" si="359">IF(AJ96="","",IF(AJ96="12M","1Y",IF(AJ96="24M","2Y",AJ96)))</f>
        <v/>
      </c>
      <c r="AK97" s="42" t="str">
        <f t="shared" ref="AK97" si="360">IF(AK96="","",IF(AK96="12M","1Y",IF(AK96="24M","2Y",AK96)))</f>
        <v/>
      </c>
      <c r="AL97" s="42" t="str">
        <f t="shared" ref="AL97" si="361">IF(AL96="","",IF(AL96="12M","1Y",IF(AL96="24M","2Y",AL96)))</f>
        <v/>
      </c>
      <c r="AM97" s="42" t="str">
        <f t="shared" ref="AM97" si="362">IF(AM96="","",IF(AM96="12M","1Y",IF(AM96="24M","2Y",AM96)))</f>
        <v/>
      </c>
      <c r="AN97" s="42" t="str">
        <f t="shared" ref="AN97" si="363">IF(AN96="","",IF(AN96="12M","1Y",IF(AN96="24M","2Y",AN96)))</f>
        <v/>
      </c>
      <c r="AO97" s="42" t="str">
        <f t="shared" ref="AO97" si="364">IF(AO96="","",IF(AO96="12M","1Y",IF(AO96="24M","2Y",AO96)))</f>
        <v/>
      </c>
      <c r="AP97" s="42" t="str">
        <f t="shared" ref="AP97" si="365">IF(AP96="","",IF(AP96="12M","1Y",IF(AP96="24M","2Y",AP96)))</f>
        <v/>
      </c>
      <c r="AQ97" s="42" t="str">
        <f t="shared" ref="AQ97" si="366">IF(AQ96="","",IF(AQ96="12M","1Y",IF(AQ96="24M","2Y",AQ96)))</f>
        <v/>
      </c>
      <c r="AR97" s="42" t="str">
        <f t="shared" ref="AR97" si="367">IF(AR96="","",IF(AR96="12M","1Y",IF(AR96="24M","2Y",AR96)))</f>
        <v/>
      </c>
      <c r="AS97" s="42" t="str">
        <f t="shared" ref="AS97" si="368">IF(AS96="","",IF(AS96="12M","1Y",IF(AS96="24M","2Y",AS96)))</f>
        <v/>
      </c>
      <c r="AT97" s="42" t="str">
        <f t="shared" ref="AT97" si="369">IF(AT96="","",IF(AT96="12M","1Y",IF(AT96="24M","2Y",AT96)))</f>
        <v/>
      </c>
      <c r="AU97" s="42" t="str">
        <f t="shared" ref="AU97" si="370">IF(AU96="","",IF(AU96="12M","1Y",IF(AU96="24M","2Y",AU96)))</f>
        <v/>
      </c>
      <c r="AV97" s="42" t="str">
        <f t="shared" ref="AV97" si="371">IF(AV96="","",IF(AV96="12M","1Y",IF(AV96="24M","2Y",AV96)))</f>
        <v/>
      </c>
      <c r="AW97" s="42" t="str">
        <f t="shared" ref="AW97" si="372">IF(AW96="","",IF(AW96="12M","1Y",IF(AW96="24M","2Y",AW96)))</f>
        <v/>
      </c>
      <c r="AX97" s="42" t="str">
        <f t="shared" ref="AX97" si="373">IF(AX96="","",IF(AX96="12M","1Y",IF(AX96="24M","2Y",AX96)))</f>
        <v/>
      </c>
      <c r="AY97" s="42" t="str">
        <f t="shared" ref="AY97" si="374">IF(AY96="","",IF(AY96="12M","1Y",IF(AY96="24M","2Y",AY96)))</f>
        <v/>
      </c>
      <c r="AZ97" s="42" t="str">
        <f t="shared" ref="AZ97" si="375">IF(AZ96="","",IF(AZ96="12M","1Y",IF(AZ96="24M","2Y",AZ96)))</f>
        <v/>
      </c>
      <c r="BA97" s="42" t="str">
        <f t="shared" ref="BA97" si="376">IF(BA96="","",IF(BA96="12M","1Y",IF(BA96="24M","2Y",BA96)))</f>
        <v/>
      </c>
    </row>
    <row r="98" spans="2:53" s="41" customFormat="1" ht="15" customHeight="1">
      <c r="B98" s="7"/>
      <c r="C98" s="153" t="str">
        <f>trans_getMessage("","Name",,LANG_ID)</f>
        <v>Name</v>
      </c>
      <c r="D98" s="154"/>
      <c r="E98" s="49" t="s">
        <v>49</v>
      </c>
      <c r="F98" s="43" t="e" cm="1">
        <f t="array" aca="1" ref="F98" ca="1">IF(LEFT(_xlfn.SINGLE(_xll.BDP(F99, $E98)),1)="#", "-", _xll.BDP(F99, $E98))</f>
        <v>#NAME?</v>
      </c>
      <c r="G98" s="43" t="e" cm="1">
        <f t="array" aca="1" ref="G98" ca="1">IF(LEFT(_xlfn.SINGLE(_xll.BDP(G99, $E98)),1)="#", "-", _xll.BDP(G99, $E98))</f>
        <v>#NAME?</v>
      </c>
      <c r="H98" s="43" t="e" cm="1">
        <f t="array" aca="1" ref="H98" ca="1">IF(LEFT(_xlfn.SINGLE(_xll.BDP(H99, $E98)),1)="#", "-", _xll.BDP(H99, $E98))</f>
        <v>#NAME?</v>
      </c>
      <c r="I98" s="43" t="e" cm="1">
        <f t="array" aca="1" ref="I98" ca="1">IF(LEFT(_xlfn.SINGLE(_xll.BDP(I99, $E98)),1)="#", "-", _xll.BDP(I99, $E98))</f>
        <v>#NAME?</v>
      </c>
      <c r="J98" s="43" t="e" cm="1">
        <f t="array" aca="1" ref="J98" ca="1">IF(LEFT(_xlfn.SINGLE(_xll.BDP(J99, $E98)),1)="#", "-", _xll.BDP(J99, $E98))</f>
        <v>#NAME?</v>
      </c>
      <c r="K98" s="43" t="e" cm="1">
        <f t="array" aca="1" ref="K98" ca="1">IF(LEFT(_xlfn.SINGLE(_xll.BDP(K99, $E98)),1)="#", "-", _xll.BDP(K99, $E98))</f>
        <v>#NAME?</v>
      </c>
      <c r="L98" s="43" t="e" cm="1">
        <f t="array" aca="1" ref="L98" ca="1">IF(LEFT(_xlfn.SINGLE(_xll.BDP(L99, $E98)),1)="#", "-", _xll.BDP(L99, $E98))</f>
        <v>#NAME?</v>
      </c>
      <c r="M98" s="43" t="e" cm="1">
        <f t="array" aca="1" ref="M98" ca="1">IF(LEFT(_xlfn.SINGLE(_xll.BDP(M99, $E98)),1)="#", "-", _xll.BDP(M99, $E98))</f>
        <v>#NAME?</v>
      </c>
      <c r="N98" s="43" t="e" cm="1">
        <f t="array" aca="1" ref="N98" ca="1">IF(LEFT(_xlfn.SINGLE(_xll.BDP(N99, $E98)),1)="#", "-", _xll.BDP(N99, $E98))</f>
        <v>#NAME?</v>
      </c>
      <c r="O98" s="43" t="e" cm="1">
        <f t="array" aca="1" ref="O98" ca="1">IF(LEFT(_xlfn.SINGLE(_xll.BDP(O99, $E98)),1)="#", "-", _xll.BDP(O99, $E98))</f>
        <v>#NAME?</v>
      </c>
      <c r="P98" s="43" t="e" cm="1">
        <f t="array" aca="1" ref="P98" ca="1">IF(LEFT(_xlfn.SINGLE(_xll.BDP(P99, $E98)),1)="#", "-", _xll.BDP(P99, $E98))</f>
        <v>#NAME?</v>
      </c>
      <c r="Q98" s="43" t="e" cm="1">
        <f t="array" aca="1" ref="Q98" ca="1">IF(LEFT(_xlfn.SINGLE(_xll.BDP(Q99, $E98)),1)="#", "-", _xll.BDP(Q99, $E98))</f>
        <v>#NAME?</v>
      </c>
      <c r="R98" s="43" t="e" cm="1">
        <f t="array" aca="1" ref="R98" ca="1">IF(LEFT(_xlfn.SINGLE(_xll.BDP(R99, $E98)),1)="#", "-", _xll.BDP(R99, $E98))</f>
        <v>#NAME?</v>
      </c>
      <c r="S98" s="43" t="e" cm="1">
        <f t="array" aca="1" ref="S98" ca="1">IF(LEFT(_xlfn.SINGLE(_xll.BDP(S99, $E98)),1)="#", "-", _xll.BDP(S99, $E98))</f>
        <v>#NAME?</v>
      </c>
      <c r="T98" s="43" t="e" cm="1">
        <f t="array" aca="1" ref="T98" ca="1">IF(LEFT(_xlfn.SINGLE(_xll.BDP(T99, $E98)),1)="#", "-", _xll.BDP(T99, $E98))</f>
        <v>#NAME?</v>
      </c>
      <c r="U98" s="43" t="e" cm="1">
        <f t="array" aca="1" ref="U98" ca="1">IF(LEFT(_xlfn.SINGLE(_xll.BDP(U99, $E98)),1)="#", "-", _xll.BDP(U99, $E98))</f>
        <v>#NAME?</v>
      </c>
      <c r="V98" s="43" t="e" cm="1">
        <f t="array" aca="1" ref="V98" ca="1">IF(LEFT(_xlfn.SINGLE(_xll.BDP(V99, $E98)),1)="#", "-", _xll.BDP(V99, $E98))</f>
        <v>#NAME?</v>
      </c>
      <c r="W98" s="43" t="e" cm="1">
        <f t="array" aca="1" ref="W98" ca="1">IF(LEFT(_xlfn.SINGLE(_xll.BDP(W99, $E98)),1)="#", "-", _xll.BDP(W99, $E98))</f>
        <v>#NAME?</v>
      </c>
      <c r="X98" s="43" t="e" cm="1">
        <f t="array" aca="1" ref="X98" ca="1">IF(LEFT(_xlfn.SINGLE(_xll.BDP(X99, $E98)),1)="#", "-", _xll.BDP(X99, $E98))</f>
        <v>#NAME?</v>
      </c>
      <c r="Y98" s="43" t="e" cm="1">
        <f t="array" aca="1" ref="Y98" ca="1">IF(LEFT(_xlfn.SINGLE(_xll.BDP(Y99, $E98)),1)="#", "-", _xll.BDP(Y99, $E98))</f>
        <v>#NAME?</v>
      </c>
      <c r="Z98" s="43" t="e" cm="1">
        <f t="array" aca="1" ref="Z98" ca="1">IF(LEFT(_xlfn.SINGLE(_xll.BDP(Z99, $E98)),1)="#", "-", _xll.BDP(Z99, $E98))</f>
        <v>#NAME?</v>
      </c>
      <c r="AA98" s="43" t="e" cm="1">
        <f t="array" aca="1" ref="AA98" ca="1">IF(LEFT(_xlfn.SINGLE(_xll.BDP(AA99, $E98)),1)="#", "-", _xll.BDP(AA99, $E98))</f>
        <v>#NAME?</v>
      </c>
      <c r="AB98" s="43" t="e" cm="1">
        <f t="array" aca="1" ref="AB98" ca="1">IF(LEFT(_xlfn.SINGLE(_xll.BDP(AB99, $E98)),1)="#", "-", _xll.BDP(AB99, $E98))</f>
        <v>#NAME?</v>
      </c>
      <c r="AC98" s="43" t="e" cm="1">
        <f t="array" aca="1" ref="AC98" ca="1">IF(LEFT(_xlfn.SINGLE(_xll.BDP(AC99, $E98)),1)="#", "-", _xll.BDP(AC99, $E98))</f>
        <v>#NAME?</v>
      </c>
      <c r="AD98" s="43" t="e" cm="1">
        <f t="array" aca="1" ref="AD98" ca="1">IF(LEFT(_xlfn.SINGLE(_xll.BDP(AD99, $E98)),1)="#", "-", _xll.BDP(AD99, $E98))</f>
        <v>#NAME?</v>
      </c>
      <c r="AE98" s="43" t="e" cm="1">
        <f t="array" aca="1" ref="AE98" ca="1">IF(LEFT(_xlfn.SINGLE(_xll.BDP(AE99, $E98)),1)="#", "-", _xll.BDP(AE99, $E98))</f>
        <v>#NAME?</v>
      </c>
      <c r="AF98" s="43" t="e" cm="1">
        <f t="array" aca="1" ref="AF98" ca="1">IF(LEFT(_xlfn.SINGLE(_xll.BDP(AF99, $E98)),1)="#", "-", _xll.BDP(AF99, $E98))</f>
        <v>#NAME?</v>
      </c>
      <c r="AG98" s="43" t="e" cm="1">
        <f t="array" aca="1" ref="AG98" ca="1">IF(LEFT(_xlfn.SINGLE(_xll.BDP(AG99, $E98)),1)="#", "-", _xll.BDP(AG99, $E98))</f>
        <v>#NAME?</v>
      </c>
      <c r="AH98" s="43" t="e" cm="1">
        <f t="array" aca="1" ref="AH98" ca="1">IF(LEFT(_xlfn.SINGLE(_xll.BDP(AH99, $E98)),1)="#", "-", _xll.BDP(AH99, $E98))</f>
        <v>#NAME?</v>
      </c>
      <c r="AI98" s="43" t="e" cm="1">
        <f t="array" aca="1" ref="AI98" ca="1">IF(LEFT(_xlfn.SINGLE(_xll.BDP(AI99, $E98)),1)="#", "-", _xll.BDP(AI99, $E98))</f>
        <v>#NAME?</v>
      </c>
      <c r="AJ98" s="43" t="e" cm="1">
        <f t="array" aca="1" ref="AJ98" ca="1">IF(LEFT(_xlfn.SINGLE(_xll.BDP(AJ99, $E98)),1)="#", "-", _xll.BDP(AJ99, $E98))</f>
        <v>#NAME?</v>
      </c>
      <c r="AK98" s="43" t="e" cm="1">
        <f t="array" aca="1" ref="AK98" ca="1">IF(LEFT(_xlfn.SINGLE(_xll.BDP(AK99, $E98)),1)="#", "-", _xll.BDP(AK99, $E98))</f>
        <v>#NAME?</v>
      </c>
      <c r="AL98" s="43" t="e" cm="1">
        <f t="array" aca="1" ref="AL98" ca="1">IF(LEFT(_xlfn.SINGLE(_xll.BDP(AL99, $E98)),1)="#", "-", _xll.BDP(AL99, $E98))</f>
        <v>#NAME?</v>
      </c>
      <c r="AM98" s="43" t="e" cm="1">
        <f t="array" aca="1" ref="AM98" ca="1">IF(LEFT(_xlfn.SINGLE(_xll.BDP(AM99, $E98)),1)="#", "-", _xll.BDP(AM99, $E98))</f>
        <v>#NAME?</v>
      </c>
      <c r="AN98" s="43" t="e" cm="1">
        <f t="array" aca="1" ref="AN98" ca="1">IF(LEFT(_xlfn.SINGLE(_xll.BDP(AN99, $E98)),1)="#", "-", _xll.BDP(AN99, $E98))</f>
        <v>#NAME?</v>
      </c>
      <c r="AO98" s="43" t="e" cm="1">
        <f t="array" aca="1" ref="AO98" ca="1">IF(LEFT(_xlfn.SINGLE(_xll.BDP(AO99, $E98)),1)="#", "-", _xll.BDP(AO99, $E98))</f>
        <v>#NAME?</v>
      </c>
      <c r="AP98" s="43" t="e" cm="1">
        <f t="array" aca="1" ref="AP98" ca="1">IF(LEFT(_xlfn.SINGLE(_xll.BDP(AP99, $E98)),1)="#", "-", _xll.BDP(AP99, $E98))</f>
        <v>#NAME?</v>
      </c>
      <c r="AQ98" s="43" t="e" cm="1">
        <f t="array" aca="1" ref="AQ98" ca="1">IF(LEFT(_xlfn.SINGLE(_xll.BDP(AQ99, $E98)),1)="#", "-", _xll.BDP(AQ99, $E98))</f>
        <v>#NAME?</v>
      </c>
      <c r="AR98" s="43" t="e" cm="1">
        <f t="array" aca="1" ref="AR98" ca="1">IF(LEFT(_xlfn.SINGLE(_xll.BDP(AR99, $E98)),1)="#", "-", _xll.BDP(AR99, $E98))</f>
        <v>#NAME?</v>
      </c>
      <c r="AS98" s="43" t="e" cm="1">
        <f t="array" aca="1" ref="AS98" ca="1">IF(LEFT(_xlfn.SINGLE(_xll.BDP(AS99, $E98)),1)="#", "-", _xll.BDP(AS99, $E98))</f>
        <v>#NAME?</v>
      </c>
      <c r="AT98" s="43" t="e" cm="1">
        <f t="array" aca="1" ref="AT98" ca="1">IF(LEFT(_xlfn.SINGLE(_xll.BDP(AT99, $E98)),1)="#", "-", _xll.BDP(AT99, $E98))</f>
        <v>#NAME?</v>
      </c>
      <c r="AU98" s="43" t="e" cm="1">
        <f t="array" aca="1" ref="AU98" ca="1">IF(LEFT(_xlfn.SINGLE(_xll.BDP(AU99, $E98)),1)="#", "-", _xll.BDP(AU99, $E98))</f>
        <v>#NAME?</v>
      </c>
      <c r="AV98" s="43" t="e" cm="1">
        <f t="array" aca="1" ref="AV98" ca="1">IF(LEFT(_xlfn.SINGLE(_xll.BDP(AV99, $E98)),1)="#", "-", _xll.BDP(AV99, $E98))</f>
        <v>#NAME?</v>
      </c>
      <c r="AW98" s="43" t="e" cm="1">
        <f t="array" aca="1" ref="AW98" ca="1">IF(LEFT(_xlfn.SINGLE(_xll.BDP(AW99, $E98)),1)="#", "-", _xll.BDP(AW99, $E98))</f>
        <v>#NAME?</v>
      </c>
      <c r="AX98" s="43" t="e" cm="1">
        <f t="array" aca="1" ref="AX98" ca="1">IF(LEFT(_xlfn.SINGLE(_xll.BDP(AX99, $E98)),1)="#", "-", _xll.BDP(AX99, $E98))</f>
        <v>#NAME?</v>
      </c>
      <c r="AY98" s="43" t="e" cm="1">
        <f t="array" aca="1" ref="AY98" ca="1">IF(LEFT(_xlfn.SINGLE(_xll.BDP(AY99, $E98)),1)="#", "-", _xll.BDP(AY99, $E98))</f>
        <v>#NAME?</v>
      </c>
      <c r="AZ98" s="43" t="e" cm="1">
        <f t="array" aca="1" ref="AZ98" ca="1">IF(LEFT(_xlfn.SINGLE(_xll.BDP(AZ99, $E98)),1)="#", "-", _xll.BDP(AZ99, $E98))</f>
        <v>#NAME?</v>
      </c>
      <c r="BA98" s="45" t="e" cm="1">
        <f t="array" aca="1" ref="BA98" ca="1">IF(LEFT(_xlfn.SINGLE(_xll.BDP(BA99, $E98)),1)="#", "-", _xll.BDP(BA99, $E98))</f>
        <v>#NAME?</v>
      </c>
    </row>
    <row r="99" spans="2:53" ht="15" customHeight="1">
      <c r="B99" s="40"/>
      <c r="C99" s="145" t="str">
        <f>trans_getMessage("","Curve Tickers",,LANG_ID)</f>
        <v>Curve Tickers</v>
      </c>
      <c r="D99" s="146"/>
      <c r="E99" s="50" t="s">
        <v>46</v>
      </c>
      <c r="F99" s="42" t="e" cm="1">
        <f t="array" aca="1" ref="F99" ca="1">_xll.BDS(E94,E99,"Dir=H",)</f>
        <v>#NAME?</v>
      </c>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c r="AW99" s="42"/>
      <c r="AX99" s="42"/>
      <c r="AY99" s="42"/>
      <c r="AZ99" s="42"/>
      <c r="BA99" s="44"/>
    </row>
    <row r="100" spans="2:53" ht="15" customHeight="1">
      <c r="C100" s="138" t="str">
        <f>trans_getMessage("","Rate",,LANG_ID)</f>
        <v>Rate</v>
      </c>
      <c r="D100" s="139"/>
      <c r="E100" s="51" t="s">
        <v>44</v>
      </c>
      <c r="F100" s="46" t="str" cm="1">
        <f t="array" aca="1" ref="F100" ca="1">IF(ISERROR(_xlfn.SINGLE(_xll.BDP(F99, $E100))*1), "-", _xll.BDP(F99, $E100))</f>
        <v>-</v>
      </c>
      <c r="G100" s="46" t="str" cm="1">
        <f t="array" aca="1" ref="G100" ca="1">IF(ISERROR(_xlfn.SINGLE(_xll.BDP(G99, $E100))*1), "-", _xll.BDP(G99, $E100))</f>
        <v>-</v>
      </c>
      <c r="H100" s="46" t="str" cm="1">
        <f t="array" aca="1" ref="H100" ca="1">IF(ISERROR(_xlfn.SINGLE(_xll.BDP(H99, $E100))*1), "-", _xll.BDP(H99, $E100))</f>
        <v>-</v>
      </c>
      <c r="I100" s="46" t="str" cm="1">
        <f t="array" aca="1" ref="I100" ca="1">IF(ISERROR(_xlfn.SINGLE(_xll.BDP(I99, $E100))*1), "-", _xll.BDP(I99, $E100))</f>
        <v>-</v>
      </c>
      <c r="J100" s="46" t="str" cm="1">
        <f t="array" aca="1" ref="J100" ca="1">IF(ISERROR(_xlfn.SINGLE(_xll.BDP(J99, $E100))*1), "-", _xll.BDP(J99, $E100))</f>
        <v>-</v>
      </c>
      <c r="K100" s="46" t="str" cm="1">
        <f t="array" aca="1" ref="K100" ca="1">IF(ISERROR(_xlfn.SINGLE(_xll.BDP(K99, $E100))*1), "-", _xll.BDP(K99, $E100))</f>
        <v>-</v>
      </c>
      <c r="L100" s="46" t="str" cm="1">
        <f t="array" aca="1" ref="L100" ca="1">IF(ISERROR(_xlfn.SINGLE(_xll.BDP(L99, $E100))*1), "-", _xll.BDP(L99, $E100))</f>
        <v>-</v>
      </c>
      <c r="M100" s="46" t="str" cm="1">
        <f t="array" aca="1" ref="M100" ca="1">IF(ISERROR(_xlfn.SINGLE(_xll.BDP(M99, $E100))*1), "-", _xll.BDP(M99, $E100))</f>
        <v>-</v>
      </c>
      <c r="N100" s="46" t="str" cm="1">
        <f t="array" aca="1" ref="N100" ca="1">IF(ISERROR(_xlfn.SINGLE(_xll.BDP(N99, $E100))*1), "-", _xll.BDP(N99, $E100))</f>
        <v>-</v>
      </c>
      <c r="O100" s="46" t="str" cm="1">
        <f t="array" aca="1" ref="O100" ca="1">IF(ISERROR(_xlfn.SINGLE(_xll.BDP(O99, $E100))*1), "-", _xll.BDP(O99, $E100))</f>
        <v>-</v>
      </c>
      <c r="P100" s="46" t="str" cm="1">
        <f t="array" aca="1" ref="P100" ca="1">IF(ISERROR(_xlfn.SINGLE(_xll.BDP(P99, $E100))*1), "-", _xll.BDP(P99, $E100))</f>
        <v>-</v>
      </c>
      <c r="Q100" s="46" t="str" cm="1">
        <f t="array" aca="1" ref="Q100" ca="1">IF(ISERROR(_xlfn.SINGLE(_xll.BDP(Q99, $E100))*1), "-", _xll.BDP(Q99, $E100))</f>
        <v>-</v>
      </c>
      <c r="R100" s="46" t="str" cm="1">
        <f t="array" aca="1" ref="R100" ca="1">IF(ISERROR(_xlfn.SINGLE(_xll.BDP(R99, $E100))*1), "-", _xll.BDP(R99, $E100))</f>
        <v>-</v>
      </c>
      <c r="S100" s="46" t="str" cm="1">
        <f t="array" aca="1" ref="S100" ca="1">IF(ISERROR(_xlfn.SINGLE(_xll.BDP(S99, $E100))*1), "-", _xll.BDP(S99, $E100))</f>
        <v>-</v>
      </c>
      <c r="T100" s="46" t="str" cm="1">
        <f t="array" aca="1" ref="T100" ca="1">IF(ISERROR(_xlfn.SINGLE(_xll.BDP(T99, $E100))*1), "-", _xll.BDP(T99, $E100))</f>
        <v>-</v>
      </c>
      <c r="U100" s="46" t="str" cm="1">
        <f t="array" aca="1" ref="U100" ca="1">IF(ISERROR(_xlfn.SINGLE(_xll.BDP(U99, $E100))*1), "-", _xll.BDP(U99, $E100))</f>
        <v>-</v>
      </c>
      <c r="V100" s="46" t="str" cm="1">
        <f t="array" aca="1" ref="V100" ca="1">IF(ISERROR(_xlfn.SINGLE(_xll.BDP(V99, $E100))*1), "-", _xll.BDP(V99, $E100))</f>
        <v>-</v>
      </c>
      <c r="W100" s="46" t="str" cm="1">
        <f t="array" aca="1" ref="W100" ca="1">IF(ISERROR(_xlfn.SINGLE(_xll.BDP(W99, $E100))*1), "-", _xll.BDP(W99, $E100))</f>
        <v>-</v>
      </c>
      <c r="X100" s="46" t="str" cm="1">
        <f t="array" aca="1" ref="X100" ca="1">IF(ISERROR(_xlfn.SINGLE(_xll.BDP(X99, $E100))*1), "-", _xll.BDP(X99, $E100))</f>
        <v>-</v>
      </c>
      <c r="Y100" s="46" t="str" cm="1">
        <f t="array" aca="1" ref="Y100" ca="1">IF(ISERROR(_xlfn.SINGLE(_xll.BDP(Y99, $E100))*1), "-", _xll.BDP(Y99, $E100))</f>
        <v>-</v>
      </c>
      <c r="Z100" s="46" t="str" cm="1">
        <f t="array" aca="1" ref="Z100" ca="1">IF(ISERROR(_xlfn.SINGLE(_xll.BDP(Z99, $E100))*1), "-", _xll.BDP(Z99, $E100))</f>
        <v>-</v>
      </c>
      <c r="AA100" s="46" t="str" cm="1">
        <f t="array" aca="1" ref="AA100" ca="1">IF(ISERROR(_xlfn.SINGLE(_xll.BDP(AA99, $E100))*1), "-", _xll.BDP(AA99, $E100))</f>
        <v>-</v>
      </c>
      <c r="AB100" s="46" t="str" cm="1">
        <f t="array" aca="1" ref="AB100" ca="1">IF(ISERROR(_xlfn.SINGLE(_xll.BDP(AB99, $E100))*1), "-", _xll.BDP(AB99, $E100))</f>
        <v>-</v>
      </c>
      <c r="AC100" s="46" t="str" cm="1">
        <f t="array" aca="1" ref="AC100" ca="1">IF(ISERROR(_xlfn.SINGLE(_xll.BDP(AC99, $E100))*1), "-", _xll.BDP(AC99, $E100))</f>
        <v>-</v>
      </c>
      <c r="AD100" s="46" t="str" cm="1">
        <f t="array" aca="1" ref="AD100" ca="1">IF(ISERROR(_xlfn.SINGLE(_xll.BDP(AD99, $E100))*1), "-", _xll.BDP(AD99, $E100))</f>
        <v>-</v>
      </c>
      <c r="AE100" s="46" t="str" cm="1">
        <f t="array" aca="1" ref="AE100" ca="1">IF(ISERROR(_xlfn.SINGLE(_xll.BDP(AE99, $E100))*1), "-", _xll.BDP(AE99, $E100))</f>
        <v>-</v>
      </c>
      <c r="AF100" s="46" t="str" cm="1">
        <f t="array" aca="1" ref="AF100" ca="1">IF(ISERROR(_xlfn.SINGLE(_xll.BDP(AF99, $E100))*1), "-", _xll.BDP(AF99, $E100))</f>
        <v>-</v>
      </c>
      <c r="AG100" s="46" t="str" cm="1">
        <f t="array" aca="1" ref="AG100" ca="1">IF(ISERROR(_xlfn.SINGLE(_xll.BDP(AG99, $E100))*1), "-", _xll.BDP(AG99, $E100))</f>
        <v>-</v>
      </c>
      <c r="AH100" s="46" t="str" cm="1">
        <f t="array" aca="1" ref="AH100" ca="1">IF(ISERROR(_xlfn.SINGLE(_xll.BDP(AH99, $E100))*1), "-", _xll.BDP(AH99, $E100))</f>
        <v>-</v>
      </c>
      <c r="AI100" s="46" t="str" cm="1">
        <f t="array" aca="1" ref="AI100" ca="1">IF(ISERROR(_xlfn.SINGLE(_xll.BDP(AI99, $E100))*1), "-", _xll.BDP(AI99, $E100))</f>
        <v>-</v>
      </c>
      <c r="AJ100" s="46" t="str" cm="1">
        <f t="array" aca="1" ref="AJ100" ca="1">IF(ISERROR(_xlfn.SINGLE(_xll.BDP(AJ99, $E100))*1), "-", _xll.BDP(AJ99, $E100))</f>
        <v>-</v>
      </c>
      <c r="AK100" s="46" t="str" cm="1">
        <f t="array" aca="1" ref="AK100" ca="1">IF(ISERROR(_xlfn.SINGLE(_xll.BDP(AK99, $E100))*1), "-", _xll.BDP(AK99, $E100))</f>
        <v>-</v>
      </c>
      <c r="AL100" s="46" t="str" cm="1">
        <f t="array" aca="1" ref="AL100" ca="1">IF(ISERROR(_xlfn.SINGLE(_xll.BDP(AL99, $E100))*1), "-", _xll.BDP(AL99, $E100))</f>
        <v>-</v>
      </c>
      <c r="AM100" s="46" t="str" cm="1">
        <f t="array" aca="1" ref="AM100" ca="1">IF(ISERROR(_xlfn.SINGLE(_xll.BDP(AM99, $E100))*1), "-", _xll.BDP(AM99, $E100))</f>
        <v>-</v>
      </c>
      <c r="AN100" s="46" t="str" cm="1">
        <f t="array" aca="1" ref="AN100" ca="1">IF(ISERROR(_xlfn.SINGLE(_xll.BDP(AN99, $E100))*1), "-", _xll.BDP(AN99, $E100))</f>
        <v>-</v>
      </c>
      <c r="AO100" s="46" t="str" cm="1">
        <f t="array" aca="1" ref="AO100" ca="1">IF(ISERROR(_xlfn.SINGLE(_xll.BDP(AO99, $E100))*1), "-", _xll.BDP(AO99, $E100))</f>
        <v>-</v>
      </c>
      <c r="AP100" s="46" t="str" cm="1">
        <f t="array" aca="1" ref="AP100" ca="1">IF(ISERROR(_xlfn.SINGLE(_xll.BDP(AP99, $E100))*1), "-", _xll.BDP(AP99, $E100))</f>
        <v>-</v>
      </c>
      <c r="AQ100" s="46" t="str" cm="1">
        <f t="array" aca="1" ref="AQ100" ca="1">IF(ISERROR(_xlfn.SINGLE(_xll.BDP(AQ99, $E100))*1), "-", _xll.BDP(AQ99, $E100))</f>
        <v>-</v>
      </c>
      <c r="AR100" s="46" t="str" cm="1">
        <f t="array" aca="1" ref="AR100" ca="1">IF(ISERROR(_xlfn.SINGLE(_xll.BDP(AR99, $E100))*1), "-", _xll.BDP(AR99, $E100))</f>
        <v>-</v>
      </c>
      <c r="AS100" s="46" t="str" cm="1">
        <f t="array" aca="1" ref="AS100" ca="1">IF(ISERROR(_xlfn.SINGLE(_xll.BDP(AS99, $E100))*1), "-", _xll.BDP(AS99, $E100))</f>
        <v>-</v>
      </c>
      <c r="AT100" s="46" t="str" cm="1">
        <f t="array" aca="1" ref="AT100" ca="1">IF(ISERROR(_xlfn.SINGLE(_xll.BDP(AT99, $E100))*1), "-", _xll.BDP(AT99, $E100))</f>
        <v>-</v>
      </c>
      <c r="AU100" s="46" t="str" cm="1">
        <f t="array" aca="1" ref="AU100" ca="1">IF(ISERROR(_xlfn.SINGLE(_xll.BDP(AU99, $E100))*1), "-", _xll.BDP(AU99, $E100))</f>
        <v>-</v>
      </c>
      <c r="AV100" s="46" t="str" cm="1">
        <f t="array" aca="1" ref="AV100" ca="1">IF(ISERROR(_xlfn.SINGLE(_xll.BDP(AV99, $E100))*1), "-", _xll.BDP(AV99, $E100))</f>
        <v>-</v>
      </c>
      <c r="AW100" s="46" t="str" cm="1">
        <f t="array" aca="1" ref="AW100" ca="1">IF(ISERROR(_xlfn.SINGLE(_xll.BDP(AW99, $E100))*1), "-", _xll.BDP(AW99, $E100))</f>
        <v>-</v>
      </c>
      <c r="AX100" s="46" t="str" cm="1">
        <f t="array" aca="1" ref="AX100" ca="1">IF(ISERROR(_xlfn.SINGLE(_xll.BDP(AX99, $E100))*1), "-", _xll.BDP(AX99, $E100))</f>
        <v>-</v>
      </c>
      <c r="AY100" s="46" t="str" cm="1">
        <f t="array" aca="1" ref="AY100" ca="1">IF(ISERROR(_xlfn.SINGLE(_xll.BDP(AY99, $E100))*1), "-", _xll.BDP(AY99, $E100))</f>
        <v>-</v>
      </c>
      <c r="AZ100" s="46" t="str" cm="1">
        <f t="array" aca="1" ref="AZ100" ca="1">IF(ISERROR(_xlfn.SINGLE(_xll.BDP(AZ99, $E100))*1), "-", _xll.BDP(AZ99, $E100))</f>
        <v>-</v>
      </c>
      <c r="BA100" s="47" t="str" cm="1">
        <f t="array" aca="1" ref="BA100" ca="1">IF(ISERROR(_xlfn.SINGLE(_xll.BDP(BA99, $E100))*1), "-", _xll.BDP(BA99, $E100))</f>
        <v>-</v>
      </c>
    </row>
    <row r="101" spans="2:53" ht="15" hidden="1" customHeight="1"/>
    <row r="102" spans="2:53" ht="5.15" customHeight="1"/>
    <row r="103" spans="2:53" ht="15" customHeight="1">
      <c r="B103" s="38" t="s">
        <v>29</v>
      </c>
      <c r="C103" s="140" t="str">
        <f>trans_getMessage("","Curve Number",,LANG_ID)</f>
        <v>Curve Number</v>
      </c>
      <c r="D103" s="141"/>
      <c r="E103" s="142">
        <f>VLOOKUP(B103, 'Currency-Curve List'!$C$9:$E$103, 2, FALSE)</f>
        <v>339</v>
      </c>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4"/>
    </row>
    <row r="104" spans="2:53" ht="15" customHeight="1">
      <c r="C104" s="145" t="str">
        <f>trans_getMessage("","Curve Index",,LANG_ID)</f>
        <v>Curve Index</v>
      </c>
      <c r="D104" s="146"/>
      <c r="E104" s="147" t="str">
        <f>VLOOKUP(B103, 'Currency-Curve List'!$C$9:$E$103, 3, FALSE)</f>
        <v>YCSW0339 Index</v>
      </c>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9"/>
    </row>
    <row r="105" spans="2:53" ht="15" customHeight="1">
      <c r="C105" s="145" t="str">
        <f>trans_getMessage("","Curve Name",,LANG_ID)</f>
        <v>Curve Name</v>
      </c>
      <c r="D105" s="146"/>
      <c r="E105" s="150" t="e" cm="1">
        <f t="array" aca="1" ref="E105" ca="1">_xll.BDP(E104, "NAME")</f>
        <v>#NAME?</v>
      </c>
      <c r="F105" s="151"/>
      <c r="G105" s="151"/>
      <c r="H105" s="151"/>
      <c r="I105" s="151"/>
      <c r="J105" s="151"/>
      <c r="K105" s="151"/>
      <c r="L105" s="151"/>
      <c r="M105" s="151"/>
      <c r="N105" s="151"/>
      <c r="O105" s="151"/>
      <c r="P105" s="151"/>
      <c r="Q105" s="151"/>
      <c r="R105" s="151"/>
      <c r="S105" s="151"/>
      <c r="T105" s="151"/>
      <c r="U105" s="151"/>
      <c r="V105" s="151"/>
      <c r="W105" s="151"/>
      <c r="X105" s="151"/>
      <c r="Y105" s="151"/>
      <c r="Z105" s="151"/>
      <c r="AA105" s="151"/>
      <c r="AB105" s="151"/>
      <c r="AC105" s="151"/>
      <c r="AD105" s="151"/>
      <c r="AE105" s="151"/>
      <c r="AF105" s="151"/>
      <c r="AG105" s="151"/>
      <c r="AH105" s="151"/>
      <c r="AI105" s="151"/>
      <c r="AJ105" s="151"/>
      <c r="AK105" s="151"/>
      <c r="AL105" s="151"/>
      <c r="AM105" s="151"/>
      <c r="AN105" s="151"/>
      <c r="AO105" s="151"/>
      <c r="AP105" s="151"/>
      <c r="AQ105" s="151"/>
      <c r="AR105" s="151"/>
      <c r="AS105" s="151"/>
      <c r="AT105" s="151"/>
      <c r="AU105" s="151"/>
      <c r="AV105" s="151"/>
      <c r="AW105" s="151"/>
      <c r="AX105" s="151"/>
      <c r="AY105" s="151"/>
      <c r="AZ105" s="151"/>
      <c r="BA105" s="152"/>
    </row>
    <row r="106" spans="2:53" ht="15" customHeight="1">
      <c r="C106" s="145" t="str">
        <f>trans_getMessage("","Tenors",,LANG_ID)</f>
        <v>Tenors</v>
      </c>
      <c r="D106" s="146"/>
      <c r="E106" s="48" t="s">
        <v>50</v>
      </c>
      <c r="F106" s="42" t="e" cm="1">
        <f t="array" aca="1" ref="F106" ca="1">_xll.BDS(E104,E106,"Dir=H",)</f>
        <v>#NAME?</v>
      </c>
      <c r="G106" s="42"/>
      <c r="H106" s="42"/>
      <c r="I106" s="42"/>
      <c r="J106" s="42"/>
      <c r="K106" s="42"/>
      <c r="L106" s="42"/>
      <c r="M106" s="42"/>
      <c r="N106" s="42"/>
      <c r="O106" s="42"/>
      <c r="P106" s="42"/>
      <c r="Q106" s="42"/>
      <c r="R106" s="42"/>
      <c r="S106" s="42"/>
      <c r="T106" s="42"/>
      <c r="U106" s="42"/>
      <c r="V106" s="42"/>
      <c r="W106" s="42"/>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c r="AW106" s="42"/>
      <c r="AX106" s="42"/>
      <c r="AY106" s="42"/>
      <c r="AZ106" s="42"/>
      <c r="BA106" s="44"/>
    </row>
    <row r="107" spans="2:53" ht="15" hidden="1" customHeight="1">
      <c r="C107" s="145" t="s">
        <v>2211</v>
      </c>
      <c r="D107" s="146"/>
      <c r="E107" s="48"/>
      <c r="F107" s="42" t="e">
        <f ca="1">IF(F106="","",IF(F106="12M","1Y",IF(F106="24M","2Y",F106)))</f>
        <v>#NAME?</v>
      </c>
      <c r="G107" s="42" t="str">
        <f t="shared" ref="G107" si="377">IF(G106="","",IF(G106="12M","1Y",IF(G106="24M","2Y",G106)))</f>
        <v/>
      </c>
      <c r="H107" s="42" t="str">
        <f t="shared" ref="H107" si="378">IF(H106="","",IF(H106="12M","1Y",IF(H106="24M","2Y",H106)))</f>
        <v/>
      </c>
      <c r="I107" s="42" t="str">
        <f t="shared" ref="I107" si="379">IF(I106="","",IF(I106="12M","1Y",IF(I106="24M","2Y",I106)))</f>
        <v/>
      </c>
      <c r="J107" s="42" t="str">
        <f t="shared" ref="J107" si="380">IF(J106="","",IF(J106="12M","1Y",IF(J106="24M","2Y",J106)))</f>
        <v/>
      </c>
      <c r="K107" s="42" t="str">
        <f t="shared" ref="K107" si="381">IF(K106="","",IF(K106="12M","1Y",IF(K106="24M","2Y",K106)))</f>
        <v/>
      </c>
      <c r="L107" s="42" t="str">
        <f t="shared" ref="L107" si="382">IF(L106="","",IF(L106="12M","1Y",IF(L106="24M","2Y",L106)))</f>
        <v/>
      </c>
      <c r="M107" s="42" t="str">
        <f t="shared" ref="M107" si="383">IF(M106="","",IF(M106="12M","1Y",IF(M106="24M","2Y",M106)))</f>
        <v/>
      </c>
      <c r="N107" s="42" t="str">
        <f t="shared" ref="N107" si="384">IF(N106="","",IF(N106="12M","1Y",IF(N106="24M","2Y",N106)))</f>
        <v/>
      </c>
      <c r="O107" s="42" t="str">
        <f t="shared" ref="O107" si="385">IF(O106="","",IF(O106="12M","1Y",IF(O106="24M","2Y",O106)))</f>
        <v/>
      </c>
      <c r="P107" s="42" t="str">
        <f t="shared" ref="P107" si="386">IF(P106="","",IF(P106="12M","1Y",IF(P106="24M","2Y",P106)))</f>
        <v/>
      </c>
      <c r="Q107" s="42" t="str">
        <f t="shared" ref="Q107" si="387">IF(Q106="","",IF(Q106="12M","1Y",IF(Q106="24M","2Y",Q106)))</f>
        <v/>
      </c>
      <c r="R107" s="42" t="str">
        <f t="shared" ref="R107" si="388">IF(R106="","",IF(R106="12M","1Y",IF(R106="24M","2Y",R106)))</f>
        <v/>
      </c>
      <c r="S107" s="42" t="str">
        <f t="shared" ref="S107" si="389">IF(S106="","",IF(S106="12M","1Y",IF(S106="24M","2Y",S106)))</f>
        <v/>
      </c>
      <c r="T107" s="42" t="str">
        <f t="shared" ref="T107" si="390">IF(T106="","",IF(T106="12M","1Y",IF(T106="24M","2Y",T106)))</f>
        <v/>
      </c>
      <c r="U107" s="42" t="str">
        <f t="shared" ref="U107" si="391">IF(U106="","",IF(U106="12M","1Y",IF(U106="24M","2Y",U106)))</f>
        <v/>
      </c>
      <c r="V107" s="42" t="str">
        <f t="shared" ref="V107" si="392">IF(V106="","",IF(V106="12M","1Y",IF(V106="24M","2Y",V106)))</f>
        <v/>
      </c>
      <c r="W107" s="42" t="str">
        <f t="shared" ref="W107" si="393">IF(W106="","",IF(W106="12M","1Y",IF(W106="24M","2Y",W106)))</f>
        <v/>
      </c>
      <c r="X107" s="42" t="str">
        <f t="shared" ref="X107" si="394">IF(X106="","",IF(X106="12M","1Y",IF(X106="24M","2Y",X106)))</f>
        <v/>
      </c>
      <c r="Y107" s="42" t="str">
        <f t="shared" ref="Y107" si="395">IF(Y106="","",IF(Y106="12M","1Y",IF(Y106="24M","2Y",Y106)))</f>
        <v/>
      </c>
      <c r="Z107" s="42" t="str">
        <f t="shared" ref="Z107" si="396">IF(Z106="","",IF(Z106="12M","1Y",IF(Z106="24M","2Y",Z106)))</f>
        <v/>
      </c>
      <c r="AA107" s="42" t="str">
        <f t="shared" ref="AA107" si="397">IF(AA106="","",IF(AA106="12M","1Y",IF(AA106="24M","2Y",AA106)))</f>
        <v/>
      </c>
      <c r="AB107" s="42" t="str">
        <f t="shared" ref="AB107" si="398">IF(AB106="","",IF(AB106="12M","1Y",IF(AB106="24M","2Y",AB106)))</f>
        <v/>
      </c>
      <c r="AC107" s="42" t="str">
        <f t="shared" ref="AC107" si="399">IF(AC106="","",IF(AC106="12M","1Y",IF(AC106="24M","2Y",AC106)))</f>
        <v/>
      </c>
      <c r="AD107" s="42" t="str">
        <f t="shared" ref="AD107" si="400">IF(AD106="","",IF(AD106="12M","1Y",IF(AD106="24M","2Y",AD106)))</f>
        <v/>
      </c>
      <c r="AE107" s="42" t="str">
        <f t="shared" ref="AE107" si="401">IF(AE106="","",IF(AE106="12M","1Y",IF(AE106="24M","2Y",AE106)))</f>
        <v/>
      </c>
      <c r="AF107" s="42" t="str">
        <f t="shared" ref="AF107" si="402">IF(AF106="","",IF(AF106="12M","1Y",IF(AF106="24M","2Y",AF106)))</f>
        <v/>
      </c>
      <c r="AG107" s="42" t="str">
        <f t="shared" ref="AG107" si="403">IF(AG106="","",IF(AG106="12M","1Y",IF(AG106="24M","2Y",AG106)))</f>
        <v/>
      </c>
      <c r="AH107" s="42" t="str">
        <f t="shared" ref="AH107" si="404">IF(AH106="","",IF(AH106="12M","1Y",IF(AH106="24M","2Y",AH106)))</f>
        <v/>
      </c>
      <c r="AI107" s="42" t="str">
        <f t="shared" ref="AI107" si="405">IF(AI106="","",IF(AI106="12M","1Y",IF(AI106="24M","2Y",AI106)))</f>
        <v/>
      </c>
      <c r="AJ107" s="42" t="str">
        <f t="shared" ref="AJ107" si="406">IF(AJ106="","",IF(AJ106="12M","1Y",IF(AJ106="24M","2Y",AJ106)))</f>
        <v/>
      </c>
      <c r="AK107" s="42" t="str">
        <f t="shared" ref="AK107" si="407">IF(AK106="","",IF(AK106="12M","1Y",IF(AK106="24M","2Y",AK106)))</f>
        <v/>
      </c>
      <c r="AL107" s="42" t="str">
        <f t="shared" ref="AL107" si="408">IF(AL106="","",IF(AL106="12M","1Y",IF(AL106="24M","2Y",AL106)))</f>
        <v/>
      </c>
      <c r="AM107" s="42" t="str">
        <f t="shared" ref="AM107" si="409">IF(AM106="","",IF(AM106="12M","1Y",IF(AM106="24M","2Y",AM106)))</f>
        <v/>
      </c>
      <c r="AN107" s="42" t="str">
        <f t="shared" ref="AN107" si="410">IF(AN106="","",IF(AN106="12M","1Y",IF(AN106="24M","2Y",AN106)))</f>
        <v/>
      </c>
      <c r="AO107" s="42" t="str">
        <f t="shared" ref="AO107" si="411">IF(AO106="","",IF(AO106="12M","1Y",IF(AO106="24M","2Y",AO106)))</f>
        <v/>
      </c>
      <c r="AP107" s="42" t="str">
        <f t="shared" ref="AP107" si="412">IF(AP106="","",IF(AP106="12M","1Y",IF(AP106="24M","2Y",AP106)))</f>
        <v/>
      </c>
      <c r="AQ107" s="42" t="str">
        <f t="shared" ref="AQ107" si="413">IF(AQ106="","",IF(AQ106="12M","1Y",IF(AQ106="24M","2Y",AQ106)))</f>
        <v/>
      </c>
      <c r="AR107" s="42" t="str">
        <f t="shared" ref="AR107" si="414">IF(AR106="","",IF(AR106="12M","1Y",IF(AR106="24M","2Y",AR106)))</f>
        <v/>
      </c>
      <c r="AS107" s="42" t="str">
        <f t="shared" ref="AS107" si="415">IF(AS106="","",IF(AS106="12M","1Y",IF(AS106="24M","2Y",AS106)))</f>
        <v/>
      </c>
      <c r="AT107" s="42" t="str">
        <f t="shared" ref="AT107" si="416">IF(AT106="","",IF(AT106="12M","1Y",IF(AT106="24M","2Y",AT106)))</f>
        <v/>
      </c>
      <c r="AU107" s="42" t="str">
        <f t="shared" ref="AU107" si="417">IF(AU106="","",IF(AU106="12M","1Y",IF(AU106="24M","2Y",AU106)))</f>
        <v/>
      </c>
      <c r="AV107" s="42" t="str">
        <f t="shared" ref="AV107" si="418">IF(AV106="","",IF(AV106="12M","1Y",IF(AV106="24M","2Y",AV106)))</f>
        <v/>
      </c>
      <c r="AW107" s="42" t="str">
        <f t="shared" ref="AW107" si="419">IF(AW106="","",IF(AW106="12M","1Y",IF(AW106="24M","2Y",AW106)))</f>
        <v/>
      </c>
      <c r="AX107" s="42" t="str">
        <f t="shared" ref="AX107" si="420">IF(AX106="","",IF(AX106="12M","1Y",IF(AX106="24M","2Y",AX106)))</f>
        <v/>
      </c>
      <c r="AY107" s="42" t="str">
        <f t="shared" ref="AY107" si="421">IF(AY106="","",IF(AY106="12M","1Y",IF(AY106="24M","2Y",AY106)))</f>
        <v/>
      </c>
      <c r="AZ107" s="42" t="str">
        <f t="shared" ref="AZ107" si="422">IF(AZ106="","",IF(AZ106="12M","1Y",IF(AZ106="24M","2Y",AZ106)))</f>
        <v/>
      </c>
      <c r="BA107" s="42" t="str">
        <f t="shared" ref="BA107" si="423">IF(BA106="","",IF(BA106="12M","1Y",IF(BA106="24M","2Y",BA106)))</f>
        <v/>
      </c>
    </row>
    <row r="108" spans="2:53" s="41" customFormat="1" ht="15" customHeight="1">
      <c r="B108" s="7"/>
      <c r="C108" s="153" t="str">
        <f>trans_getMessage("","Name",,LANG_ID)</f>
        <v>Name</v>
      </c>
      <c r="D108" s="154"/>
      <c r="E108" s="49" t="s">
        <v>49</v>
      </c>
      <c r="F108" s="43" t="e" cm="1">
        <f t="array" aca="1" ref="F108" ca="1">IF(LEFT(_xlfn.SINGLE(_xll.BDP(F109, $E108)),1)="#", "-", _xll.BDP(F109, $E108))</f>
        <v>#NAME?</v>
      </c>
      <c r="G108" s="43" t="e" cm="1">
        <f t="array" aca="1" ref="G108" ca="1">IF(LEFT(_xlfn.SINGLE(_xll.BDP(G109, $E108)),1)="#", "-", _xll.BDP(G109, $E108))</f>
        <v>#NAME?</v>
      </c>
      <c r="H108" s="43" t="e" cm="1">
        <f t="array" aca="1" ref="H108" ca="1">IF(LEFT(_xlfn.SINGLE(_xll.BDP(H109, $E108)),1)="#", "-", _xll.BDP(H109, $E108))</f>
        <v>#NAME?</v>
      </c>
      <c r="I108" s="43" t="e" cm="1">
        <f t="array" aca="1" ref="I108" ca="1">IF(LEFT(_xlfn.SINGLE(_xll.BDP(I109, $E108)),1)="#", "-", _xll.BDP(I109, $E108))</f>
        <v>#NAME?</v>
      </c>
      <c r="J108" s="43" t="e" cm="1">
        <f t="array" aca="1" ref="J108" ca="1">IF(LEFT(_xlfn.SINGLE(_xll.BDP(J109, $E108)),1)="#", "-", _xll.BDP(J109, $E108))</f>
        <v>#NAME?</v>
      </c>
      <c r="K108" s="43" t="e" cm="1">
        <f t="array" aca="1" ref="K108" ca="1">IF(LEFT(_xlfn.SINGLE(_xll.BDP(K109, $E108)),1)="#", "-", _xll.BDP(K109, $E108))</f>
        <v>#NAME?</v>
      </c>
      <c r="L108" s="43" t="e" cm="1">
        <f t="array" aca="1" ref="L108" ca="1">IF(LEFT(_xlfn.SINGLE(_xll.BDP(L109, $E108)),1)="#", "-", _xll.BDP(L109, $E108))</f>
        <v>#NAME?</v>
      </c>
      <c r="M108" s="43" t="e" cm="1">
        <f t="array" aca="1" ref="M108" ca="1">IF(LEFT(_xlfn.SINGLE(_xll.BDP(M109, $E108)),1)="#", "-", _xll.BDP(M109, $E108))</f>
        <v>#NAME?</v>
      </c>
      <c r="N108" s="43" t="e" cm="1">
        <f t="array" aca="1" ref="N108" ca="1">IF(LEFT(_xlfn.SINGLE(_xll.BDP(N109, $E108)),1)="#", "-", _xll.BDP(N109, $E108))</f>
        <v>#NAME?</v>
      </c>
      <c r="O108" s="43" t="e" cm="1">
        <f t="array" aca="1" ref="O108" ca="1">IF(LEFT(_xlfn.SINGLE(_xll.BDP(O109, $E108)),1)="#", "-", _xll.BDP(O109, $E108))</f>
        <v>#NAME?</v>
      </c>
      <c r="P108" s="43" t="e" cm="1">
        <f t="array" aca="1" ref="P108" ca="1">IF(LEFT(_xlfn.SINGLE(_xll.BDP(P109, $E108)),1)="#", "-", _xll.BDP(P109, $E108))</f>
        <v>#NAME?</v>
      </c>
      <c r="Q108" s="43" t="e" cm="1">
        <f t="array" aca="1" ref="Q108" ca="1">IF(LEFT(_xlfn.SINGLE(_xll.BDP(Q109, $E108)),1)="#", "-", _xll.BDP(Q109, $E108))</f>
        <v>#NAME?</v>
      </c>
      <c r="R108" s="43" t="e" cm="1">
        <f t="array" aca="1" ref="R108" ca="1">IF(LEFT(_xlfn.SINGLE(_xll.BDP(R109, $E108)),1)="#", "-", _xll.BDP(R109, $E108))</f>
        <v>#NAME?</v>
      </c>
      <c r="S108" s="43" t="e" cm="1">
        <f t="array" aca="1" ref="S108" ca="1">IF(LEFT(_xlfn.SINGLE(_xll.BDP(S109, $E108)),1)="#", "-", _xll.BDP(S109, $E108))</f>
        <v>#NAME?</v>
      </c>
      <c r="T108" s="43" t="e" cm="1">
        <f t="array" aca="1" ref="T108" ca="1">IF(LEFT(_xlfn.SINGLE(_xll.BDP(T109, $E108)),1)="#", "-", _xll.BDP(T109, $E108))</f>
        <v>#NAME?</v>
      </c>
      <c r="U108" s="43" t="e" cm="1">
        <f t="array" aca="1" ref="U108" ca="1">IF(LEFT(_xlfn.SINGLE(_xll.BDP(U109, $E108)),1)="#", "-", _xll.BDP(U109, $E108))</f>
        <v>#NAME?</v>
      </c>
      <c r="V108" s="43" t="e" cm="1">
        <f t="array" aca="1" ref="V108" ca="1">IF(LEFT(_xlfn.SINGLE(_xll.BDP(V109, $E108)),1)="#", "-", _xll.BDP(V109, $E108))</f>
        <v>#NAME?</v>
      </c>
      <c r="W108" s="43" t="e" cm="1">
        <f t="array" aca="1" ref="W108" ca="1">IF(LEFT(_xlfn.SINGLE(_xll.BDP(W109, $E108)),1)="#", "-", _xll.BDP(W109, $E108))</f>
        <v>#NAME?</v>
      </c>
      <c r="X108" s="43" t="e" cm="1">
        <f t="array" aca="1" ref="X108" ca="1">IF(LEFT(_xlfn.SINGLE(_xll.BDP(X109, $E108)),1)="#", "-", _xll.BDP(X109, $E108))</f>
        <v>#NAME?</v>
      </c>
      <c r="Y108" s="43" t="e" cm="1">
        <f t="array" aca="1" ref="Y108" ca="1">IF(LEFT(_xlfn.SINGLE(_xll.BDP(Y109, $E108)),1)="#", "-", _xll.BDP(Y109, $E108))</f>
        <v>#NAME?</v>
      </c>
      <c r="Z108" s="43" t="e" cm="1">
        <f t="array" aca="1" ref="Z108" ca="1">IF(LEFT(_xlfn.SINGLE(_xll.BDP(Z109, $E108)),1)="#", "-", _xll.BDP(Z109, $E108))</f>
        <v>#NAME?</v>
      </c>
      <c r="AA108" s="43" t="e" cm="1">
        <f t="array" aca="1" ref="AA108" ca="1">IF(LEFT(_xlfn.SINGLE(_xll.BDP(AA109, $E108)),1)="#", "-", _xll.BDP(AA109, $E108))</f>
        <v>#NAME?</v>
      </c>
      <c r="AB108" s="43" t="e" cm="1">
        <f t="array" aca="1" ref="AB108" ca="1">IF(LEFT(_xlfn.SINGLE(_xll.BDP(AB109, $E108)),1)="#", "-", _xll.BDP(AB109, $E108))</f>
        <v>#NAME?</v>
      </c>
      <c r="AC108" s="43" t="e" cm="1">
        <f t="array" aca="1" ref="AC108" ca="1">IF(LEFT(_xlfn.SINGLE(_xll.BDP(AC109, $E108)),1)="#", "-", _xll.BDP(AC109, $E108))</f>
        <v>#NAME?</v>
      </c>
      <c r="AD108" s="43" t="e" cm="1">
        <f t="array" aca="1" ref="AD108" ca="1">IF(LEFT(_xlfn.SINGLE(_xll.BDP(AD109, $E108)),1)="#", "-", _xll.BDP(AD109, $E108))</f>
        <v>#NAME?</v>
      </c>
      <c r="AE108" s="43" t="e" cm="1">
        <f t="array" aca="1" ref="AE108" ca="1">IF(LEFT(_xlfn.SINGLE(_xll.BDP(AE109, $E108)),1)="#", "-", _xll.BDP(AE109, $E108))</f>
        <v>#NAME?</v>
      </c>
      <c r="AF108" s="43" t="e" cm="1">
        <f t="array" aca="1" ref="AF108" ca="1">IF(LEFT(_xlfn.SINGLE(_xll.BDP(AF109, $E108)),1)="#", "-", _xll.BDP(AF109, $E108))</f>
        <v>#NAME?</v>
      </c>
      <c r="AG108" s="43" t="e" cm="1">
        <f t="array" aca="1" ref="AG108" ca="1">IF(LEFT(_xlfn.SINGLE(_xll.BDP(AG109, $E108)),1)="#", "-", _xll.BDP(AG109, $E108))</f>
        <v>#NAME?</v>
      </c>
      <c r="AH108" s="43" t="e" cm="1">
        <f t="array" aca="1" ref="AH108" ca="1">IF(LEFT(_xlfn.SINGLE(_xll.BDP(AH109, $E108)),1)="#", "-", _xll.BDP(AH109, $E108))</f>
        <v>#NAME?</v>
      </c>
      <c r="AI108" s="43" t="e" cm="1">
        <f t="array" aca="1" ref="AI108" ca="1">IF(LEFT(_xlfn.SINGLE(_xll.BDP(AI109, $E108)),1)="#", "-", _xll.BDP(AI109, $E108))</f>
        <v>#NAME?</v>
      </c>
      <c r="AJ108" s="43" t="e" cm="1">
        <f t="array" aca="1" ref="AJ108" ca="1">IF(LEFT(_xlfn.SINGLE(_xll.BDP(AJ109, $E108)),1)="#", "-", _xll.BDP(AJ109, $E108))</f>
        <v>#NAME?</v>
      </c>
      <c r="AK108" s="43" t="e" cm="1">
        <f t="array" aca="1" ref="AK108" ca="1">IF(LEFT(_xlfn.SINGLE(_xll.BDP(AK109, $E108)),1)="#", "-", _xll.BDP(AK109, $E108))</f>
        <v>#NAME?</v>
      </c>
      <c r="AL108" s="43" t="e" cm="1">
        <f t="array" aca="1" ref="AL108" ca="1">IF(LEFT(_xlfn.SINGLE(_xll.BDP(AL109, $E108)),1)="#", "-", _xll.BDP(AL109, $E108))</f>
        <v>#NAME?</v>
      </c>
      <c r="AM108" s="43" t="e" cm="1">
        <f t="array" aca="1" ref="AM108" ca="1">IF(LEFT(_xlfn.SINGLE(_xll.BDP(AM109, $E108)),1)="#", "-", _xll.BDP(AM109, $E108))</f>
        <v>#NAME?</v>
      </c>
      <c r="AN108" s="43" t="e" cm="1">
        <f t="array" aca="1" ref="AN108" ca="1">IF(LEFT(_xlfn.SINGLE(_xll.BDP(AN109, $E108)),1)="#", "-", _xll.BDP(AN109, $E108))</f>
        <v>#NAME?</v>
      </c>
      <c r="AO108" s="43" t="e" cm="1">
        <f t="array" aca="1" ref="AO108" ca="1">IF(LEFT(_xlfn.SINGLE(_xll.BDP(AO109, $E108)),1)="#", "-", _xll.BDP(AO109, $E108))</f>
        <v>#NAME?</v>
      </c>
      <c r="AP108" s="43" t="e" cm="1">
        <f t="array" aca="1" ref="AP108" ca="1">IF(LEFT(_xlfn.SINGLE(_xll.BDP(AP109, $E108)),1)="#", "-", _xll.BDP(AP109, $E108))</f>
        <v>#NAME?</v>
      </c>
      <c r="AQ108" s="43" t="e" cm="1">
        <f t="array" aca="1" ref="AQ108" ca="1">IF(LEFT(_xlfn.SINGLE(_xll.BDP(AQ109, $E108)),1)="#", "-", _xll.BDP(AQ109, $E108))</f>
        <v>#NAME?</v>
      </c>
      <c r="AR108" s="43" t="e" cm="1">
        <f t="array" aca="1" ref="AR108" ca="1">IF(LEFT(_xlfn.SINGLE(_xll.BDP(AR109, $E108)),1)="#", "-", _xll.BDP(AR109, $E108))</f>
        <v>#NAME?</v>
      </c>
      <c r="AS108" s="43" t="e" cm="1">
        <f t="array" aca="1" ref="AS108" ca="1">IF(LEFT(_xlfn.SINGLE(_xll.BDP(AS109, $E108)),1)="#", "-", _xll.BDP(AS109, $E108))</f>
        <v>#NAME?</v>
      </c>
      <c r="AT108" s="43" t="e" cm="1">
        <f t="array" aca="1" ref="AT108" ca="1">IF(LEFT(_xlfn.SINGLE(_xll.BDP(AT109, $E108)),1)="#", "-", _xll.BDP(AT109, $E108))</f>
        <v>#NAME?</v>
      </c>
      <c r="AU108" s="43" t="e" cm="1">
        <f t="array" aca="1" ref="AU108" ca="1">IF(LEFT(_xlfn.SINGLE(_xll.BDP(AU109, $E108)),1)="#", "-", _xll.BDP(AU109, $E108))</f>
        <v>#NAME?</v>
      </c>
      <c r="AV108" s="43" t="e" cm="1">
        <f t="array" aca="1" ref="AV108" ca="1">IF(LEFT(_xlfn.SINGLE(_xll.BDP(AV109, $E108)),1)="#", "-", _xll.BDP(AV109, $E108))</f>
        <v>#NAME?</v>
      </c>
      <c r="AW108" s="43" t="e" cm="1">
        <f t="array" aca="1" ref="AW108" ca="1">IF(LEFT(_xlfn.SINGLE(_xll.BDP(AW109, $E108)),1)="#", "-", _xll.BDP(AW109, $E108))</f>
        <v>#NAME?</v>
      </c>
      <c r="AX108" s="43" t="e" cm="1">
        <f t="array" aca="1" ref="AX108" ca="1">IF(LEFT(_xlfn.SINGLE(_xll.BDP(AX109, $E108)),1)="#", "-", _xll.BDP(AX109, $E108))</f>
        <v>#NAME?</v>
      </c>
      <c r="AY108" s="43" t="e" cm="1">
        <f t="array" aca="1" ref="AY108" ca="1">IF(LEFT(_xlfn.SINGLE(_xll.BDP(AY109, $E108)),1)="#", "-", _xll.BDP(AY109, $E108))</f>
        <v>#NAME?</v>
      </c>
      <c r="AZ108" s="43" t="e" cm="1">
        <f t="array" aca="1" ref="AZ108" ca="1">IF(LEFT(_xlfn.SINGLE(_xll.BDP(AZ109, $E108)),1)="#", "-", _xll.BDP(AZ109, $E108))</f>
        <v>#NAME?</v>
      </c>
      <c r="BA108" s="45" t="e" cm="1">
        <f t="array" aca="1" ref="BA108" ca="1">IF(LEFT(_xlfn.SINGLE(_xll.BDP(BA109, $E108)),1)="#", "-", _xll.BDP(BA109, $E108))</f>
        <v>#NAME?</v>
      </c>
    </row>
    <row r="109" spans="2:53" ht="15" customHeight="1">
      <c r="B109" s="40"/>
      <c r="C109" s="145" t="str">
        <f>trans_getMessage("","Curve Tickers",,LANG_ID)</f>
        <v>Curve Tickers</v>
      </c>
      <c r="D109" s="146"/>
      <c r="E109" s="50" t="s">
        <v>46</v>
      </c>
      <c r="F109" s="42" t="e" cm="1">
        <f t="array" aca="1" ref="F109" ca="1">_xll.BDS(E104,E109,"Dir=H",)</f>
        <v>#NAME?</v>
      </c>
      <c r="G109" s="42"/>
      <c r="H109" s="42"/>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c r="AW109" s="42"/>
      <c r="AX109" s="42"/>
      <c r="AY109" s="42"/>
      <c r="AZ109" s="42"/>
      <c r="BA109" s="44"/>
    </row>
    <row r="110" spans="2:53" ht="15" customHeight="1">
      <c r="C110" s="138" t="str">
        <f>trans_getMessage("","Rate",,LANG_ID)</f>
        <v>Rate</v>
      </c>
      <c r="D110" s="139"/>
      <c r="E110" s="51" t="s">
        <v>44</v>
      </c>
      <c r="F110" s="46" t="str" cm="1">
        <f t="array" aca="1" ref="F110" ca="1">IF(ISERROR(_xlfn.SINGLE(_xll.BDP(F109, $E110))*1), "-", _xll.BDP(F109, $E110))</f>
        <v>-</v>
      </c>
      <c r="G110" s="46" t="str" cm="1">
        <f t="array" aca="1" ref="G110" ca="1">IF(ISERROR(_xlfn.SINGLE(_xll.BDP(G109, $E110))*1), "-", _xll.BDP(G109, $E110))</f>
        <v>-</v>
      </c>
      <c r="H110" s="46" t="str" cm="1">
        <f t="array" aca="1" ref="H110" ca="1">IF(ISERROR(_xlfn.SINGLE(_xll.BDP(H109, $E110))*1), "-", _xll.BDP(H109, $E110))</f>
        <v>-</v>
      </c>
      <c r="I110" s="46" t="str" cm="1">
        <f t="array" aca="1" ref="I110" ca="1">IF(ISERROR(_xlfn.SINGLE(_xll.BDP(I109, $E110))*1), "-", _xll.BDP(I109, $E110))</f>
        <v>-</v>
      </c>
      <c r="J110" s="46" t="str" cm="1">
        <f t="array" aca="1" ref="J110" ca="1">IF(ISERROR(_xlfn.SINGLE(_xll.BDP(J109, $E110))*1), "-", _xll.BDP(J109, $E110))</f>
        <v>-</v>
      </c>
      <c r="K110" s="46" t="str" cm="1">
        <f t="array" aca="1" ref="K110" ca="1">IF(ISERROR(_xlfn.SINGLE(_xll.BDP(K109, $E110))*1), "-", _xll.BDP(K109, $E110))</f>
        <v>-</v>
      </c>
      <c r="L110" s="46" t="str" cm="1">
        <f t="array" aca="1" ref="L110" ca="1">IF(ISERROR(_xlfn.SINGLE(_xll.BDP(L109, $E110))*1), "-", _xll.BDP(L109, $E110))</f>
        <v>-</v>
      </c>
      <c r="M110" s="46" t="str" cm="1">
        <f t="array" aca="1" ref="M110" ca="1">IF(ISERROR(_xlfn.SINGLE(_xll.BDP(M109, $E110))*1), "-", _xll.BDP(M109, $E110))</f>
        <v>-</v>
      </c>
      <c r="N110" s="46" t="str" cm="1">
        <f t="array" aca="1" ref="N110" ca="1">IF(ISERROR(_xlfn.SINGLE(_xll.BDP(N109, $E110))*1), "-", _xll.BDP(N109, $E110))</f>
        <v>-</v>
      </c>
      <c r="O110" s="46" t="str" cm="1">
        <f t="array" aca="1" ref="O110" ca="1">IF(ISERROR(_xlfn.SINGLE(_xll.BDP(O109, $E110))*1), "-", _xll.BDP(O109, $E110))</f>
        <v>-</v>
      </c>
      <c r="P110" s="46" t="str" cm="1">
        <f t="array" aca="1" ref="P110" ca="1">IF(ISERROR(_xlfn.SINGLE(_xll.BDP(P109, $E110))*1), "-", _xll.BDP(P109, $E110))</f>
        <v>-</v>
      </c>
      <c r="Q110" s="46" t="str" cm="1">
        <f t="array" aca="1" ref="Q110" ca="1">IF(ISERROR(_xlfn.SINGLE(_xll.BDP(Q109, $E110))*1), "-", _xll.BDP(Q109, $E110))</f>
        <v>-</v>
      </c>
      <c r="R110" s="46" t="str" cm="1">
        <f t="array" aca="1" ref="R110" ca="1">IF(ISERROR(_xlfn.SINGLE(_xll.BDP(R109, $E110))*1), "-", _xll.BDP(R109, $E110))</f>
        <v>-</v>
      </c>
      <c r="S110" s="46" t="str" cm="1">
        <f t="array" aca="1" ref="S110" ca="1">IF(ISERROR(_xlfn.SINGLE(_xll.BDP(S109, $E110))*1), "-", _xll.BDP(S109, $E110))</f>
        <v>-</v>
      </c>
      <c r="T110" s="46" t="str" cm="1">
        <f t="array" aca="1" ref="T110" ca="1">IF(ISERROR(_xlfn.SINGLE(_xll.BDP(T109, $E110))*1), "-", _xll.BDP(T109, $E110))</f>
        <v>-</v>
      </c>
      <c r="U110" s="46" t="str" cm="1">
        <f t="array" aca="1" ref="U110" ca="1">IF(ISERROR(_xlfn.SINGLE(_xll.BDP(U109, $E110))*1), "-", _xll.BDP(U109, $E110))</f>
        <v>-</v>
      </c>
      <c r="V110" s="46" t="str" cm="1">
        <f t="array" aca="1" ref="V110" ca="1">IF(ISERROR(_xlfn.SINGLE(_xll.BDP(V109, $E110))*1), "-", _xll.BDP(V109, $E110))</f>
        <v>-</v>
      </c>
      <c r="W110" s="46" t="str" cm="1">
        <f t="array" aca="1" ref="W110" ca="1">IF(ISERROR(_xlfn.SINGLE(_xll.BDP(W109, $E110))*1), "-", _xll.BDP(W109, $E110))</f>
        <v>-</v>
      </c>
      <c r="X110" s="46" t="str" cm="1">
        <f t="array" aca="1" ref="X110" ca="1">IF(ISERROR(_xlfn.SINGLE(_xll.BDP(X109, $E110))*1), "-", _xll.BDP(X109, $E110))</f>
        <v>-</v>
      </c>
      <c r="Y110" s="46" t="str" cm="1">
        <f t="array" aca="1" ref="Y110" ca="1">IF(ISERROR(_xlfn.SINGLE(_xll.BDP(Y109, $E110))*1), "-", _xll.BDP(Y109, $E110))</f>
        <v>-</v>
      </c>
      <c r="Z110" s="46" t="str" cm="1">
        <f t="array" aca="1" ref="Z110" ca="1">IF(ISERROR(_xlfn.SINGLE(_xll.BDP(Z109, $E110))*1), "-", _xll.BDP(Z109, $E110))</f>
        <v>-</v>
      </c>
      <c r="AA110" s="46" t="str" cm="1">
        <f t="array" aca="1" ref="AA110" ca="1">IF(ISERROR(_xlfn.SINGLE(_xll.BDP(AA109, $E110))*1), "-", _xll.BDP(AA109, $E110))</f>
        <v>-</v>
      </c>
      <c r="AB110" s="46" t="str" cm="1">
        <f t="array" aca="1" ref="AB110" ca="1">IF(ISERROR(_xlfn.SINGLE(_xll.BDP(AB109, $E110))*1), "-", _xll.BDP(AB109, $E110))</f>
        <v>-</v>
      </c>
      <c r="AC110" s="46" t="str" cm="1">
        <f t="array" aca="1" ref="AC110" ca="1">IF(ISERROR(_xlfn.SINGLE(_xll.BDP(AC109, $E110))*1), "-", _xll.BDP(AC109, $E110))</f>
        <v>-</v>
      </c>
      <c r="AD110" s="46" t="str" cm="1">
        <f t="array" aca="1" ref="AD110" ca="1">IF(ISERROR(_xlfn.SINGLE(_xll.BDP(AD109, $E110))*1), "-", _xll.BDP(AD109, $E110))</f>
        <v>-</v>
      </c>
      <c r="AE110" s="46" t="str" cm="1">
        <f t="array" aca="1" ref="AE110" ca="1">IF(ISERROR(_xlfn.SINGLE(_xll.BDP(AE109, $E110))*1), "-", _xll.BDP(AE109, $E110))</f>
        <v>-</v>
      </c>
      <c r="AF110" s="46" t="str" cm="1">
        <f t="array" aca="1" ref="AF110" ca="1">IF(ISERROR(_xlfn.SINGLE(_xll.BDP(AF109, $E110))*1), "-", _xll.BDP(AF109, $E110))</f>
        <v>-</v>
      </c>
      <c r="AG110" s="46" t="str" cm="1">
        <f t="array" aca="1" ref="AG110" ca="1">IF(ISERROR(_xlfn.SINGLE(_xll.BDP(AG109, $E110))*1), "-", _xll.BDP(AG109, $E110))</f>
        <v>-</v>
      </c>
      <c r="AH110" s="46" t="str" cm="1">
        <f t="array" aca="1" ref="AH110" ca="1">IF(ISERROR(_xlfn.SINGLE(_xll.BDP(AH109, $E110))*1), "-", _xll.BDP(AH109, $E110))</f>
        <v>-</v>
      </c>
      <c r="AI110" s="46" t="str" cm="1">
        <f t="array" aca="1" ref="AI110" ca="1">IF(ISERROR(_xlfn.SINGLE(_xll.BDP(AI109, $E110))*1), "-", _xll.BDP(AI109, $E110))</f>
        <v>-</v>
      </c>
      <c r="AJ110" s="46" t="str" cm="1">
        <f t="array" aca="1" ref="AJ110" ca="1">IF(ISERROR(_xlfn.SINGLE(_xll.BDP(AJ109, $E110))*1), "-", _xll.BDP(AJ109, $E110))</f>
        <v>-</v>
      </c>
      <c r="AK110" s="46" t="str" cm="1">
        <f t="array" aca="1" ref="AK110" ca="1">IF(ISERROR(_xlfn.SINGLE(_xll.BDP(AK109, $E110))*1), "-", _xll.BDP(AK109, $E110))</f>
        <v>-</v>
      </c>
      <c r="AL110" s="46" t="str" cm="1">
        <f t="array" aca="1" ref="AL110" ca="1">IF(ISERROR(_xlfn.SINGLE(_xll.BDP(AL109, $E110))*1), "-", _xll.BDP(AL109, $E110))</f>
        <v>-</v>
      </c>
      <c r="AM110" s="46" t="str" cm="1">
        <f t="array" aca="1" ref="AM110" ca="1">IF(ISERROR(_xlfn.SINGLE(_xll.BDP(AM109, $E110))*1), "-", _xll.BDP(AM109, $E110))</f>
        <v>-</v>
      </c>
      <c r="AN110" s="46" t="str" cm="1">
        <f t="array" aca="1" ref="AN110" ca="1">IF(ISERROR(_xlfn.SINGLE(_xll.BDP(AN109, $E110))*1), "-", _xll.BDP(AN109, $E110))</f>
        <v>-</v>
      </c>
      <c r="AO110" s="46" t="str" cm="1">
        <f t="array" aca="1" ref="AO110" ca="1">IF(ISERROR(_xlfn.SINGLE(_xll.BDP(AO109, $E110))*1), "-", _xll.BDP(AO109, $E110))</f>
        <v>-</v>
      </c>
      <c r="AP110" s="46" t="str" cm="1">
        <f t="array" aca="1" ref="AP110" ca="1">IF(ISERROR(_xlfn.SINGLE(_xll.BDP(AP109, $E110))*1), "-", _xll.BDP(AP109, $E110))</f>
        <v>-</v>
      </c>
      <c r="AQ110" s="46" t="str" cm="1">
        <f t="array" aca="1" ref="AQ110" ca="1">IF(ISERROR(_xlfn.SINGLE(_xll.BDP(AQ109, $E110))*1), "-", _xll.BDP(AQ109, $E110))</f>
        <v>-</v>
      </c>
      <c r="AR110" s="46" t="str" cm="1">
        <f t="array" aca="1" ref="AR110" ca="1">IF(ISERROR(_xlfn.SINGLE(_xll.BDP(AR109, $E110))*1), "-", _xll.BDP(AR109, $E110))</f>
        <v>-</v>
      </c>
      <c r="AS110" s="46" t="str" cm="1">
        <f t="array" aca="1" ref="AS110" ca="1">IF(ISERROR(_xlfn.SINGLE(_xll.BDP(AS109, $E110))*1), "-", _xll.BDP(AS109, $E110))</f>
        <v>-</v>
      </c>
      <c r="AT110" s="46" t="str" cm="1">
        <f t="array" aca="1" ref="AT110" ca="1">IF(ISERROR(_xlfn.SINGLE(_xll.BDP(AT109, $E110))*1), "-", _xll.BDP(AT109, $E110))</f>
        <v>-</v>
      </c>
      <c r="AU110" s="46" t="str" cm="1">
        <f t="array" aca="1" ref="AU110" ca="1">IF(ISERROR(_xlfn.SINGLE(_xll.BDP(AU109, $E110))*1), "-", _xll.BDP(AU109, $E110))</f>
        <v>-</v>
      </c>
      <c r="AV110" s="46" t="str" cm="1">
        <f t="array" aca="1" ref="AV110" ca="1">IF(ISERROR(_xlfn.SINGLE(_xll.BDP(AV109, $E110))*1), "-", _xll.BDP(AV109, $E110))</f>
        <v>-</v>
      </c>
      <c r="AW110" s="46" t="str" cm="1">
        <f t="array" aca="1" ref="AW110" ca="1">IF(ISERROR(_xlfn.SINGLE(_xll.BDP(AW109, $E110))*1), "-", _xll.BDP(AW109, $E110))</f>
        <v>-</v>
      </c>
      <c r="AX110" s="46" t="str" cm="1">
        <f t="array" aca="1" ref="AX110" ca="1">IF(ISERROR(_xlfn.SINGLE(_xll.BDP(AX109, $E110))*1), "-", _xll.BDP(AX109, $E110))</f>
        <v>-</v>
      </c>
      <c r="AY110" s="46" t="str" cm="1">
        <f t="array" aca="1" ref="AY110" ca="1">IF(ISERROR(_xlfn.SINGLE(_xll.BDP(AY109, $E110))*1), "-", _xll.BDP(AY109, $E110))</f>
        <v>-</v>
      </c>
      <c r="AZ110" s="46" t="str" cm="1">
        <f t="array" aca="1" ref="AZ110" ca="1">IF(ISERROR(_xlfn.SINGLE(_xll.BDP(AZ109, $E110))*1), "-", _xll.BDP(AZ109, $E110))</f>
        <v>-</v>
      </c>
      <c r="BA110" s="47" t="str" cm="1">
        <f t="array" aca="1" ref="BA110" ca="1">IF(ISERROR(_xlfn.SINGLE(_xll.BDP(BA109, $E110))*1), "-", _xll.BDP(BA109, $E110))</f>
        <v>-</v>
      </c>
    </row>
    <row r="111" spans="2:53" ht="15" hidden="1" customHeight="1"/>
    <row r="112" spans="2:53" ht="5.15" customHeight="1"/>
    <row r="113" spans="2:53" ht="15" customHeight="1">
      <c r="B113" s="38" t="s">
        <v>30</v>
      </c>
      <c r="C113" s="140" t="str">
        <f>trans_getMessage("","Curve Number",,LANG_ID)</f>
        <v>Curve Number</v>
      </c>
      <c r="D113" s="141"/>
      <c r="E113" s="142">
        <f>VLOOKUP(B113, 'Currency-Curve List'!$C$9:$E$103, 2, FALSE)</f>
        <v>45</v>
      </c>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4"/>
    </row>
    <row r="114" spans="2:53" ht="15" customHeight="1">
      <c r="C114" s="145" t="str">
        <f>trans_getMessage("","Curve Index",,LANG_ID)</f>
        <v>Curve Index</v>
      </c>
      <c r="D114" s="146"/>
      <c r="E114" s="147" t="str">
        <f>VLOOKUP(B113, 'Currency-Curve List'!$C$9:$E$103, 3, FALSE)</f>
        <v>YCSW0045 Index</v>
      </c>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9"/>
    </row>
    <row r="115" spans="2:53" ht="15" customHeight="1">
      <c r="C115" s="145" t="str">
        <f>trans_getMessage("","Curve Name",,LANG_ID)</f>
        <v>Curve Name</v>
      </c>
      <c r="D115" s="146"/>
      <c r="E115" s="150" t="e" cm="1">
        <f t="array" aca="1" ref="E115" ca="1">_xll.BDP(E114, "NAME")</f>
        <v>#NAME?</v>
      </c>
      <c r="F115" s="151"/>
      <c r="G115" s="151"/>
      <c r="H115" s="151"/>
      <c r="I115" s="151"/>
      <c r="J115" s="151"/>
      <c r="K115" s="151"/>
      <c r="L115" s="151"/>
      <c r="M115" s="151"/>
      <c r="N115" s="151"/>
      <c r="O115" s="151"/>
      <c r="P115" s="151"/>
      <c r="Q115" s="151"/>
      <c r="R115" s="151"/>
      <c r="S115" s="151"/>
      <c r="T115" s="151"/>
      <c r="U115" s="151"/>
      <c r="V115" s="151"/>
      <c r="W115" s="151"/>
      <c r="X115" s="151"/>
      <c r="Y115" s="151"/>
      <c r="Z115" s="151"/>
      <c r="AA115" s="151"/>
      <c r="AB115" s="151"/>
      <c r="AC115" s="151"/>
      <c r="AD115" s="151"/>
      <c r="AE115" s="151"/>
      <c r="AF115" s="151"/>
      <c r="AG115" s="151"/>
      <c r="AH115" s="151"/>
      <c r="AI115" s="151"/>
      <c r="AJ115" s="151"/>
      <c r="AK115" s="151"/>
      <c r="AL115" s="151"/>
      <c r="AM115" s="151"/>
      <c r="AN115" s="151"/>
      <c r="AO115" s="151"/>
      <c r="AP115" s="151"/>
      <c r="AQ115" s="151"/>
      <c r="AR115" s="151"/>
      <c r="AS115" s="151"/>
      <c r="AT115" s="151"/>
      <c r="AU115" s="151"/>
      <c r="AV115" s="151"/>
      <c r="AW115" s="151"/>
      <c r="AX115" s="151"/>
      <c r="AY115" s="151"/>
      <c r="AZ115" s="151"/>
      <c r="BA115" s="152"/>
    </row>
    <row r="116" spans="2:53" ht="15" customHeight="1">
      <c r="C116" s="145" t="str">
        <f>trans_getMessage("","Tenors",,LANG_ID)</f>
        <v>Tenors</v>
      </c>
      <c r="D116" s="146"/>
      <c r="E116" s="48" t="s">
        <v>50</v>
      </c>
      <c r="F116" s="42" t="e" cm="1">
        <f t="array" aca="1" ref="F116" ca="1">_xll.BDS(E114,E116,"Dir=H",)</f>
        <v>#NAME?</v>
      </c>
      <c r="G116" s="42"/>
      <c r="H116" s="42"/>
      <c r="I116" s="42"/>
      <c r="J116" s="42"/>
      <c r="K116" s="42"/>
      <c r="L116" s="42"/>
      <c r="M116" s="42"/>
      <c r="N116" s="42"/>
      <c r="O116" s="42"/>
      <c r="P116" s="42"/>
      <c r="Q116" s="42"/>
      <c r="R116" s="42"/>
      <c r="S116" s="42"/>
      <c r="T116" s="42"/>
      <c r="U116" s="42"/>
      <c r="V116" s="42"/>
      <c r="W116" s="42"/>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c r="AW116" s="42"/>
      <c r="AX116" s="42"/>
      <c r="AY116" s="42"/>
      <c r="AZ116" s="42"/>
      <c r="BA116" s="44"/>
    </row>
    <row r="117" spans="2:53" ht="15" hidden="1" customHeight="1">
      <c r="C117" s="145" t="s">
        <v>2211</v>
      </c>
      <c r="D117" s="146"/>
      <c r="E117" s="48"/>
      <c r="F117" s="42" t="e">
        <f ca="1">IF(F116="","",IF(F116="12M","1Y",IF(F116="24M","2Y",F116)))</f>
        <v>#NAME?</v>
      </c>
      <c r="G117" s="42" t="str">
        <f t="shared" ref="G117" si="424">IF(G116="","",IF(G116="12M","1Y",IF(G116="24M","2Y",G116)))</f>
        <v/>
      </c>
      <c r="H117" s="42" t="str">
        <f t="shared" ref="H117" si="425">IF(H116="","",IF(H116="12M","1Y",IF(H116="24M","2Y",H116)))</f>
        <v/>
      </c>
      <c r="I117" s="42" t="str">
        <f t="shared" ref="I117" si="426">IF(I116="","",IF(I116="12M","1Y",IF(I116="24M","2Y",I116)))</f>
        <v/>
      </c>
      <c r="J117" s="42" t="str">
        <f t="shared" ref="J117" si="427">IF(J116="","",IF(J116="12M","1Y",IF(J116="24M","2Y",J116)))</f>
        <v/>
      </c>
      <c r="K117" s="42" t="str">
        <f t="shared" ref="K117" si="428">IF(K116="","",IF(K116="12M","1Y",IF(K116="24M","2Y",K116)))</f>
        <v/>
      </c>
      <c r="L117" s="42" t="str">
        <f t="shared" ref="L117" si="429">IF(L116="","",IF(L116="12M","1Y",IF(L116="24M","2Y",L116)))</f>
        <v/>
      </c>
      <c r="M117" s="42" t="str">
        <f t="shared" ref="M117" si="430">IF(M116="","",IF(M116="12M","1Y",IF(M116="24M","2Y",M116)))</f>
        <v/>
      </c>
      <c r="N117" s="42" t="str">
        <f t="shared" ref="N117" si="431">IF(N116="","",IF(N116="12M","1Y",IF(N116="24M","2Y",N116)))</f>
        <v/>
      </c>
      <c r="O117" s="42" t="str">
        <f t="shared" ref="O117" si="432">IF(O116="","",IF(O116="12M","1Y",IF(O116="24M","2Y",O116)))</f>
        <v/>
      </c>
      <c r="P117" s="42" t="str">
        <f t="shared" ref="P117" si="433">IF(P116="","",IF(P116="12M","1Y",IF(P116="24M","2Y",P116)))</f>
        <v/>
      </c>
      <c r="Q117" s="42" t="str">
        <f t="shared" ref="Q117" si="434">IF(Q116="","",IF(Q116="12M","1Y",IF(Q116="24M","2Y",Q116)))</f>
        <v/>
      </c>
      <c r="R117" s="42" t="str">
        <f t="shared" ref="R117" si="435">IF(R116="","",IF(R116="12M","1Y",IF(R116="24M","2Y",R116)))</f>
        <v/>
      </c>
      <c r="S117" s="42" t="str">
        <f t="shared" ref="S117" si="436">IF(S116="","",IF(S116="12M","1Y",IF(S116="24M","2Y",S116)))</f>
        <v/>
      </c>
      <c r="T117" s="42" t="str">
        <f t="shared" ref="T117" si="437">IF(T116="","",IF(T116="12M","1Y",IF(T116="24M","2Y",T116)))</f>
        <v/>
      </c>
      <c r="U117" s="42" t="str">
        <f t="shared" ref="U117" si="438">IF(U116="","",IF(U116="12M","1Y",IF(U116="24M","2Y",U116)))</f>
        <v/>
      </c>
      <c r="V117" s="42" t="str">
        <f t="shared" ref="V117" si="439">IF(V116="","",IF(V116="12M","1Y",IF(V116="24M","2Y",V116)))</f>
        <v/>
      </c>
      <c r="W117" s="42" t="str">
        <f t="shared" ref="W117" si="440">IF(W116="","",IF(W116="12M","1Y",IF(W116="24M","2Y",W116)))</f>
        <v/>
      </c>
      <c r="X117" s="42" t="str">
        <f t="shared" ref="X117" si="441">IF(X116="","",IF(X116="12M","1Y",IF(X116="24M","2Y",X116)))</f>
        <v/>
      </c>
      <c r="Y117" s="42" t="str">
        <f t="shared" ref="Y117" si="442">IF(Y116="","",IF(Y116="12M","1Y",IF(Y116="24M","2Y",Y116)))</f>
        <v/>
      </c>
      <c r="Z117" s="42" t="str">
        <f t="shared" ref="Z117" si="443">IF(Z116="","",IF(Z116="12M","1Y",IF(Z116="24M","2Y",Z116)))</f>
        <v/>
      </c>
      <c r="AA117" s="42" t="str">
        <f t="shared" ref="AA117" si="444">IF(AA116="","",IF(AA116="12M","1Y",IF(AA116="24M","2Y",AA116)))</f>
        <v/>
      </c>
      <c r="AB117" s="42" t="str">
        <f t="shared" ref="AB117" si="445">IF(AB116="","",IF(AB116="12M","1Y",IF(AB116="24M","2Y",AB116)))</f>
        <v/>
      </c>
      <c r="AC117" s="42" t="str">
        <f t="shared" ref="AC117" si="446">IF(AC116="","",IF(AC116="12M","1Y",IF(AC116="24M","2Y",AC116)))</f>
        <v/>
      </c>
      <c r="AD117" s="42" t="str">
        <f t="shared" ref="AD117" si="447">IF(AD116="","",IF(AD116="12M","1Y",IF(AD116="24M","2Y",AD116)))</f>
        <v/>
      </c>
      <c r="AE117" s="42" t="str">
        <f t="shared" ref="AE117" si="448">IF(AE116="","",IF(AE116="12M","1Y",IF(AE116="24M","2Y",AE116)))</f>
        <v/>
      </c>
      <c r="AF117" s="42" t="str">
        <f t="shared" ref="AF117" si="449">IF(AF116="","",IF(AF116="12M","1Y",IF(AF116="24M","2Y",AF116)))</f>
        <v/>
      </c>
      <c r="AG117" s="42" t="str">
        <f t="shared" ref="AG117" si="450">IF(AG116="","",IF(AG116="12M","1Y",IF(AG116="24M","2Y",AG116)))</f>
        <v/>
      </c>
      <c r="AH117" s="42" t="str">
        <f t="shared" ref="AH117" si="451">IF(AH116="","",IF(AH116="12M","1Y",IF(AH116="24M","2Y",AH116)))</f>
        <v/>
      </c>
      <c r="AI117" s="42" t="str">
        <f t="shared" ref="AI117" si="452">IF(AI116="","",IF(AI116="12M","1Y",IF(AI116="24M","2Y",AI116)))</f>
        <v/>
      </c>
      <c r="AJ117" s="42" t="str">
        <f t="shared" ref="AJ117" si="453">IF(AJ116="","",IF(AJ116="12M","1Y",IF(AJ116="24M","2Y",AJ116)))</f>
        <v/>
      </c>
      <c r="AK117" s="42" t="str">
        <f t="shared" ref="AK117" si="454">IF(AK116="","",IF(AK116="12M","1Y",IF(AK116="24M","2Y",AK116)))</f>
        <v/>
      </c>
      <c r="AL117" s="42" t="str">
        <f t="shared" ref="AL117" si="455">IF(AL116="","",IF(AL116="12M","1Y",IF(AL116="24M","2Y",AL116)))</f>
        <v/>
      </c>
      <c r="AM117" s="42" t="str">
        <f t="shared" ref="AM117" si="456">IF(AM116="","",IF(AM116="12M","1Y",IF(AM116="24M","2Y",AM116)))</f>
        <v/>
      </c>
      <c r="AN117" s="42" t="str">
        <f t="shared" ref="AN117" si="457">IF(AN116="","",IF(AN116="12M","1Y",IF(AN116="24M","2Y",AN116)))</f>
        <v/>
      </c>
      <c r="AO117" s="42" t="str">
        <f t="shared" ref="AO117" si="458">IF(AO116="","",IF(AO116="12M","1Y",IF(AO116="24M","2Y",AO116)))</f>
        <v/>
      </c>
      <c r="AP117" s="42" t="str">
        <f t="shared" ref="AP117" si="459">IF(AP116="","",IF(AP116="12M","1Y",IF(AP116="24M","2Y",AP116)))</f>
        <v/>
      </c>
      <c r="AQ117" s="42" t="str">
        <f t="shared" ref="AQ117" si="460">IF(AQ116="","",IF(AQ116="12M","1Y",IF(AQ116="24M","2Y",AQ116)))</f>
        <v/>
      </c>
      <c r="AR117" s="42" t="str">
        <f t="shared" ref="AR117" si="461">IF(AR116="","",IF(AR116="12M","1Y",IF(AR116="24M","2Y",AR116)))</f>
        <v/>
      </c>
      <c r="AS117" s="42" t="str">
        <f t="shared" ref="AS117" si="462">IF(AS116="","",IF(AS116="12M","1Y",IF(AS116="24M","2Y",AS116)))</f>
        <v/>
      </c>
      <c r="AT117" s="42" t="str">
        <f t="shared" ref="AT117" si="463">IF(AT116="","",IF(AT116="12M","1Y",IF(AT116="24M","2Y",AT116)))</f>
        <v/>
      </c>
      <c r="AU117" s="42" t="str">
        <f t="shared" ref="AU117" si="464">IF(AU116="","",IF(AU116="12M","1Y",IF(AU116="24M","2Y",AU116)))</f>
        <v/>
      </c>
      <c r="AV117" s="42" t="str">
        <f t="shared" ref="AV117" si="465">IF(AV116="","",IF(AV116="12M","1Y",IF(AV116="24M","2Y",AV116)))</f>
        <v/>
      </c>
      <c r="AW117" s="42" t="str">
        <f t="shared" ref="AW117" si="466">IF(AW116="","",IF(AW116="12M","1Y",IF(AW116="24M","2Y",AW116)))</f>
        <v/>
      </c>
      <c r="AX117" s="42" t="str">
        <f t="shared" ref="AX117" si="467">IF(AX116="","",IF(AX116="12M","1Y",IF(AX116="24M","2Y",AX116)))</f>
        <v/>
      </c>
      <c r="AY117" s="42" t="str">
        <f t="shared" ref="AY117" si="468">IF(AY116="","",IF(AY116="12M","1Y",IF(AY116="24M","2Y",AY116)))</f>
        <v/>
      </c>
      <c r="AZ117" s="42" t="str">
        <f t="shared" ref="AZ117" si="469">IF(AZ116="","",IF(AZ116="12M","1Y",IF(AZ116="24M","2Y",AZ116)))</f>
        <v/>
      </c>
      <c r="BA117" s="42" t="str">
        <f t="shared" ref="BA117" si="470">IF(BA116="","",IF(BA116="12M","1Y",IF(BA116="24M","2Y",BA116)))</f>
        <v/>
      </c>
    </row>
    <row r="118" spans="2:53" s="41" customFormat="1" ht="15" customHeight="1">
      <c r="B118" s="7"/>
      <c r="C118" s="153" t="str">
        <f>trans_getMessage("","Name",,LANG_ID)</f>
        <v>Name</v>
      </c>
      <c r="D118" s="154"/>
      <c r="E118" s="49" t="s">
        <v>49</v>
      </c>
      <c r="F118" s="43" t="e" cm="1">
        <f t="array" aca="1" ref="F118" ca="1">IF(LEFT(_xlfn.SINGLE(_xll.BDP(F119, $E118)),1)="#", "-", _xll.BDP(F119, $E118))</f>
        <v>#NAME?</v>
      </c>
      <c r="G118" s="43" t="e" cm="1">
        <f t="array" aca="1" ref="G118" ca="1">IF(LEFT(_xlfn.SINGLE(_xll.BDP(G119, $E118)),1)="#", "-", _xll.BDP(G119, $E118))</f>
        <v>#NAME?</v>
      </c>
      <c r="H118" s="43" t="e" cm="1">
        <f t="array" aca="1" ref="H118" ca="1">IF(LEFT(_xlfn.SINGLE(_xll.BDP(H119, $E118)),1)="#", "-", _xll.BDP(H119, $E118))</f>
        <v>#NAME?</v>
      </c>
      <c r="I118" s="43" t="e" cm="1">
        <f t="array" aca="1" ref="I118" ca="1">IF(LEFT(_xlfn.SINGLE(_xll.BDP(I119, $E118)),1)="#", "-", _xll.BDP(I119, $E118))</f>
        <v>#NAME?</v>
      </c>
      <c r="J118" s="43" t="e" cm="1">
        <f t="array" aca="1" ref="J118" ca="1">IF(LEFT(_xlfn.SINGLE(_xll.BDP(J119, $E118)),1)="#", "-", _xll.BDP(J119, $E118))</f>
        <v>#NAME?</v>
      </c>
      <c r="K118" s="43" t="e" cm="1">
        <f t="array" aca="1" ref="K118" ca="1">IF(LEFT(_xlfn.SINGLE(_xll.BDP(K119, $E118)),1)="#", "-", _xll.BDP(K119, $E118))</f>
        <v>#NAME?</v>
      </c>
      <c r="L118" s="43" t="e" cm="1">
        <f t="array" aca="1" ref="L118" ca="1">IF(LEFT(_xlfn.SINGLE(_xll.BDP(L119, $E118)),1)="#", "-", _xll.BDP(L119, $E118))</f>
        <v>#NAME?</v>
      </c>
      <c r="M118" s="43" t="e" cm="1">
        <f t="array" aca="1" ref="M118" ca="1">IF(LEFT(_xlfn.SINGLE(_xll.BDP(M119, $E118)),1)="#", "-", _xll.BDP(M119, $E118))</f>
        <v>#NAME?</v>
      </c>
      <c r="N118" s="43" t="e" cm="1">
        <f t="array" aca="1" ref="N118" ca="1">IF(LEFT(_xlfn.SINGLE(_xll.BDP(N119, $E118)),1)="#", "-", _xll.BDP(N119, $E118))</f>
        <v>#NAME?</v>
      </c>
      <c r="O118" s="43" t="e" cm="1">
        <f t="array" aca="1" ref="O118" ca="1">IF(LEFT(_xlfn.SINGLE(_xll.BDP(O119, $E118)),1)="#", "-", _xll.BDP(O119, $E118))</f>
        <v>#NAME?</v>
      </c>
      <c r="P118" s="43" t="e" cm="1">
        <f t="array" aca="1" ref="P118" ca="1">IF(LEFT(_xlfn.SINGLE(_xll.BDP(P119, $E118)),1)="#", "-", _xll.BDP(P119, $E118))</f>
        <v>#NAME?</v>
      </c>
      <c r="Q118" s="43" t="e" cm="1">
        <f t="array" aca="1" ref="Q118" ca="1">IF(LEFT(_xlfn.SINGLE(_xll.BDP(Q119, $E118)),1)="#", "-", _xll.BDP(Q119, $E118))</f>
        <v>#NAME?</v>
      </c>
      <c r="R118" s="43" t="e" cm="1">
        <f t="array" aca="1" ref="R118" ca="1">IF(LEFT(_xlfn.SINGLE(_xll.BDP(R119, $E118)),1)="#", "-", _xll.BDP(R119, $E118))</f>
        <v>#NAME?</v>
      </c>
      <c r="S118" s="43" t="e" cm="1">
        <f t="array" aca="1" ref="S118" ca="1">IF(LEFT(_xlfn.SINGLE(_xll.BDP(S119, $E118)),1)="#", "-", _xll.BDP(S119, $E118))</f>
        <v>#NAME?</v>
      </c>
      <c r="T118" s="43" t="e" cm="1">
        <f t="array" aca="1" ref="T118" ca="1">IF(LEFT(_xlfn.SINGLE(_xll.BDP(T119, $E118)),1)="#", "-", _xll.BDP(T119, $E118))</f>
        <v>#NAME?</v>
      </c>
      <c r="U118" s="43" t="e" cm="1">
        <f t="array" aca="1" ref="U118" ca="1">IF(LEFT(_xlfn.SINGLE(_xll.BDP(U119, $E118)),1)="#", "-", _xll.BDP(U119, $E118))</f>
        <v>#NAME?</v>
      </c>
      <c r="V118" s="43" t="e" cm="1">
        <f t="array" aca="1" ref="V118" ca="1">IF(LEFT(_xlfn.SINGLE(_xll.BDP(V119, $E118)),1)="#", "-", _xll.BDP(V119, $E118))</f>
        <v>#NAME?</v>
      </c>
      <c r="W118" s="43" t="e" cm="1">
        <f t="array" aca="1" ref="W118" ca="1">IF(LEFT(_xlfn.SINGLE(_xll.BDP(W119, $E118)),1)="#", "-", _xll.BDP(W119, $E118))</f>
        <v>#NAME?</v>
      </c>
      <c r="X118" s="43" t="e" cm="1">
        <f t="array" aca="1" ref="X118" ca="1">IF(LEFT(_xlfn.SINGLE(_xll.BDP(X119, $E118)),1)="#", "-", _xll.BDP(X119, $E118))</f>
        <v>#NAME?</v>
      </c>
      <c r="Y118" s="43" t="e" cm="1">
        <f t="array" aca="1" ref="Y118" ca="1">IF(LEFT(_xlfn.SINGLE(_xll.BDP(Y119, $E118)),1)="#", "-", _xll.BDP(Y119, $E118))</f>
        <v>#NAME?</v>
      </c>
      <c r="Z118" s="43" t="e" cm="1">
        <f t="array" aca="1" ref="Z118" ca="1">IF(LEFT(_xlfn.SINGLE(_xll.BDP(Z119, $E118)),1)="#", "-", _xll.BDP(Z119, $E118))</f>
        <v>#NAME?</v>
      </c>
      <c r="AA118" s="43" t="e" cm="1">
        <f t="array" aca="1" ref="AA118" ca="1">IF(LEFT(_xlfn.SINGLE(_xll.BDP(AA119, $E118)),1)="#", "-", _xll.BDP(AA119, $E118))</f>
        <v>#NAME?</v>
      </c>
      <c r="AB118" s="43" t="e" cm="1">
        <f t="array" aca="1" ref="AB118" ca="1">IF(LEFT(_xlfn.SINGLE(_xll.BDP(AB119, $E118)),1)="#", "-", _xll.BDP(AB119, $E118))</f>
        <v>#NAME?</v>
      </c>
      <c r="AC118" s="43" t="e" cm="1">
        <f t="array" aca="1" ref="AC118" ca="1">IF(LEFT(_xlfn.SINGLE(_xll.BDP(AC119, $E118)),1)="#", "-", _xll.BDP(AC119, $E118))</f>
        <v>#NAME?</v>
      </c>
      <c r="AD118" s="43" t="e" cm="1">
        <f t="array" aca="1" ref="AD118" ca="1">IF(LEFT(_xlfn.SINGLE(_xll.BDP(AD119, $E118)),1)="#", "-", _xll.BDP(AD119, $E118))</f>
        <v>#NAME?</v>
      </c>
      <c r="AE118" s="43" t="e" cm="1">
        <f t="array" aca="1" ref="AE118" ca="1">IF(LEFT(_xlfn.SINGLE(_xll.BDP(AE119, $E118)),1)="#", "-", _xll.BDP(AE119, $E118))</f>
        <v>#NAME?</v>
      </c>
      <c r="AF118" s="43" t="e" cm="1">
        <f t="array" aca="1" ref="AF118" ca="1">IF(LEFT(_xlfn.SINGLE(_xll.BDP(AF119, $E118)),1)="#", "-", _xll.BDP(AF119, $E118))</f>
        <v>#NAME?</v>
      </c>
      <c r="AG118" s="43" t="e" cm="1">
        <f t="array" aca="1" ref="AG118" ca="1">IF(LEFT(_xlfn.SINGLE(_xll.BDP(AG119, $E118)),1)="#", "-", _xll.BDP(AG119, $E118))</f>
        <v>#NAME?</v>
      </c>
      <c r="AH118" s="43" t="e" cm="1">
        <f t="array" aca="1" ref="AH118" ca="1">IF(LEFT(_xlfn.SINGLE(_xll.BDP(AH119, $E118)),1)="#", "-", _xll.BDP(AH119, $E118))</f>
        <v>#NAME?</v>
      </c>
      <c r="AI118" s="43" t="e" cm="1">
        <f t="array" aca="1" ref="AI118" ca="1">IF(LEFT(_xlfn.SINGLE(_xll.BDP(AI119, $E118)),1)="#", "-", _xll.BDP(AI119, $E118))</f>
        <v>#NAME?</v>
      </c>
      <c r="AJ118" s="43" t="e" cm="1">
        <f t="array" aca="1" ref="AJ118" ca="1">IF(LEFT(_xlfn.SINGLE(_xll.BDP(AJ119, $E118)),1)="#", "-", _xll.BDP(AJ119, $E118))</f>
        <v>#NAME?</v>
      </c>
      <c r="AK118" s="43" t="e" cm="1">
        <f t="array" aca="1" ref="AK118" ca="1">IF(LEFT(_xlfn.SINGLE(_xll.BDP(AK119, $E118)),1)="#", "-", _xll.BDP(AK119, $E118))</f>
        <v>#NAME?</v>
      </c>
      <c r="AL118" s="43" t="e" cm="1">
        <f t="array" aca="1" ref="AL118" ca="1">IF(LEFT(_xlfn.SINGLE(_xll.BDP(AL119, $E118)),1)="#", "-", _xll.BDP(AL119, $E118))</f>
        <v>#NAME?</v>
      </c>
      <c r="AM118" s="43" t="e" cm="1">
        <f t="array" aca="1" ref="AM118" ca="1">IF(LEFT(_xlfn.SINGLE(_xll.BDP(AM119, $E118)),1)="#", "-", _xll.BDP(AM119, $E118))</f>
        <v>#NAME?</v>
      </c>
      <c r="AN118" s="43" t="e" cm="1">
        <f t="array" aca="1" ref="AN118" ca="1">IF(LEFT(_xlfn.SINGLE(_xll.BDP(AN119, $E118)),1)="#", "-", _xll.BDP(AN119, $E118))</f>
        <v>#NAME?</v>
      </c>
      <c r="AO118" s="43" t="e" cm="1">
        <f t="array" aca="1" ref="AO118" ca="1">IF(LEFT(_xlfn.SINGLE(_xll.BDP(AO119, $E118)),1)="#", "-", _xll.BDP(AO119, $E118))</f>
        <v>#NAME?</v>
      </c>
      <c r="AP118" s="43" t="e" cm="1">
        <f t="array" aca="1" ref="AP118" ca="1">IF(LEFT(_xlfn.SINGLE(_xll.BDP(AP119, $E118)),1)="#", "-", _xll.BDP(AP119, $E118))</f>
        <v>#NAME?</v>
      </c>
      <c r="AQ118" s="43" t="e" cm="1">
        <f t="array" aca="1" ref="AQ118" ca="1">IF(LEFT(_xlfn.SINGLE(_xll.BDP(AQ119, $E118)),1)="#", "-", _xll.BDP(AQ119, $E118))</f>
        <v>#NAME?</v>
      </c>
      <c r="AR118" s="43" t="e" cm="1">
        <f t="array" aca="1" ref="AR118" ca="1">IF(LEFT(_xlfn.SINGLE(_xll.BDP(AR119, $E118)),1)="#", "-", _xll.BDP(AR119, $E118))</f>
        <v>#NAME?</v>
      </c>
      <c r="AS118" s="43" t="e" cm="1">
        <f t="array" aca="1" ref="AS118" ca="1">IF(LEFT(_xlfn.SINGLE(_xll.BDP(AS119, $E118)),1)="#", "-", _xll.BDP(AS119, $E118))</f>
        <v>#NAME?</v>
      </c>
      <c r="AT118" s="43" t="e" cm="1">
        <f t="array" aca="1" ref="AT118" ca="1">IF(LEFT(_xlfn.SINGLE(_xll.BDP(AT119, $E118)),1)="#", "-", _xll.BDP(AT119, $E118))</f>
        <v>#NAME?</v>
      </c>
      <c r="AU118" s="43" t="e" cm="1">
        <f t="array" aca="1" ref="AU118" ca="1">IF(LEFT(_xlfn.SINGLE(_xll.BDP(AU119, $E118)),1)="#", "-", _xll.BDP(AU119, $E118))</f>
        <v>#NAME?</v>
      </c>
      <c r="AV118" s="43" t="e" cm="1">
        <f t="array" aca="1" ref="AV118" ca="1">IF(LEFT(_xlfn.SINGLE(_xll.BDP(AV119, $E118)),1)="#", "-", _xll.BDP(AV119, $E118))</f>
        <v>#NAME?</v>
      </c>
      <c r="AW118" s="43" t="e" cm="1">
        <f t="array" aca="1" ref="AW118" ca="1">IF(LEFT(_xlfn.SINGLE(_xll.BDP(AW119, $E118)),1)="#", "-", _xll.BDP(AW119, $E118))</f>
        <v>#NAME?</v>
      </c>
      <c r="AX118" s="43" t="e" cm="1">
        <f t="array" aca="1" ref="AX118" ca="1">IF(LEFT(_xlfn.SINGLE(_xll.BDP(AX119, $E118)),1)="#", "-", _xll.BDP(AX119, $E118))</f>
        <v>#NAME?</v>
      </c>
      <c r="AY118" s="43" t="e" cm="1">
        <f t="array" aca="1" ref="AY118" ca="1">IF(LEFT(_xlfn.SINGLE(_xll.BDP(AY119, $E118)),1)="#", "-", _xll.BDP(AY119, $E118))</f>
        <v>#NAME?</v>
      </c>
      <c r="AZ118" s="43" t="e" cm="1">
        <f t="array" aca="1" ref="AZ118" ca="1">IF(LEFT(_xlfn.SINGLE(_xll.BDP(AZ119, $E118)),1)="#", "-", _xll.BDP(AZ119, $E118))</f>
        <v>#NAME?</v>
      </c>
      <c r="BA118" s="45" t="e" cm="1">
        <f t="array" aca="1" ref="BA118" ca="1">IF(LEFT(_xlfn.SINGLE(_xll.BDP(BA119, $E118)),1)="#", "-", _xll.BDP(BA119, $E118))</f>
        <v>#NAME?</v>
      </c>
    </row>
    <row r="119" spans="2:53" ht="15" customHeight="1">
      <c r="B119" s="40"/>
      <c r="C119" s="145" t="str">
        <f>trans_getMessage("","Curve Tickers",,LANG_ID)</f>
        <v>Curve Tickers</v>
      </c>
      <c r="D119" s="146"/>
      <c r="E119" s="50" t="s">
        <v>46</v>
      </c>
      <c r="F119" s="42" t="e" cm="1">
        <f t="array" aca="1" ref="F119" ca="1">_xll.BDS(E114,E119,"Dir=H",)</f>
        <v>#NAME?</v>
      </c>
      <c r="G119" s="42"/>
      <c r="H119" s="42"/>
      <c r="I119" s="42"/>
      <c r="J119" s="42"/>
      <c r="K119" s="42"/>
      <c r="L119" s="42"/>
      <c r="M119" s="42"/>
      <c r="N119" s="42"/>
      <c r="O119" s="42"/>
      <c r="P119" s="42"/>
      <c r="Q119" s="42"/>
      <c r="R119" s="42"/>
      <c r="S119" s="42"/>
      <c r="T119" s="42"/>
      <c r="U119" s="42"/>
      <c r="V119" s="42"/>
      <c r="W119" s="42"/>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c r="AW119" s="42"/>
      <c r="AX119" s="42"/>
      <c r="AY119" s="42"/>
      <c r="AZ119" s="42"/>
      <c r="BA119" s="44"/>
    </row>
    <row r="120" spans="2:53" ht="15" customHeight="1">
      <c r="C120" s="138" t="str">
        <f>trans_getMessage("","Rate",,LANG_ID)</f>
        <v>Rate</v>
      </c>
      <c r="D120" s="139"/>
      <c r="E120" s="51" t="s">
        <v>44</v>
      </c>
      <c r="F120" s="46" t="str" cm="1">
        <f t="array" aca="1" ref="F120" ca="1">IF(ISERROR(_xlfn.SINGLE(_xll.BDP(F119, $E120))*1), "-", _xll.BDP(F119, $E120))</f>
        <v>-</v>
      </c>
      <c r="G120" s="46" t="str" cm="1">
        <f t="array" aca="1" ref="G120" ca="1">IF(ISERROR(_xlfn.SINGLE(_xll.BDP(G119, $E120))*1), "-", _xll.BDP(G119, $E120))</f>
        <v>-</v>
      </c>
      <c r="H120" s="46" t="str" cm="1">
        <f t="array" aca="1" ref="H120" ca="1">IF(ISERROR(_xlfn.SINGLE(_xll.BDP(H119, $E120))*1), "-", _xll.BDP(H119, $E120))</f>
        <v>-</v>
      </c>
      <c r="I120" s="46" t="str" cm="1">
        <f t="array" aca="1" ref="I120" ca="1">IF(ISERROR(_xlfn.SINGLE(_xll.BDP(I119, $E120))*1), "-", _xll.BDP(I119, $E120))</f>
        <v>-</v>
      </c>
      <c r="J120" s="46" t="str" cm="1">
        <f t="array" aca="1" ref="J120" ca="1">IF(ISERROR(_xlfn.SINGLE(_xll.BDP(J119, $E120))*1), "-", _xll.BDP(J119, $E120))</f>
        <v>-</v>
      </c>
      <c r="K120" s="46" t="str" cm="1">
        <f t="array" aca="1" ref="K120" ca="1">IF(ISERROR(_xlfn.SINGLE(_xll.BDP(K119, $E120))*1), "-", _xll.BDP(K119, $E120))</f>
        <v>-</v>
      </c>
      <c r="L120" s="46" t="str" cm="1">
        <f t="array" aca="1" ref="L120" ca="1">IF(ISERROR(_xlfn.SINGLE(_xll.BDP(L119, $E120))*1), "-", _xll.BDP(L119, $E120))</f>
        <v>-</v>
      </c>
      <c r="M120" s="46" t="str" cm="1">
        <f t="array" aca="1" ref="M120" ca="1">IF(ISERROR(_xlfn.SINGLE(_xll.BDP(M119, $E120))*1), "-", _xll.BDP(M119, $E120))</f>
        <v>-</v>
      </c>
      <c r="N120" s="46" t="str" cm="1">
        <f t="array" aca="1" ref="N120" ca="1">IF(ISERROR(_xlfn.SINGLE(_xll.BDP(N119, $E120))*1), "-", _xll.BDP(N119, $E120))</f>
        <v>-</v>
      </c>
      <c r="O120" s="46" t="str" cm="1">
        <f t="array" aca="1" ref="O120" ca="1">IF(ISERROR(_xlfn.SINGLE(_xll.BDP(O119, $E120))*1), "-", _xll.BDP(O119, $E120))</f>
        <v>-</v>
      </c>
      <c r="P120" s="46" t="str" cm="1">
        <f t="array" aca="1" ref="P120" ca="1">IF(ISERROR(_xlfn.SINGLE(_xll.BDP(P119, $E120))*1), "-", _xll.BDP(P119, $E120))</f>
        <v>-</v>
      </c>
      <c r="Q120" s="46" t="str" cm="1">
        <f t="array" aca="1" ref="Q120" ca="1">IF(ISERROR(_xlfn.SINGLE(_xll.BDP(Q119, $E120))*1), "-", _xll.BDP(Q119, $E120))</f>
        <v>-</v>
      </c>
      <c r="R120" s="46" t="str" cm="1">
        <f t="array" aca="1" ref="R120" ca="1">IF(ISERROR(_xlfn.SINGLE(_xll.BDP(R119, $E120))*1), "-", _xll.BDP(R119, $E120))</f>
        <v>-</v>
      </c>
      <c r="S120" s="46" t="str" cm="1">
        <f t="array" aca="1" ref="S120" ca="1">IF(ISERROR(_xlfn.SINGLE(_xll.BDP(S119, $E120))*1), "-", _xll.BDP(S119, $E120))</f>
        <v>-</v>
      </c>
      <c r="T120" s="46" t="str" cm="1">
        <f t="array" aca="1" ref="T120" ca="1">IF(ISERROR(_xlfn.SINGLE(_xll.BDP(T119, $E120))*1), "-", _xll.BDP(T119, $E120))</f>
        <v>-</v>
      </c>
      <c r="U120" s="46" t="str" cm="1">
        <f t="array" aca="1" ref="U120" ca="1">IF(ISERROR(_xlfn.SINGLE(_xll.BDP(U119, $E120))*1), "-", _xll.BDP(U119, $E120))</f>
        <v>-</v>
      </c>
      <c r="V120" s="46" t="str" cm="1">
        <f t="array" aca="1" ref="V120" ca="1">IF(ISERROR(_xlfn.SINGLE(_xll.BDP(V119, $E120))*1), "-", _xll.BDP(V119, $E120))</f>
        <v>-</v>
      </c>
      <c r="W120" s="46" t="str" cm="1">
        <f t="array" aca="1" ref="W120" ca="1">IF(ISERROR(_xlfn.SINGLE(_xll.BDP(W119, $E120))*1), "-", _xll.BDP(W119, $E120))</f>
        <v>-</v>
      </c>
      <c r="X120" s="46" t="str" cm="1">
        <f t="array" aca="1" ref="X120" ca="1">IF(ISERROR(_xlfn.SINGLE(_xll.BDP(X119, $E120))*1), "-", _xll.BDP(X119, $E120))</f>
        <v>-</v>
      </c>
      <c r="Y120" s="46" t="str" cm="1">
        <f t="array" aca="1" ref="Y120" ca="1">IF(ISERROR(_xlfn.SINGLE(_xll.BDP(Y119, $E120))*1), "-", _xll.BDP(Y119, $E120))</f>
        <v>-</v>
      </c>
      <c r="Z120" s="46" t="str" cm="1">
        <f t="array" aca="1" ref="Z120" ca="1">IF(ISERROR(_xlfn.SINGLE(_xll.BDP(Z119, $E120))*1), "-", _xll.BDP(Z119, $E120))</f>
        <v>-</v>
      </c>
      <c r="AA120" s="46" t="str" cm="1">
        <f t="array" aca="1" ref="AA120" ca="1">IF(ISERROR(_xlfn.SINGLE(_xll.BDP(AA119, $E120))*1), "-", _xll.BDP(AA119, $E120))</f>
        <v>-</v>
      </c>
      <c r="AB120" s="46" t="str" cm="1">
        <f t="array" aca="1" ref="AB120" ca="1">IF(ISERROR(_xlfn.SINGLE(_xll.BDP(AB119, $E120))*1), "-", _xll.BDP(AB119, $E120))</f>
        <v>-</v>
      </c>
      <c r="AC120" s="46" t="str" cm="1">
        <f t="array" aca="1" ref="AC120" ca="1">IF(ISERROR(_xlfn.SINGLE(_xll.BDP(AC119, $E120))*1), "-", _xll.BDP(AC119, $E120))</f>
        <v>-</v>
      </c>
      <c r="AD120" s="46" t="str" cm="1">
        <f t="array" aca="1" ref="AD120" ca="1">IF(ISERROR(_xlfn.SINGLE(_xll.BDP(AD119, $E120))*1), "-", _xll.BDP(AD119, $E120))</f>
        <v>-</v>
      </c>
      <c r="AE120" s="46" t="str" cm="1">
        <f t="array" aca="1" ref="AE120" ca="1">IF(ISERROR(_xlfn.SINGLE(_xll.BDP(AE119, $E120))*1), "-", _xll.BDP(AE119, $E120))</f>
        <v>-</v>
      </c>
      <c r="AF120" s="46" t="str" cm="1">
        <f t="array" aca="1" ref="AF120" ca="1">IF(ISERROR(_xlfn.SINGLE(_xll.BDP(AF119, $E120))*1), "-", _xll.BDP(AF119, $E120))</f>
        <v>-</v>
      </c>
      <c r="AG120" s="46" t="str" cm="1">
        <f t="array" aca="1" ref="AG120" ca="1">IF(ISERROR(_xlfn.SINGLE(_xll.BDP(AG119, $E120))*1), "-", _xll.BDP(AG119, $E120))</f>
        <v>-</v>
      </c>
      <c r="AH120" s="46" t="str" cm="1">
        <f t="array" aca="1" ref="AH120" ca="1">IF(ISERROR(_xlfn.SINGLE(_xll.BDP(AH119, $E120))*1), "-", _xll.BDP(AH119, $E120))</f>
        <v>-</v>
      </c>
      <c r="AI120" s="46" t="str" cm="1">
        <f t="array" aca="1" ref="AI120" ca="1">IF(ISERROR(_xlfn.SINGLE(_xll.BDP(AI119, $E120))*1), "-", _xll.BDP(AI119, $E120))</f>
        <v>-</v>
      </c>
      <c r="AJ120" s="46" t="str" cm="1">
        <f t="array" aca="1" ref="AJ120" ca="1">IF(ISERROR(_xlfn.SINGLE(_xll.BDP(AJ119, $E120))*1), "-", _xll.BDP(AJ119, $E120))</f>
        <v>-</v>
      </c>
      <c r="AK120" s="46" t="str" cm="1">
        <f t="array" aca="1" ref="AK120" ca="1">IF(ISERROR(_xlfn.SINGLE(_xll.BDP(AK119, $E120))*1), "-", _xll.BDP(AK119, $E120))</f>
        <v>-</v>
      </c>
      <c r="AL120" s="46" t="str" cm="1">
        <f t="array" aca="1" ref="AL120" ca="1">IF(ISERROR(_xlfn.SINGLE(_xll.BDP(AL119, $E120))*1), "-", _xll.BDP(AL119, $E120))</f>
        <v>-</v>
      </c>
      <c r="AM120" s="46" t="str" cm="1">
        <f t="array" aca="1" ref="AM120" ca="1">IF(ISERROR(_xlfn.SINGLE(_xll.BDP(AM119, $E120))*1), "-", _xll.BDP(AM119, $E120))</f>
        <v>-</v>
      </c>
      <c r="AN120" s="46" t="str" cm="1">
        <f t="array" aca="1" ref="AN120" ca="1">IF(ISERROR(_xlfn.SINGLE(_xll.BDP(AN119, $E120))*1), "-", _xll.BDP(AN119, $E120))</f>
        <v>-</v>
      </c>
      <c r="AO120" s="46" t="str" cm="1">
        <f t="array" aca="1" ref="AO120" ca="1">IF(ISERROR(_xlfn.SINGLE(_xll.BDP(AO119, $E120))*1), "-", _xll.BDP(AO119, $E120))</f>
        <v>-</v>
      </c>
      <c r="AP120" s="46" t="str" cm="1">
        <f t="array" aca="1" ref="AP120" ca="1">IF(ISERROR(_xlfn.SINGLE(_xll.BDP(AP119, $E120))*1), "-", _xll.BDP(AP119, $E120))</f>
        <v>-</v>
      </c>
      <c r="AQ120" s="46" t="str" cm="1">
        <f t="array" aca="1" ref="AQ120" ca="1">IF(ISERROR(_xlfn.SINGLE(_xll.BDP(AQ119, $E120))*1), "-", _xll.BDP(AQ119, $E120))</f>
        <v>-</v>
      </c>
      <c r="AR120" s="46" t="str" cm="1">
        <f t="array" aca="1" ref="AR120" ca="1">IF(ISERROR(_xlfn.SINGLE(_xll.BDP(AR119, $E120))*1), "-", _xll.BDP(AR119, $E120))</f>
        <v>-</v>
      </c>
      <c r="AS120" s="46" t="str" cm="1">
        <f t="array" aca="1" ref="AS120" ca="1">IF(ISERROR(_xlfn.SINGLE(_xll.BDP(AS119, $E120))*1), "-", _xll.BDP(AS119, $E120))</f>
        <v>-</v>
      </c>
      <c r="AT120" s="46" t="str" cm="1">
        <f t="array" aca="1" ref="AT120" ca="1">IF(ISERROR(_xlfn.SINGLE(_xll.BDP(AT119, $E120))*1), "-", _xll.BDP(AT119, $E120))</f>
        <v>-</v>
      </c>
      <c r="AU120" s="46" t="str" cm="1">
        <f t="array" aca="1" ref="AU120" ca="1">IF(ISERROR(_xlfn.SINGLE(_xll.BDP(AU119, $E120))*1), "-", _xll.BDP(AU119, $E120))</f>
        <v>-</v>
      </c>
      <c r="AV120" s="46" t="str" cm="1">
        <f t="array" aca="1" ref="AV120" ca="1">IF(ISERROR(_xlfn.SINGLE(_xll.BDP(AV119, $E120))*1), "-", _xll.BDP(AV119, $E120))</f>
        <v>-</v>
      </c>
      <c r="AW120" s="46" t="str" cm="1">
        <f t="array" aca="1" ref="AW120" ca="1">IF(ISERROR(_xlfn.SINGLE(_xll.BDP(AW119, $E120))*1), "-", _xll.BDP(AW119, $E120))</f>
        <v>-</v>
      </c>
      <c r="AX120" s="46" t="str" cm="1">
        <f t="array" aca="1" ref="AX120" ca="1">IF(ISERROR(_xlfn.SINGLE(_xll.BDP(AX119, $E120))*1), "-", _xll.BDP(AX119, $E120))</f>
        <v>-</v>
      </c>
      <c r="AY120" s="46" t="str" cm="1">
        <f t="array" aca="1" ref="AY120" ca="1">IF(ISERROR(_xlfn.SINGLE(_xll.BDP(AY119, $E120))*1), "-", _xll.BDP(AY119, $E120))</f>
        <v>-</v>
      </c>
      <c r="AZ120" s="46" t="str" cm="1">
        <f t="array" aca="1" ref="AZ120" ca="1">IF(ISERROR(_xlfn.SINGLE(_xll.BDP(AZ119, $E120))*1), "-", _xll.BDP(AZ119, $E120))</f>
        <v>-</v>
      </c>
      <c r="BA120" s="47" t="str" cm="1">
        <f t="array" aca="1" ref="BA120" ca="1">IF(ISERROR(_xlfn.SINGLE(_xll.BDP(BA119, $E120))*1), "-", _xll.BDP(BA119, $E120))</f>
        <v>-</v>
      </c>
    </row>
    <row r="121" spans="2:53" ht="15" hidden="1" customHeight="1"/>
    <row r="122" spans="2:53" ht="5.15" customHeight="1"/>
    <row r="123" spans="2:53" ht="15" customHeight="1">
      <c r="B123" s="38" t="s">
        <v>27</v>
      </c>
      <c r="C123" s="140" t="str">
        <f>trans_getMessage("","Curve Number",,LANG_ID)</f>
        <v>Curve Number</v>
      </c>
      <c r="D123" s="141"/>
      <c r="E123" s="142">
        <f>VLOOKUP(B123, 'Currency-Curve List'!$C$9:$E$103, 2, FALSE)</f>
        <v>141</v>
      </c>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4"/>
    </row>
    <row r="124" spans="2:53" ht="15" customHeight="1">
      <c r="C124" s="145" t="str">
        <f>trans_getMessage("","Curve Index",,LANG_ID)</f>
        <v>Curve Index</v>
      </c>
      <c r="D124" s="146"/>
      <c r="E124" s="147" t="str">
        <f>VLOOKUP(B123, 'Currency-Curve List'!$C$9:$E$103, 3, FALSE)</f>
        <v>YCSW0141 Index</v>
      </c>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148"/>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9"/>
    </row>
    <row r="125" spans="2:53" ht="15" customHeight="1">
      <c r="C125" s="145" t="str">
        <f>trans_getMessage("","Curve Name",,LANG_ID)</f>
        <v>Curve Name</v>
      </c>
      <c r="D125" s="146"/>
      <c r="E125" s="150" t="e" cm="1">
        <f t="array" aca="1" ref="E125" ca="1">_xll.BDP(E124, "NAME")</f>
        <v>#NAME?</v>
      </c>
      <c r="F125" s="151"/>
      <c r="G125" s="151"/>
      <c r="H125" s="151"/>
      <c r="I125" s="151"/>
      <c r="J125" s="151"/>
      <c r="K125" s="151"/>
      <c r="L125" s="151"/>
      <c r="M125" s="151"/>
      <c r="N125" s="151"/>
      <c r="O125" s="151"/>
      <c r="P125" s="151"/>
      <c r="Q125" s="151"/>
      <c r="R125" s="151"/>
      <c r="S125" s="151"/>
      <c r="T125" s="151"/>
      <c r="U125" s="151"/>
      <c r="V125" s="151"/>
      <c r="W125" s="151"/>
      <c r="X125" s="151"/>
      <c r="Y125" s="151"/>
      <c r="Z125" s="151"/>
      <c r="AA125" s="151"/>
      <c r="AB125" s="151"/>
      <c r="AC125" s="151"/>
      <c r="AD125" s="151"/>
      <c r="AE125" s="151"/>
      <c r="AF125" s="151"/>
      <c r="AG125" s="151"/>
      <c r="AH125" s="151"/>
      <c r="AI125" s="151"/>
      <c r="AJ125" s="151"/>
      <c r="AK125" s="151"/>
      <c r="AL125" s="151"/>
      <c r="AM125" s="151"/>
      <c r="AN125" s="151"/>
      <c r="AO125" s="151"/>
      <c r="AP125" s="151"/>
      <c r="AQ125" s="151"/>
      <c r="AR125" s="151"/>
      <c r="AS125" s="151"/>
      <c r="AT125" s="151"/>
      <c r="AU125" s="151"/>
      <c r="AV125" s="151"/>
      <c r="AW125" s="151"/>
      <c r="AX125" s="151"/>
      <c r="AY125" s="151"/>
      <c r="AZ125" s="151"/>
      <c r="BA125" s="152"/>
    </row>
    <row r="126" spans="2:53" ht="15" customHeight="1">
      <c r="C126" s="145" t="str">
        <f>trans_getMessage("","Tenors",,LANG_ID)</f>
        <v>Tenors</v>
      </c>
      <c r="D126" s="146"/>
      <c r="E126" s="48" t="s">
        <v>50</v>
      </c>
      <c r="F126" s="42" t="e" cm="1">
        <f t="array" aca="1" ref="F126" ca="1">_xll.BDS(E124,E126,"Dir=H",)</f>
        <v>#NAME?</v>
      </c>
      <c r="G126" s="42"/>
      <c r="H126" s="42"/>
      <c r="I126" s="42"/>
      <c r="J126" s="42"/>
      <c r="K126" s="42"/>
      <c r="L126" s="42"/>
      <c r="M126" s="42"/>
      <c r="N126" s="42"/>
      <c r="O126" s="42"/>
      <c r="P126" s="42"/>
      <c r="Q126" s="42"/>
      <c r="R126" s="42"/>
      <c r="S126" s="42"/>
      <c r="T126" s="42"/>
      <c r="U126" s="42"/>
      <c r="V126" s="42"/>
      <c r="W126" s="42"/>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c r="AW126" s="42"/>
      <c r="AX126" s="42"/>
      <c r="AY126" s="42"/>
      <c r="AZ126" s="42"/>
      <c r="BA126" s="44"/>
    </row>
    <row r="127" spans="2:53" ht="15" hidden="1" customHeight="1">
      <c r="C127" s="145" t="s">
        <v>2211</v>
      </c>
      <c r="D127" s="146"/>
      <c r="E127" s="48"/>
      <c r="F127" s="42" t="e">
        <f ca="1">IF(F126="","",IF(F126="12M","1Y",IF(F126="24M","2Y",F126)))</f>
        <v>#NAME?</v>
      </c>
      <c r="G127" s="42" t="str">
        <f t="shared" ref="G127" si="471">IF(G126="","",IF(G126="12M","1Y",IF(G126="24M","2Y",G126)))</f>
        <v/>
      </c>
      <c r="H127" s="42" t="str">
        <f t="shared" ref="H127" si="472">IF(H126="","",IF(H126="12M","1Y",IF(H126="24M","2Y",H126)))</f>
        <v/>
      </c>
      <c r="I127" s="42" t="str">
        <f t="shared" ref="I127" si="473">IF(I126="","",IF(I126="12M","1Y",IF(I126="24M","2Y",I126)))</f>
        <v/>
      </c>
      <c r="J127" s="42" t="str">
        <f t="shared" ref="J127" si="474">IF(J126="","",IF(J126="12M","1Y",IF(J126="24M","2Y",J126)))</f>
        <v/>
      </c>
      <c r="K127" s="42" t="str">
        <f t="shared" ref="K127" si="475">IF(K126="","",IF(K126="12M","1Y",IF(K126="24M","2Y",K126)))</f>
        <v/>
      </c>
      <c r="L127" s="42" t="str">
        <f t="shared" ref="L127" si="476">IF(L126="","",IF(L126="12M","1Y",IF(L126="24M","2Y",L126)))</f>
        <v/>
      </c>
      <c r="M127" s="42" t="str">
        <f t="shared" ref="M127" si="477">IF(M126="","",IF(M126="12M","1Y",IF(M126="24M","2Y",M126)))</f>
        <v/>
      </c>
      <c r="N127" s="42" t="str">
        <f t="shared" ref="N127" si="478">IF(N126="","",IF(N126="12M","1Y",IF(N126="24M","2Y",N126)))</f>
        <v/>
      </c>
      <c r="O127" s="42" t="str">
        <f t="shared" ref="O127" si="479">IF(O126="","",IF(O126="12M","1Y",IF(O126="24M","2Y",O126)))</f>
        <v/>
      </c>
      <c r="P127" s="42" t="str">
        <f t="shared" ref="P127" si="480">IF(P126="","",IF(P126="12M","1Y",IF(P126="24M","2Y",P126)))</f>
        <v/>
      </c>
      <c r="Q127" s="42" t="str">
        <f t="shared" ref="Q127" si="481">IF(Q126="","",IF(Q126="12M","1Y",IF(Q126="24M","2Y",Q126)))</f>
        <v/>
      </c>
      <c r="R127" s="42" t="str">
        <f t="shared" ref="R127" si="482">IF(R126="","",IF(R126="12M","1Y",IF(R126="24M","2Y",R126)))</f>
        <v/>
      </c>
      <c r="S127" s="42" t="str">
        <f t="shared" ref="S127" si="483">IF(S126="","",IF(S126="12M","1Y",IF(S126="24M","2Y",S126)))</f>
        <v/>
      </c>
      <c r="T127" s="42" t="str">
        <f t="shared" ref="T127" si="484">IF(T126="","",IF(T126="12M","1Y",IF(T126="24M","2Y",T126)))</f>
        <v/>
      </c>
      <c r="U127" s="42" t="str">
        <f t="shared" ref="U127" si="485">IF(U126="","",IF(U126="12M","1Y",IF(U126="24M","2Y",U126)))</f>
        <v/>
      </c>
      <c r="V127" s="42" t="str">
        <f t="shared" ref="V127" si="486">IF(V126="","",IF(V126="12M","1Y",IF(V126="24M","2Y",V126)))</f>
        <v/>
      </c>
      <c r="W127" s="42" t="str">
        <f t="shared" ref="W127" si="487">IF(W126="","",IF(W126="12M","1Y",IF(W126="24M","2Y",W126)))</f>
        <v/>
      </c>
      <c r="X127" s="42" t="str">
        <f t="shared" ref="X127" si="488">IF(X126="","",IF(X126="12M","1Y",IF(X126="24M","2Y",X126)))</f>
        <v/>
      </c>
      <c r="Y127" s="42" t="str">
        <f t="shared" ref="Y127" si="489">IF(Y126="","",IF(Y126="12M","1Y",IF(Y126="24M","2Y",Y126)))</f>
        <v/>
      </c>
      <c r="Z127" s="42" t="str">
        <f t="shared" ref="Z127" si="490">IF(Z126="","",IF(Z126="12M","1Y",IF(Z126="24M","2Y",Z126)))</f>
        <v/>
      </c>
      <c r="AA127" s="42" t="str">
        <f t="shared" ref="AA127" si="491">IF(AA126="","",IF(AA126="12M","1Y",IF(AA126="24M","2Y",AA126)))</f>
        <v/>
      </c>
      <c r="AB127" s="42" t="str">
        <f t="shared" ref="AB127" si="492">IF(AB126="","",IF(AB126="12M","1Y",IF(AB126="24M","2Y",AB126)))</f>
        <v/>
      </c>
      <c r="AC127" s="42" t="str">
        <f t="shared" ref="AC127" si="493">IF(AC126="","",IF(AC126="12M","1Y",IF(AC126="24M","2Y",AC126)))</f>
        <v/>
      </c>
      <c r="AD127" s="42" t="str">
        <f t="shared" ref="AD127" si="494">IF(AD126="","",IF(AD126="12M","1Y",IF(AD126="24M","2Y",AD126)))</f>
        <v/>
      </c>
      <c r="AE127" s="42" t="str">
        <f t="shared" ref="AE127" si="495">IF(AE126="","",IF(AE126="12M","1Y",IF(AE126="24M","2Y",AE126)))</f>
        <v/>
      </c>
      <c r="AF127" s="42" t="str">
        <f t="shared" ref="AF127" si="496">IF(AF126="","",IF(AF126="12M","1Y",IF(AF126="24M","2Y",AF126)))</f>
        <v/>
      </c>
      <c r="AG127" s="42" t="str">
        <f t="shared" ref="AG127" si="497">IF(AG126="","",IF(AG126="12M","1Y",IF(AG126="24M","2Y",AG126)))</f>
        <v/>
      </c>
      <c r="AH127" s="42" t="str">
        <f t="shared" ref="AH127" si="498">IF(AH126="","",IF(AH126="12M","1Y",IF(AH126="24M","2Y",AH126)))</f>
        <v/>
      </c>
      <c r="AI127" s="42" t="str">
        <f t="shared" ref="AI127" si="499">IF(AI126="","",IF(AI126="12M","1Y",IF(AI126="24M","2Y",AI126)))</f>
        <v/>
      </c>
      <c r="AJ127" s="42" t="str">
        <f t="shared" ref="AJ127" si="500">IF(AJ126="","",IF(AJ126="12M","1Y",IF(AJ126="24M","2Y",AJ126)))</f>
        <v/>
      </c>
      <c r="AK127" s="42" t="str">
        <f t="shared" ref="AK127" si="501">IF(AK126="","",IF(AK126="12M","1Y",IF(AK126="24M","2Y",AK126)))</f>
        <v/>
      </c>
      <c r="AL127" s="42" t="str">
        <f t="shared" ref="AL127" si="502">IF(AL126="","",IF(AL126="12M","1Y",IF(AL126="24M","2Y",AL126)))</f>
        <v/>
      </c>
      <c r="AM127" s="42" t="str">
        <f t="shared" ref="AM127" si="503">IF(AM126="","",IF(AM126="12M","1Y",IF(AM126="24M","2Y",AM126)))</f>
        <v/>
      </c>
      <c r="AN127" s="42" t="str">
        <f t="shared" ref="AN127" si="504">IF(AN126="","",IF(AN126="12M","1Y",IF(AN126="24M","2Y",AN126)))</f>
        <v/>
      </c>
      <c r="AO127" s="42" t="str">
        <f t="shared" ref="AO127" si="505">IF(AO126="","",IF(AO126="12M","1Y",IF(AO126="24M","2Y",AO126)))</f>
        <v/>
      </c>
      <c r="AP127" s="42" t="str">
        <f t="shared" ref="AP127" si="506">IF(AP126="","",IF(AP126="12M","1Y",IF(AP126="24M","2Y",AP126)))</f>
        <v/>
      </c>
      <c r="AQ127" s="42" t="str">
        <f t="shared" ref="AQ127" si="507">IF(AQ126="","",IF(AQ126="12M","1Y",IF(AQ126="24M","2Y",AQ126)))</f>
        <v/>
      </c>
      <c r="AR127" s="42" t="str">
        <f t="shared" ref="AR127" si="508">IF(AR126="","",IF(AR126="12M","1Y",IF(AR126="24M","2Y",AR126)))</f>
        <v/>
      </c>
      <c r="AS127" s="42" t="str">
        <f t="shared" ref="AS127" si="509">IF(AS126="","",IF(AS126="12M","1Y",IF(AS126="24M","2Y",AS126)))</f>
        <v/>
      </c>
      <c r="AT127" s="42" t="str">
        <f t="shared" ref="AT127" si="510">IF(AT126="","",IF(AT126="12M","1Y",IF(AT126="24M","2Y",AT126)))</f>
        <v/>
      </c>
      <c r="AU127" s="42" t="str">
        <f t="shared" ref="AU127" si="511">IF(AU126="","",IF(AU126="12M","1Y",IF(AU126="24M","2Y",AU126)))</f>
        <v/>
      </c>
      <c r="AV127" s="42" t="str">
        <f t="shared" ref="AV127" si="512">IF(AV126="","",IF(AV126="12M","1Y",IF(AV126="24M","2Y",AV126)))</f>
        <v/>
      </c>
      <c r="AW127" s="42" t="str">
        <f t="shared" ref="AW127" si="513">IF(AW126="","",IF(AW126="12M","1Y",IF(AW126="24M","2Y",AW126)))</f>
        <v/>
      </c>
      <c r="AX127" s="42" t="str">
        <f t="shared" ref="AX127" si="514">IF(AX126="","",IF(AX126="12M","1Y",IF(AX126="24M","2Y",AX126)))</f>
        <v/>
      </c>
      <c r="AY127" s="42" t="str">
        <f t="shared" ref="AY127" si="515">IF(AY126="","",IF(AY126="12M","1Y",IF(AY126="24M","2Y",AY126)))</f>
        <v/>
      </c>
      <c r="AZ127" s="42" t="str">
        <f t="shared" ref="AZ127" si="516">IF(AZ126="","",IF(AZ126="12M","1Y",IF(AZ126="24M","2Y",AZ126)))</f>
        <v/>
      </c>
      <c r="BA127" s="42" t="str">
        <f t="shared" ref="BA127" si="517">IF(BA126="","",IF(BA126="12M","1Y",IF(BA126="24M","2Y",BA126)))</f>
        <v/>
      </c>
    </row>
    <row r="128" spans="2:53" s="41" customFormat="1" ht="15" customHeight="1">
      <c r="B128" s="7"/>
      <c r="C128" s="153" t="str">
        <f>trans_getMessage("","Name",,LANG_ID)</f>
        <v>Name</v>
      </c>
      <c r="D128" s="154"/>
      <c r="E128" s="49" t="s">
        <v>49</v>
      </c>
      <c r="F128" s="43" t="e" cm="1">
        <f t="array" aca="1" ref="F128" ca="1">IF(LEFT(_xlfn.SINGLE(_xll.BDP(F129, $E128)),1)="#", "-", _xll.BDP(F129, $E128))</f>
        <v>#NAME?</v>
      </c>
      <c r="G128" s="43" t="e" cm="1">
        <f t="array" aca="1" ref="G128" ca="1">IF(LEFT(_xlfn.SINGLE(_xll.BDP(G129, $E128)),1)="#", "-", _xll.BDP(G129, $E128))</f>
        <v>#NAME?</v>
      </c>
      <c r="H128" s="43" t="e" cm="1">
        <f t="array" aca="1" ref="H128" ca="1">IF(LEFT(_xlfn.SINGLE(_xll.BDP(H129, $E128)),1)="#", "-", _xll.BDP(H129, $E128))</f>
        <v>#NAME?</v>
      </c>
      <c r="I128" s="43" t="e" cm="1">
        <f t="array" aca="1" ref="I128" ca="1">IF(LEFT(_xlfn.SINGLE(_xll.BDP(I129, $E128)),1)="#", "-", _xll.BDP(I129, $E128))</f>
        <v>#NAME?</v>
      </c>
      <c r="J128" s="43" t="e" cm="1">
        <f t="array" aca="1" ref="J128" ca="1">IF(LEFT(_xlfn.SINGLE(_xll.BDP(J129, $E128)),1)="#", "-", _xll.BDP(J129, $E128))</f>
        <v>#NAME?</v>
      </c>
      <c r="K128" s="43" t="e" cm="1">
        <f t="array" aca="1" ref="K128" ca="1">IF(LEFT(_xlfn.SINGLE(_xll.BDP(K129, $E128)),1)="#", "-", _xll.BDP(K129, $E128))</f>
        <v>#NAME?</v>
      </c>
      <c r="L128" s="43" t="e" cm="1">
        <f t="array" aca="1" ref="L128" ca="1">IF(LEFT(_xlfn.SINGLE(_xll.BDP(L129, $E128)),1)="#", "-", _xll.BDP(L129, $E128))</f>
        <v>#NAME?</v>
      </c>
      <c r="M128" s="43" t="e" cm="1">
        <f t="array" aca="1" ref="M128" ca="1">IF(LEFT(_xlfn.SINGLE(_xll.BDP(M129, $E128)),1)="#", "-", _xll.BDP(M129, $E128))</f>
        <v>#NAME?</v>
      </c>
      <c r="N128" s="43" t="e" cm="1">
        <f t="array" aca="1" ref="N128" ca="1">IF(LEFT(_xlfn.SINGLE(_xll.BDP(N129, $E128)),1)="#", "-", _xll.BDP(N129, $E128))</f>
        <v>#NAME?</v>
      </c>
      <c r="O128" s="43" t="e" cm="1">
        <f t="array" aca="1" ref="O128" ca="1">IF(LEFT(_xlfn.SINGLE(_xll.BDP(O129, $E128)),1)="#", "-", _xll.BDP(O129, $E128))</f>
        <v>#NAME?</v>
      </c>
      <c r="P128" s="43" t="e" cm="1">
        <f t="array" aca="1" ref="P128" ca="1">IF(LEFT(_xlfn.SINGLE(_xll.BDP(P129, $E128)),1)="#", "-", _xll.BDP(P129, $E128))</f>
        <v>#NAME?</v>
      </c>
      <c r="Q128" s="43" t="e" cm="1">
        <f t="array" aca="1" ref="Q128" ca="1">IF(LEFT(_xlfn.SINGLE(_xll.BDP(Q129, $E128)),1)="#", "-", _xll.BDP(Q129, $E128))</f>
        <v>#NAME?</v>
      </c>
      <c r="R128" s="43" t="e" cm="1">
        <f t="array" aca="1" ref="R128" ca="1">IF(LEFT(_xlfn.SINGLE(_xll.BDP(R129, $E128)),1)="#", "-", _xll.BDP(R129, $E128))</f>
        <v>#NAME?</v>
      </c>
      <c r="S128" s="43" t="e" cm="1">
        <f t="array" aca="1" ref="S128" ca="1">IF(LEFT(_xlfn.SINGLE(_xll.BDP(S129, $E128)),1)="#", "-", _xll.BDP(S129, $E128))</f>
        <v>#NAME?</v>
      </c>
      <c r="T128" s="43" t="e" cm="1">
        <f t="array" aca="1" ref="T128" ca="1">IF(LEFT(_xlfn.SINGLE(_xll.BDP(T129, $E128)),1)="#", "-", _xll.BDP(T129, $E128))</f>
        <v>#NAME?</v>
      </c>
      <c r="U128" s="43" t="e" cm="1">
        <f t="array" aca="1" ref="U128" ca="1">IF(LEFT(_xlfn.SINGLE(_xll.BDP(U129, $E128)),1)="#", "-", _xll.BDP(U129, $E128))</f>
        <v>#NAME?</v>
      </c>
      <c r="V128" s="43" t="e" cm="1">
        <f t="array" aca="1" ref="V128" ca="1">IF(LEFT(_xlfn.SINGLE(_xll.BDP(V129, $E128)),1)="#", "-", _xll.BDP(V129, $E128))</f>
        <v>#NAME?</v>
      </c>
      <c r="W128" s="43" t="e" cm="1">
        <f t="array" aca="1" ref="W128" ca="1">IF(LEFT(_xlfn.SINGLE(_xll.BDP(W129, $E128)),1)="#", "-", _xll.BDP(W129, $E128))</f>
        <v>#NAME?</v>
      </c>
      <c r="X128" s="43" t="e" cm="1">
        <f t="array" aca="1" ref="X128" ca="1">IF(LEFT(_xlfn.SINGLE(_xll.BDP(X129, $E128)),1)="#", "-", _xll.BDP(X129, $E128))</f>
        <v>#NAME?</v>
      </c>
      <c r="Y128" s="43" t="e" cm="1">
        <f t="array" aca="1" ref="Y128" ca="1">IF(LEFT(_xlfn.SINGLE(_xll.BDP(Y129, $E128)),1)="#", "-", _xll.BDP(Y129, $E128))</f>
        <v>#NAME?</v>
      </c>
      <c r="Z128" s="43" t="e" cm="1">
        <f t="array" aca="1" ref="Z128" ca="1">IF(LEFT(_xlfn.SINGLE(_xll.BDP(Z129, $E128)),1)="#", "-", _xll.BDP(Z129, $E128))</f>
        <v>#NAME?</v>
      </c>
      <c r="AA128" s="43" t="e" cm="1">
        <f t="array" aca="1" ref="AA128" ca="1">IF(LEFT(_xlfn.SINGLE(_xll.BDP(AA129, $E128)),1)="#", "-", _xll.BDP(AA129, $E128))</f>
        <v>#NAME?</v>
      </c>
      <c r="AB128" s="43" t="e" cm="1">
        <f t="array" aca="1" ref="AB128" ca="1">IF(LEFT(_xlfn.SINGLE(_xll.BDP(AB129, $E128)),1)="#", "-", _xll.BDP(AB129, $E128))</f>
        <v>#NAME?</v>
      </c>
      <c r="AC128" s="43" t="e" cm="1">
        <f t="array" aca="1" ref="AC128" ca="1">IF(LEFT(_xlfn.SINGLE(_xll.BDP(AC129, $E128)),1)="#", "-", _xll.BDP(AC129, $E128))</f>
        <v>#NAME?</v>
      </c>
      <c r="AD128" s="43" t="e" cm="1">
        <f t="array" aca="1" ref="AD128" ca="1">IF(LEFT(_xlfn.SINGLE(_xll.BDP(AD129, $E128)),1)="#", "-", _xll.BDP(AD129, $E128))</f>
        <v>#NAME?</v>
      </c>
      <c r="AE128" s="43" t="e" cm="1">
        <f t="array" aca="1" ref="AE128" ca="1">IF(LEFT(_xlfn.SINGLE(_xll.BDP(AE129, $E128)),1)="#", "-", _xll.BDP(AE129, $E128))</f>
        <v>#NAME?</v>
      </c>
      <c r="AF128" s="43" t="e" cm="1">
        <f t="array" aca="1" ref="AF128" ca="1">IF(LEFT(_xlfn.SINGLE(_xll.BDP(AF129, $E128)),1)="#", "-", _xll.BDP(AF129, $E128))</f>
        <v>#NAME?</v>
      </c>
      <c r="AG128" s="43" t="e" cm="1">
        <f t="array" aca="1" ref="AG128" ca="1">IF(LEFT(_xlfn.SINGLE(_xll.BDP(AG129, $E128)),1)="#", "-", _xll.BDP(AG129, $E128))</f>
        <v>#NAME?</v>
      </c>
      <c r="AH128" s="43" t="e" cm="1">
        <f t="array" aca="1" ref="AH128" ca="1">IF(LEFT(_xlfn.SINGLE(_xll.BDP(AH129, $E128)),1)="#", "-", _xll.BDP(AH129, $E128))</f>
        <v>#NAME?</v>
      </c>
      <c r="AI128" s="43" t="e" cm="1">
        <f t="array" aca="1" ref="AI128" ca="1">IF(LEFT(_xlfn.SINGLE(_xll.BDP(AI129, $E128)),1)="#", "-", _xll.BDP(AI129, $E128))</f>
        <v>#NAME?</v>
      </c>
      <c r="AJ128" s="43" t="e" cm="1">
        <f t="array" aca="1" ref="AJ128" ca="1">IF(LEFT(_xlfn.SINGLE(_xll.BDP(AJ129, $E128)),1)="#", "-", _xll.BDP(AJ129, $E128))</f>
        <v>#NAME?</v>
      </c>
      <c r="AK128" s="43" t="e" cm="1">
        <f t="array" aca="1" ref="AK128" ca="1">IF(LEFT(_xlfn.SINGLE(_xll.BDP(AK129, $E128)),1)="#", "-", _xll.BDP(AK129, $E128))</f>
        <v>#NAME?</v>
      </c>
      <c r="AL128" s="43" t="e" cm="1">
        <f t="array" aca="1" ref="AL128" ca="1">IF(LEFT(_xlfn.SINGLE(_xll.BDP(AL129, $E128)),1)="#", "-", _xll.BDP(AL129, $E128))</f>
        <v>#NAME?</v>
      </c>
      <c r="AM128" s="43" t="e" cm="1">
        <f t="array" aca="1" ref="AM128" ca="1">IF(LEFT(_xlfn.SINGLE(_xll.BDP(AM129, $E128)),1)="#", "-", _xll.BDP(AM129, $E128))</f>
        <v>#NAME?</v>
      </c>
      <c r="AN128" s="43" t="e" cm="1">
        <f t="array" aca="1" ref="AN128" ca="1">IF(LEFT(_xlfn.SINGLE(_xll.BDP(AN129, $E128)),1)="#", "-", _xll.BDP(AN129, $E128))</f>
        <v>#NAME?</v>
      </c>
      <c r="AO128" s="43" t="e" cm="1">
        <f t="array" aca="1" ref="AO128" ca="1">IF(LEFT(_xlfn.SINGLE(_xll.BDP(AO129, $E128)),1)="#", "-", _xll.BDP(AO129, $E128))</f>
        <v>#NAME?</v>
      </c>
      <c r="AP128" s="43" t="e" cm="1">
        <f t="array" aca="1" ref="AP128" ca="1">IF(LEFT(_xlfn.SINGLE(_xll.BDP(AP129, $E128)),1)="#", "-", _xll.BDP(AP129, $E128))</f>
        <v>#NAME?</v>
      </c>
      <c r="AQ128" s="43" t="e" cm="1">
        <f t="array" aca="1" ref="AQ128" ca="1">IF(LEFT(_xlfn.SINGLE(_xll.BDP(AQ129, $E128)),1)="#", "-", _xll.BDP(AQ129, $E128))</f>
        <v>#NAME?</v>
      </c>
      <c r="AR128" s="43" t="e" cm="1">
        <f t="array" aca="1" ref="AR128" ca="1">IF(LEFT(_xlfn.SINGLE(_xll.BDP(AR129, $E128)),1)="#", "-", _xll.BDP(AR129, $E128))</f>
        <v>#NAME?</v>
      </c>
      <c r="AS128" s="43" t="e" cm="1">
        <f t="array" aca="1" ref="AS128" ca="1">IF(LEFT(_xlfn.SINGLE(_xll.BDP(AS129, $E128)),1)="#", "-", _xll.BDP(AS129, $E128))</f>
        <v>#NAME?</v>
      </c>
      <c r="AT128" s="43" t="e" cm="1">
        <f t="array" aca="1" ref="AT128" ca="1">IF(LEFT(_xlfn.SINGLE(_xll.BDP(AT129, $E128)),1)="#", "-", _xll.BDP(AT129, $E128))</f>
        <v>#NAME?</v>
      </c>
      <c r="AU128" s="43" t="e" cm="1">
        <f t="array" aca="1" ref="AU128" ca="1">IF(LEFT(_xlfn.SINGLE(_xll.BDP(AU129, $E128)),1)="#", "-", _xll.BDP(AU129, $E128))</f>
        <v>#NAME?</v>
      </c>
      <c r="AV128" s="43" t="e" cm="1">
        <f t="array" aca="1" ref="AV128" ca="1">IF(LEFT(_xlfn.SINGLE(_xll.BDP(AV129, $E128)),1)="#", "-", _xll.BDP(AV129, $E128))</f>
        <v>#NAME?</v>
      </c>
      <c r="AW128" s="43" t="e" cm="1">
        <f t="array" aca="1" ref="AW128" ca="1">IF(LEFT(_xlfn.SINGLE(_xll.BDP(AW129, $E128)),1)="#", "-", _xll.BDP(AW129, $E128))</f>
        <v>#NAME?</v>
      </c>
      <c r="AX128" s="43" t="e" cm="1">
        <f t="array" aca="1" ref="AX128" ca="1">IF(LEFT(_xlfn.SINGLE(_xll.BDP(AX129, $E128)),1)="#", "-", _xll.BDP(AX129, $E128))</f>
        <v>#NAME?</v>
      </c>
      <c r="AY128" s="43" t="e" cm="1">
        <f t="array" aca="1" ref="AY128" ca="1">IF(LEFT(_xlfn.SINGLE(_xll.BDP(AY129, $E128)),1)="#", "-", _xll.BDP(AY129, $E128))</f>
        <v>#NAME?</v>
      </c>
      <c r="AZ128" s="43" t="e" cm="1">
        <f t="array" aca="1" ref="AZ128" ca="1">IF(LEFT(_xlfn.SINGLE(_xll.BDP(AZ129, $E128)),1)="#", "-", _xll.BDP(AZ129, $E128))</f>
        <v>#NAME?</v>
      </c>
      <c r="BA128" s="45" t="e" cm="1">
        <f t="array" aca="1" ref="BA128" ca="1">IF(LEFT(_xlfn.SINGLE(_xll.BDP(BA129, $E128)),1)="#", "-", _xll.BDP(BA129, $E128))</f>
        <v>#NAME?</v>
      </c>
    </row>
    <row r="129" spans="2:53" ht="15" customHeight="1">
      <c r="B129" s="40"/>
      <c r="C129" s="145" t="str">
        <f>trans_getMessage("","Curve Tickers",,LANG_ID)</f>
        <v>Curve Tickers</v>
      </c>
      <c r="D129" s="146"/>
      <c r="E129" s="50" t="s">
        <v>46</v>
      </c>
      <c r="F129" s="42" t="e" cm="1">
        <f t="array" aca="1" ref="F129" ca="1">_xll.BDS(E124,E129,"Dir=H",)</f>
        <v>#NAME?</v>
      </c>
      <c r="G129" s="42"/>
      <c r="H129" s="42"/>
      <c r="I129" s="42"/>
      <c r="J129" s="42"/>
      <c r="K129" s="42"/>
      <c r="L129" s="42"/>
      <c r="M129" s="42"/>
      <c r="N129" s="42"/>
      <c r="O129" s="42"/>
      <c r="P129" s="42"/>
      <c r="Q129" s="42"/>
      <c r="R129" s="42"/>
      <c r="S129" s="42"/>
      <c r="T129" s="42"/>
      <c r="U129" s="42"/>
      <c r="V129" s="42"/>
      <c r="W129" s="42"/>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c r="AW129" s="42"/>
      <c r="AX129" s="42"/>
      <c r="AY129" s="42"/>
      <c r="AZ129" s="42"/>
      <c r="BA129" s="44"/>
    </row>
    <row r="130" spans="2:53" ht="15" customHeight="1">
      <c r="C130" s="138" t="str">
        <f>trans_getMessage("","Rate",,LANG_ID)</f>
        <v>Rate</v>
      </c>
      <c r="D130" s="139"/>
      <c r="E130" s="51" t="s">
        <v>44</v>
      </c>
      <c r="F130" s="46" t="str" cm="1">
        <f t="array" aca="1" ref="F130" ca="1">IF(ISERROR(_xlfn.SINGLE(_xll.BDP(F129, $E130))*1), "-", _xll.BDP(F129, $E130))</f>
        <v>-</v>
      </c>
      <c r="G130" s="46" t="str" cm="1">
        <f t="array" aca="1" ref="G130" ca="1">IF(ISERROR(_xlfn.SINGLE(_xll.BDP(G129, $E130))*1), "-", _xll.BDP(G129, $E130))</f>
        <v>-</v>
      </c>
      <c r="H130" s="46" t="str" cm="1">
        <f t="array" aca="1" ref="H130" ca="1">IF(ISERROR(_xlfn.SINGLE(_xll.BDP(H129, $E130))*1), "-", _xll.BDP(H129, $E130))</f>
        <v>-</v>
      </c>
      <c r="I130" s="46" t="str" cm="1">
        <f t="array" aca="1" ref="I130" ca="1">IF(ISERROR(_xlfn.SINGLE(_xll.BDP(I129, $E130))*1), "-", _xll.BDP(I129, $E130))</f>
        <v>-</v>
      </c>
      <c r="J130" s="46" t="str" cm="1">
        <f t="array" aca="1" ref="J130" ca="1">IF(ISERROR(_xlfn.SINGLE(_xll.BDP(J129, $E130))*1), "-", _xll.BDP(J129, $E130))</f>
        <v>-</v>
      </c>
      <c r="K130" s="46" t="str" cm="1">
        <f t="array" aca="1" ref="K130" ca="1">IF(ISERROR(_xlfn.SINGLE(_xll.BDP(K129, $E130))*1), "-", _xll.BDP(K129, $E130))</f>
        <v>-</v>
      </c>
      <c r="L130" s="46" t="str" cm="1">
        <f t="array" aca="1" ref="L130" ca="1">IF(ISERROR(_xlfn.SINGLE(_xll.BDP(L129, $E130))*1), "-", _xll.BDP(L129, $E130))</f>
        <v>-</v>
      </c>
      <c r="M130" s="46" t="str" cm="1">
        <f t="array" aca="1" ref="M130" ca="1">IF(ISERROR(_xlfn.SINGLE(_xll.BDP(M129, $E130))*1), "-", _xll.BDP(M129, $E130))</f>
        <v>-</v>
      </c>
      <c r="N130" s="46" t="str" cm="1">
        <f t="array" aca="1" ref="N130" ca="1">IF(ISERROR(_xlfn.SINGLE(_xll.BDP(N129, $E130))*1), "-", _xll.BDP(N129, $E130))</f>
        <v>-</v>
      </c>
      <c r="O130" s="46" t="str" cm="1">
        <f t="array" aca="1" ref="O130" ca="1">IF(ISERROR(_xlfn.SINGLE(_xll.BDP(O129, $E130))*1), "-", _xll.BDP(O129, $E130))</f>
        <v>-</v>
      </c>
      <c r="P130" s="46" t="str" cm="1">
        <f t="array" aca="1" ref="P130" ca="1">IF(ISERROR(_xlfn.SINGLE(_xll.BDP(P129, $E130))*1), "-", _xll.BDP(P129, $E130))</f>
        <v>-</v>
      </c>
      <c r="Q130" s="46" t="str" cm="1">
        <f t="array" aca="1" ref="Q130" ca="1">IF(ISERROR(_xlfn.SINGLE(_xll.BDP(Q129, $E130))*1), "-", _xll.BDP(Q129, $E130))</f>
        <v>-</v>
      </c>
      <c r="R130" s="46" t="str" cm="1">
        <f t="array" aca="1" ref="R130" ca="1">IF(ISERROR(_xlfn.SINGLE(_xll.BDP(R129, $E130))*1), "-", _xll.BDP(R129, $E130))</f>
        <v>-</v>
      </c>
      <c r="S130" s="46" t="str" cm="1">
        <f t="array" aca="1" ref="S130" ca="1">IF(ISERROR(_xlfn.SINGLE(_xll.BDP(S129, $E130))*1), "-", _xll.BDP(S129, $E130))</f>
        <v>-</v>
      </c>
      <c r="T130" s="46" t="str" cm="1">
        <f t="array" aca="1" ref="T130" ca="1">IF(ISERROR(_xlfn.SINGLE(_xll.BDP(T129, $E130))*1), "-", _xll.BDP(T129, $E130))</f>
        <v>-</v>
      </c>
      <c r="U130" s="46" t="str" cm="1">
        <f t="array" aca="1" ref="U130" ca="1">IF(ISERROR(_xlfn.SINGLE(_xll.BDP(U129, $E130))*1), "-", _xll.BDP(U129, $E130))</f>
        <v>-</v>
      </c>
      <c r="V130" s="46" t="str" cm="1">
        <f t="array" aca="1" ref="V130" ca="1">IF(ISERROR(_xlfn.SINGLE(_xll.BDP(V129, $E130))*1), "-", _xll.BDP(V129, $E130))</f>
        <v>-</v>
      </c>
      <c r="W130" s="46" t="str" cm="1">
        <f t="array" aca="1" ref="W130" ca="1">IF(ISERROR(_xlfn.SINGLE(_xll.BDP(W129, $E130))*1), "-", _xll.BDP(W129, $E130))</f>
        <v>-</v>
      </c>
      <c r="X130" s="46" t="str" cm="1">
        <f t="array" aca="1" ref="X130" ca="1">IF(ISERROR(_xlfn.SINGLE(_xll.BDP(X129, $E130))*1), "-", _xll.BDP(X129, $E130))</f>
        <v>-</v>
      </c>
      <c r="Y130" s="46" t="str" cm="1">
        <f t="array" aca="1" ref="Y130" ca="1">IF(ISERROR(_xlfn.SINGLE(_xll.BDP(Y129, $E130))*1), "-", _xll.BDP(Y129, $E130))</f>
        <v>-</v>
      </c>
      <c r="Z130" s="46" t="str" cm="1">
        <f t="array" aca="1" ref="Z130" ca="1">IF(ISERROR(_xlfn.SINGLE(_xll.BDP(Z129, $E130))*1), "-", _xll.BDP(Z129, $E130))</f>
        <v>-</v>
      </c>
      <c r="AA130" s="46" t="str" cm="1">
        <f t="array" aca="1" ref="AA130" ca="1">IF(ISERROR(_xlfn.SINGLE(_xll.BDP(AA129, $E130))*1), "-", _xll.BDP(AA129, $E130))</f>
        <v>-</v>
      </c>
      <c r="AB130" s="46" t="str" cm="1">
        <f t="array" aca="1" ref="AB130" ca="1">IF(ISERROR(_xlfn.SINGLE(_xll.BDP(AB129, $E130))*1), "-", _xll.BDP(AB129, $E130))</f>
        <v>-</v>
      </c>
      <c r="AC130" s="46" t="str" cm="1">
        <f t="array" aca="1" ref="AC130" ca="1">IF(ISERROR(_xlfn.SINGLE(_xll.BDP(AC129, $E130))*1), "-", _xll.BDP(AC129, $E130))</f>
        <v>-</v>
      </c>
      <c r="AD130" s="46" t="str" cm="1">
        <f t="array" aca="1" ref="AD130" ca="1">IF(ISERROR(_xlfn.SINGLE(_xll.BDP(AD129, $E130))*1), "-", _xll.BDP(AD129, $E130))</f>
        <v>-</v>
      </c>
      <c r="AE130" s="46" t="str" cm="1">
        <f t="array" aca="1" ref="AE130" ca="1">IF(ISERROR(_xlfn.SINGLE(_xll.BDP(AE129, $E130))*1), "-", _xll.BDP(AE129, $E130))</f>
        <v>-</v>
      </c>
      <c r="AF130" s="46" t="str" cm="1">
        <f t="array" aca="1" ref="AF130" ca="1">IF(ISERROR(_xlfn.SINGLE(_xll.BDP(AF129, $E130))*1), "-", _xll.BDP(AF129, $E130))</f>
        <v>-</v>
      </c>
      <c r="AG130" s="46" t="str" cm="1">
        <f t="array" aca="1" ref="AG130" ca="1">IF(ISERROR(_xlfn.SINGLE(_xll.BDP(AG129, $E130))*1), "-", _xll.BDP(AG129, $E130))</f>
        <v>-</v>
      </c>
      <c r="AH130" s="46" t="str" cm="1">
        <f t="array" aca="1" ref="AH130" ca="1">IF(ISERROR(_xlfn.SINGLE(_xll.BDP(AH129, $E130))*1), "-", _xll.BDP(AH129, $E130))</f>
        <v>-</v>
      </c>
      <c r="AI130" s="46" t="str" cm="1">
        <f t="array" aca="1" ref="AI130" ca="1">IF(ISERROR(_xlfn.SINGLE(_xll.BDP(AI129, $E130))*1), "-", _xll.BDP(AI129, $E130))</f>
        <v>-</v>
      </c>
      <c r="AJ130" s="46" t="str" cm="1">
        <f t="array" aca="1" ref="AJ130" ca="1">IF(ISERROR(_xlfn.SINGLE(_xll.BDP(AJ129, $E130))*1), "-", _xll.BDP(AJ129, $E130))</f>
        <v>-</v>
      </c>
      <c r="AK130" s="46" t="str" cm="1">
        <f t="array" aca="1" ref="AK130" ca="1">IF(ISERROR(_xlfn.SINGLE(_xll.BDP(AK129, $E130))*1), "-", _xll.BDP(AK129, $E130))</f>
        <v>-</v>
      </c>
      <c r="AL130" s="46" t="str" cm="1">
        <f t="array" aca="1" ref="AL130" ca="1">IF(ISERROR(_xlfn.SINGLE(_xll.BDP(AL129, $E130))*1), "-", _xll.BDP(AL129, $E130))</f>
        <v>-</v>
      </c>
      <c r="AM130" s="46" t="str" cm="1">
        <f t="array" aca="1" ref="AM130" ca="1">IF(ISERROR(_xlfn.SINGLE(_xll.BDP(AM129, $E130))*1), "-", _xll.BDP(AM129, $E130))</f>
        <v>-</v>
      </c>
      <c r="AN130" s="46" t="str" cm="1">
        <f t="array" aca="1" ref="AN130" ca="1">IF(ISERROR(_xlfn.SINGLE(_xll.BDP(AN129, $E130))*1), "-", _xll.BDP(AN129, $E130))</f>
        <v>-</v>
      </c>
      <c r="AO130" s="46" t="str" cm="1">
        <f t="array" aca="1" ref="AO130" ca="1">IF(ISERROR(_xlfn.SINGLE(_xll.BDP(AO129, $E130))*1), "-", _xll.BDP(AO129, $E130))</f>
        <v>-</v>
      </c>
      <c r="AP130" s="46" t="str" cm="1">
        <f t="array" aca="1" ref="AP130" ca="1">IF(ISERROR(_xlfn.SINGLE(_xll.BDP(AP129, $E130))*1), "-", _xll.BDP(AP129, $E130))</f>
        <v>-</v>
      </c>
      <c r="AQ130" s="46" t="str" cm="1">
        <f t="array" aca="1" ref="AQ130" ca="1">IF(ISERROR(_xlfn.SINGLE(_xll.BDP(AQ129, $E130))*1), "-", _xll.BDP(AQ129, $E130))</f>
        <v>-</v>
      </c>
      <c r="AR130" s="46" t="str" cm="1">
        <f t="array" aca="1" ref="AR130" ca="1">IF(ISERROR(_xlfn.SINGLE(_xll.BDP(AR129, $E130))*1), "-", _xll.BDP(AR129, $E130))</f>
        <v>-</v>
      </c>
      <c r="AS130" s="46" t="str" cm="1">
        <f t="array" aca="1" ref="AS130" ca="1">IF(ISERROR(_xlfn.SINGLE(_xll.BDP(AS129, $E130))*1), "-", _xll.BDP(AS129, $E130))</f>
        <v>-</v>
      </c>
      <c r="AT130" s="46" t="str" cm="1">
        <f t="array" aca="1" ref="AT130" ca="1">IF(ISERROR(_xlfn.SINGLE(_xll.BDP(AT129, $E130))*1), "-", _xll.BDP(AT129, $E130))</f>
        <v>-</v>
      </c>
      <c r="AU130" s="46" t="str" cm="1">
        <f t="array" aca="1" ref="AU130" ca="1">IF(ISERROR(_xlfn.SINGLE(_xll.BDP(AU129, $E130))*1), "-", _xll.BDP(AU129, $E130))</f>
        <v>-</v>
      </c>
      <c r="AV130" s="46" t="str" cm="1">
        <f t="array" aca="1" ref="AV130" ca="1">IF(ISERROR(_xlfn.SINGLE(_xll.BDP(AV129, $E130))*1), "-", _xll.BDP(AV129, $E130))</f>
        <v>-</v>
      </c>
      <c r="AW130" s="46" t="str" cm="1">
        <f t="array" aca="1" ref="AW130" ca="1">IF(ISERROR(_xlfn.SINGLE(_xll.BDP(AW129, $E130))*1), "-", _xll.BDP(AW129, $E130))</f>
        <v>-</v>
      </c>
      <c r="AX130" s="46" t="str" cm="1">
        <f t="array" aca="1" ref="AX130" ca="1">IF(ISERROR(_xlfn.SINGLE(_xll.BDP(AX129, $E130))*1), "-", _xll.BDP(AX129, $E130))</f>
        <v>-</v>
      </c>
      <c r="AY130" s="46" t="str" cm="1">
        <f t="array" aca="1" ref="AY130" ca="1">IF(ISERROR(_xlfn.SINGLE(_xll.BDP(AY129, $E130))*1), "-", _xll.BDP(AY129, $E130))</f>
        <v>-</v>
      </c>
      <c r="AZ130" s="46" t="str" cm="1">
        <f t="array" aca="1" ref="AZ130" ca="1">IF(ISERROR(_xlfn.SINGLE(_xll.BDP(AZ129, $E130))*1), "-", _xll.BDP(AZ129, $E130))</f>
        <v>-</v>
      </c>
      <c r="BA130" s="47" t="str" cm="1">
        <f t="array" aca="1" ref="BA130" ca="1">IF(ISERROR(_xlfn.SINGLE(_xll.BDP(BA129, $E130))*1), "-", _xll.BDP(BA129, $E130))</f>
        <v>-</v>
      </c>
    </row>
    <row r="131" spans="2:53" ht="15" hidden="1" customHeight="1"/>
    <row r="132" spans="2:53" ht="5.15" customHeight="1"/>
    <row r="133" spans="2:53" ht="15" customHeight="1">
      <c r="B133" s="38" t="s">
        <v>37</v>
      </c>
      <c r="C133" s="140" t="str">
        <f>trans_getMessage("","Curve Number",,LANG_ID)</f>
        <v>Curve Number</v>
      </c>
      <c r="D133" s="141"/>
      <c r="E133" s="142">
        <f>VLOOKUP(B133, 'Currency-Curve List'!$C$9:$E$103, 2, FALSE)</f>
        <v>10</v>
      </c>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4"/>
    </row>
    <row r="134" spans="2:53" ht="15" customHeight="1">
      <c r="C134" s="145" t="str">
        <f>trans_getMessage("","Curve Index",,LANG_ID)</f>
        <v>Curve Index</v>
      </c>
      <c r="D134" s="146"/>
      <c r="E134" s="147" t="str">
        <f>VLOOKUP(B133, 'Currency-Curve List'!$C$9:$E$103, 3, FALSE)</f>
        <v>YCSW0010 Index</v>
      </c>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9"/>
    </row>
    <row r="135" spans="2:53" ht="15" customHeight="1">
      <c r="C135" s="145" t="str">
        <f>trans_getMessage("","Curve Name",,LANG_ID)</f>
        <v>Curve Name</v>
      </c>
      <c r="D135" s="146"/>
      <c r="E135" s="150" t="e" cm="1">
        <f t="array" aca="1" ref="E135" ca="1">_xll.BDP(E134, "NAME")</f>
        <v>#NAME?</v>
      </c>
      <c r="F135" s="151"/>
      <c r="G135" s="151"/>
      <c r="H135" s="151"/>
      <c r="I135" s="151"/>
      <c r="J135" s="151"/>
      <c r="K135" s="151"/>
      <c r="L135" s="151"/>
      <c r="M135" s="151"/>
      <c r="N135" s="151"/>
      <c r="O135" s="151"/>
      <c r="P135" s="151"/>
      <c r="Q135" s="151"/>
      <c r="R135" s="151"/>
      <c r="S135" s="151"/>
      <c r="T135" s="151"/>
      <c r="U135" s="151"/>
      <c r="V135" s="151"/>
      <c r="W135" s="151"/>
      <c r="X135" s="151"/>
      <c r="Y135" s="151"/>
      <c r="Z135" s="151"/>
      <c r="AA135" s="151"/>
      <c r="AB135" s="151"/>
      <c r="AC135" s="151"/>
      <c r="AD135" s="151"/>
      <c r="AE135" s="151"/>
      <c r="AF135" s="151"/>
      <c r="AG135" s="151"/>
      <c r="AH135" s="151"/>
      <c r="AI135" s="151"/>
      <c r="AJ135" s="151"/>
      <c r="AK135" s="151"/>
      <c r="AL135" s="151"/>
      <c r="AM135" s="151"/>
      <c r="AN135" s="151"/>
      <c r="AO135" s="151"/>
      <c r="AP135" s="151"/>
      <c r="AQ135" s="151"/>
      <c r="AR135" s="151"/>
      <c r="AS135" s="151"/>
      <c r="AT135" s="151"/>
      <c r="AU135" s="151"/>
      <c r="AV135" s="151"/>
      <c r="AW135" s="151"/>
      <c r="AX135" s="151"/>
      <c r="AY135" s="151"/>
      <c r="AZ135" s="151"/>
      <c r="BA135" s="152"/>
    </row>
    <row r="136" spans="2:53" ht="15" customHeight="1">
      <c r="C136" s="145" t="str">
        <f>trans_getMessage("","Tenors",,LANG_ID)</f>
        <v>Tenors</v>
      </c>
      <c r="D136" s="146"/>
      <c r="E136" s="48" t="s">
        <v>50</v>
      </c>
      <c r="F136" s="42" t="e" cm="1">
        <f t="array" aca="1" ref="F136" ca="1">_xll.BDS(E134,E136,"Dir=H",)</f>
        <v>#NAME?</v>
      </c>
      <c r="G136" s="42"/>
      <c r="H136" s="42"/>
      <c r="I136" s="42"/>
      <c r="J136" s="42"/>
      <c r="K136" s="42"/>
      <c r="L136" s="42"/>
      <c r="M136" s="42"/>
      <c r="N136" s="42"/>
      <c r="O136" s="42"/>
      <c r="P136" s="42"/>
      <c r="Q136" s="42"/>
      <c r="R136" s="42"/>
      <c r="S136" s="42"/>
      <c r="T136" s="42"/>
      <c r="U136" s="42"/>
      <c r="V136" s="42"/>
      <c r="W136" s="42"/>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c r="AW136" s="42"/>
      <c r="AX136" s="42"/>
      <c r="AY136" s="42"/>
      <c r="AZ136" s="42"/>
      <c r="BA136" s="44"/>
    </row>
    <row r="137" spans="2:53" ht="15" hidden="1" customHeight="1">
      <c r="C137" s="145" t="s">
        <v>2211</v>
      </c>
      <c r="D137" s="146"/>
      <c r="E137" s="48"/>
      <c r="F137" s="42" t="e">
        <f ca="1">IF(F136="","",IF(F136="12M","1Y",IF(F136="24M","2Y",F136)))</f>
        <v>#NAME?</v>
      </c>
      <c r="G137" s="42" t="str">
        <f t="shared" ref="G137" si="518">IF(G136="","",IF(G136="12M","1Y",IF(G136="24M","2Y",G136)))</f>
        <v/>
      </c>
      <c r="H137" s="42" t="str">
        <f t="shared" ref="H137" si="519">IF(H136="","",IF(H136="12M","1Y",IF(H136="24M","2Y",H136)))</f>
        <v/>
      </c>
      <c r="I137" s="42" t="str">
        <f t="shared" ref="I137" si="520">IF(I136="","",IF(I136="12M","1Y",IF(I136="24M","2Y",I136)))</f>
        <v/>
      </c>
      <c r="J137" s="42" t="str">
        <f t="shared" ref="J137" si="521">IF(J136="","",IF(J136="12M","1Y",IF(J136="24M","2Y",J136)))</f>
        <v/>
      </c>
      <c r="K137" s="42" t="str">
        <f t="shared" ref="K137" si="522">IF(K136="","",IF(K136="12M","1Y",IF(K136="24M","2Y",K136)))</f>
        <v/>
      </c>
      <c r="L137" s="42" t="str">
        <f t="shared" ref="L137" si="523">IF(L136="","",IF(L136="12M","1Y",IF(L136="24M","2Y",L136)))</f>
        <v/>
      </c>
      <c r="M137" s="42" t="str">
        <f t="shared" ref="M137" si="524">IF(M136="","",IF(M136="12M","1Y",IF(M136="24M","2Y",M136)))</f>
        <v/>
      </c>
      <c r="N137" s="42" t="str">
        <f t="shared" ref="N137" si="525">IF(N136="","",IF(N136="12M","1Y",IF(N136="24M","2Y",N136)))</f>
        <v/>
      </c>
      <c r="O137" s="42" t="str">
        <f t="shared" ref="O137" si="526">IF(O136="","",IF(O136="12M","1Y",IF(O136="24M","2Y",O136)))</f>
        <v/>
      </c>
      <c r="P137" s="42" t="str">
        <f t="shared" ref="P137" si="527">IF(P136="","",IF(P136="12M","1Y",IF(P136="24M","2Y",P136)))</f>
        <v/>
      </c>
      <c r="Q137" s="42" t="str">
        <f t="shared" ref="Q137" si="528">IF(Q136="","",IF(Q136="12M","1Y",IF(Q136="24M","2Y",Q136)))</f>
        <v/>
      </c>
      <c r="R137" s="42" t="str">
        <f t="shared" ref="R137" si="529">IF(R136="","",IF(R136="12M","1Y",IF(R136="24M","2Y",R136)))</f>
        <v/>
      </c>
      <c r="S137" s="42" t="str">
        <f t="shared" ref="S137" si="530">IF(S136="","",IF(S136="12M","1Y",IF(S136="24M","2Y",S136)))</f>
        <v/>
      </c>
      <c r="T137" s="42" t="str">
        <f t="shared" ref="T137" si="531">IF(T136="","",IF(T136="12M","1Y",IF(T136="24M","2Y",T136)))</f>
        <v/>
      </c>
      <c r="U137" s="42" t="str">
        <f t="shared" ref="U137" si="532">IF(U136="","",IF(U136="12M","1Y",IF(U136="24M","2Y",U136)))</f>
        <v/>
      </c>
      <c r="V137" s="42" t="str">
        <f t="shared" ref="V137" si="533">IF(V136="","",IF(V136="12M","1Y",IF(V136="24M","2Y",V136)))</f>
        <v/>
      </c>
      <c r="W137" s="42" t="str">
        <f t="shared" ref="W137" si="534">IF(W136="","",IF(W136="12M","1Y",IF(W136="24M","2Y",W136)))</f>
        <v/>
      </c>
      <c r="X137" s="42" t="str">
        <f t="shared" ref="X137" si="535">IF(X136="","",IF(X136="12M","1Y",IF(X136="24M","2Y",X136)))</f>
        <v/>
      </c>
      <c r="Y137" s="42" t="str">
        <f t="shared" ref="Y137" si="536">IF(Y136="","",IF(Y136="12M","1Y",IF(Y136="24M","2Y",Y136)))</f>
        <v/>
      </c>
      <c r="Z137" s="42" t="str">
        <f t="shared" ref="Z137" si="537">IF(Z136="","",IF(Z136="12M","1Y",IF(Z136="24M","2Y",Z136)))</f>
        <v/>
      </c>
      <c r="AA137" s="42" t="str">
        <f t="shared" ref="AA137" si="538">IF(AA136="","",IF(AA136="12M","1Y",IF(AA136="24M","2Y",AA136)))</f>
        <v/>
      </c>
      <c r="AB137" s="42" t="str">
        <f t="shared" ref="AB137" si="539">IF(AB136="","",IF(AB136="12M","1Y",IF(AB136="24M","2Y",AB136)))</f>
        <v/>
      </c>
      <c r="AC137" s="42" t="str">
        <f t="shared" ref="AC137" si="540">IF(AC136="","",IF(AC136="12M","1Y",IF(AC136="24M","2Y",AC136)))</f>
        <v/>
      </c>
      <c r="AD137" s="42" t="str">
        <f t="shared" ref="AD137" si="541">IF(AD136="","",IF(AD136="12M","1Y",IF(AD136="24M","2Y",AD136)))</f>
        <v/>
      </c>
      <c r="AE137" s="42" t="str">
        <f t="shared" ref="AE137" si="542">IF(AE136="","",IF(AE136="12M","1Y",IF(AE136="24M","2Y",AE136)))</f>
        <v/>
      </c>
      <c r="AF137" s="42" t="str">
        <f t="shared" ref="AF137" si="543">IF(AF136="","",IF(AF136="12M","1Y",IF(AF136="24M","2Y",AF136)))</f>
        <v/>
      </c>
      <c r="AG137" s="42" t="str">
        <f t="shared" ref="AG137" si="544">IF(AG136="","",IF(AG136="12M","1Y",IF(AG136="24M","2Y",AG136)))</f>
        <v/>
      </c>
      <c r="AH137" s="42" t="str">
        <f t="shared" ref="AH137" si="545">IF(AH136="","",IF(AH136="12M","1Y",IF(AH136="24M","2Y",AH136)))</f>
        <v/>
      </c>
      <c r="AI137" s="42" t="str">
        <f t="shared" ref="AI137" si="546">IF(AI136="","",IF(AI136="12M","1Y",IF(AI136="24M","2Y",AI136)))</f>
        <v/>
      </c>
      <c r="AJ137" s="42" t="str">
        <f t="shared" ref="AJ137" si="547">IF(AJ136="","",IF(AJ136="12M","1Y",IF(AJ136="24M","2Y",AJ136)))</f>
        <v/>
      </c>
      <c r="AK137" s="42" t="str">
        <f t="shared" ref="AK137" si="548">IF(AK136="","",IF(AK136="12M","1Y",IF(AK136="24M","2Y",AK136)))</f>
        <v/>
      </c>
      <c r="AL137" s="42" t="str">
        <f t="shared" ref="AL137" si="549">IF(AL136="","",IF(AL136="12M","1Y",IF(AL136="24M","2Y",AL136)))</f>
        <v/>
      </c>
      <c r="AM137" s="42" t="str">
        <f t="shared" ref="AM137" si="550">IF(AM136="","",IF(AM136="12M","1Y",IF(AM136="24M","2Y",AM136)))</f>
        <v/>
      </c>
      <c r="AN137" s="42" t="str">
        <f t="shared" ref="AN137" si="551">IF(AN136="","",IF(AN136="12M","1Y",IF(AN136="24M","2Y",AN136)))</f>
        <v/>
      </c>
      <c r="AO137" s="42" t="str">
        <f t="shared" ref="AO137" si="552">IF(AO136="","",IF(AO136="12M","1Y",IF(AO136="24M","2Y",AO136)))</f>
        <v/>
      </c>
      <c r="AP137" s="42" t="str">
        <f t="shared" ref="AP137" si="553">IF(AP136="","",IF(AP136="12M","1Y",IF(AP136="24M","2Y",AP136)))</f>
        <v/>
      </c>
      <c r="AQ137" s="42" t="str">
        <f t="shared" ref="AQ137" si="554">IF(AQ136="","",IF(AQ136="12M","1Y",IF(AQ136="24M","2Y",AQ136)))</f>
        <v/>
      </c>
      <c r="AR137" s="42" t="str">
        <f t="shared" ref="AR137" si="555">IF(AR136="","",IF(AR136="12M","1Y",IF(AR136="24M","2Y",AR136)))</f>
        <v/>
      </c>
      <c r="AS137" s="42" t="str">
        <f t="shared" ref="AS137" si="556">IF(AS136="","",IF(AS136="12M","1Y",IF(AS136="24M","2Y",AS136)))</f>
        <v/>
      </c>
      <c r="AT137" s="42" t="str">
        <f t="shared" ref="AT137" si="557">IF(AT136="","",IF(AT136="12M","1Y",IF(AT136="24M","2Y",AT136)))</f>
        <v/>
      </c>
      <c r="AU137" s="42" t="str">
        <f t="shared" ref="AU137" si="558">IF(AU136="","",IF(AU136="12M","1Y",IF(AU136="24M","2Y",AU136)))</f>
        <v/>
      </c>
      <c r="AV137" s="42" t="str">
        <f t="shared" ref="AV137" si="559">IF(AV136="","",IF(AV136="12M","1Y",IF(AV136="24M","2Y",AV136)))</f>
        <v/>
      </c>
      <c r="AW137" s="42" t="str">
        <f t="shared" ref="AW137" si="560">IF(AW136="","",IF(AW136="12M","1Y",IF(AW136="24M","2Y",AW136)))</f>
        <v/>
      </c>
      <c r="AX137" s="42" t="str">
        <f t="shared" ref="AX137" si="561">IF(AX136="","",IF(AX136="12M","1Y",IF(AX136="24M","2Y",AX136)))</f>
        <v/>
      </c>
      <c r="AY137" s="42" t="str">
        <f t="shared" ref="AY137" si="562">IF(AY136="","",IF(AY136="12M","1Y",IF(AY136="24M","2Y",AY136)))</f>
        <v/>
      </c>
      <c r="AZ137" s="42" t="str">
        <f t="shared" ref="AZ137" si="563">IF(AZ136="","",IF(AZ136="12M","1Y",IF(AZ136="24M","2Y",AZ136)))</f>
        <v/>
      </c>
      <c r="BA137" s="42" t="str">
        <f t="shared" ref="BA137" si="564">IF(BA136="","",IF(BA136="12M","1Y",IF(BA136="24M","2Y",BA136)))</f>
        <v/>
      </c>
    </row>
    <row r="138" spans="2:53" s="41" customFormat="1" ht="15" customHeight="1">
      <c r="B138" s="7"/>
      <c r="C138" s="153" t="str">
        <f>trans_getMessage("","Name",,LANG_ID)</f>
        <v>Name</v>
      </c>
      <c r="D138" s="154"/>
      <c r="E138" s="49" t="s">
        <v>49</v>
      </c>
      <c r="F138" s="43" t="e" cm="1">
        <f t="array" aca="1" ref="F138" ca="1">IF(LEFT(_xlfn.SINGLE(_xll.BDP(F139, $E138)),1)="#", "-", _xll.BDP(F139, $E138))</f>
        <v>#NAME?</v>
      </c>
      <c r="G138" s="43" t="e" cm="1">
        <f t="array" aca="1" ref="G138" ca="1">IF(LEFT(_xlfn.SINGLE(_xll.BDP(G139, $E138)),1)="#", "-", _xll.BDP(G139, $E138))</f>
        <v>#NAME?</v>
      </c>
      <c r="H138" s="43" t="e" cm="1">
        <f t="array" aca="1" ref="H138" ca="1">IF(LEFT(_xlfn.SINGLE(_xll.BDP(H139, $E138)),1)="#", "-", _xll.BDP(H139, $E138))</f>
        <v>#NAME?</v>
      </c>
      <c r="I138" s="43" t="e" cm="1">
        <f t="array" aca="1" ref="I138" ca="1">IF(LEFT(_xlfn.SINGLE(_xll.BDP(I139, $E138)),1)="#", "-", _xll.BDP(I139, $E138))</f>
        <v>#NAME?</v>
      </c>
      <c r="J138" s="43" t="e" cm="1">
        <f t="array" aca="1" ref="J138" ca="1">IF(LEFT(_xlfn.SINGLE(_xll.BDP(J139, $E138)),1)="#", "-", _xll.BDP(J139, $E138))</f>
        <v>#NAME?</v>
      </c>
      <c r="K138" s="43" t="e" cm="1">
        <f t="array" aca="1" ref="K138" ca="1">IF(LEFT(_xlfn.SINGLE(_xll.BDP(K139, $E138)),1)="#", "-", _xll.BDP(K139, $E138))</f>
        <v>#NAME?</v>
      </c>
      <c r="L138" s="43" t="e" cm="1">
        <f t="array" aca="1" ref="L138" ca="1">IF(LEFT(_xlfn.SINGLE(_xll.BDP(L139, $E138)),1)="#", "-", _xll.BDP(L139, $E138))</f>
        <v>#NAME?</v>
      </c>
      <c r="M138" s="43" t="e" cm="1">
        <f t="array" aca="1" ref="M138" ca="1">IF(LEFT(_xlfn.SINGLE(_xll.BDP(M139, $E138)),1)="#", "-", _xll.BDP(M139, $E138))</f>
        <v>#NAME?</v>
      </c>
      <c r="N138" s="43" t="e" cm="1">
        <f t="array" aca="1" ref="N138" ca="1">IF(LEFT(_xlfn.SINGLE(_xll.BDP(N139, $E138)),1)="#", "-", _xll.BDP(N139, $E138))</f>
        <v>#NAME?</v>
      </c>
      <c r="O138" s="43" t="e" cm="1">
        <f t="array" aca="1" ref="O138" ca="1">IF(LEFT(_xlfn.SINGLE(_xll.BDP(O139, $E138)),1)="#", "-", _xll.BDP(O139, $E138))</f>
        <v>#NAME?</v>
      </c>
      <c r="P138" s="43" t="e" cm="1">
        <f t="array" aca="1" ref="P138" ca="1">IF(LEFT(_xlfn.SINGLE(_xll.BDP(P139, $E138)),1)="#", "-", _xll.BDP(P139, $E138))</f>
        <v>#NAME?</v>
      </c>
      <c r="Q138" s="43" t="e" cm="1">
        <f t="array" aca="1" ref="Q138" ca="1">IF(LEFT(_xlfn.SINGLE(_xll.BDP(Q139, $E138)),1)="#", "-", _xll.BDP(Q139, $E138))</f>
        <v>#NAME?</v>
      </c>
      <c r="R138" s="43" t="e" cm="1">
        <f t="array" aca="1" ref="R138" ca="1">IF(LEFT(_xlfn.SINGLE(_xll.BDP(R139, $E138)),1)="#", "-", _xll.BDP(R139, $E138))</f>
        <v>#NAME?</v>
      </c>
      <c r="S138" s="43" t="e" cm="1">
        <f t="array" aca="1" ref="S138" ca="1">IF(LEFT(_xlfn.SINGLE(_xll.BDP(S139, $E138)),1)="#", "-", _xll.BDP(S139, $E138))</f>
        <v>#NAME?</v>
      </c>
      <c r="T138" s="43" t="e" cm="1">
        <f t="array" aca="1" ref="T138" ca="1">IF(LEFT(_xlfn.SINGLE(_xll.BDP(T139, $E138)),1)="#", "-", _xll.BDP(T139, $E138))</f>
        <v>#NAME?</v>
      </c>
      <c r="U138" s="43" t="e" cm="1">
        <f t="array" aca="1" ref="U138" ca="1">IF(LEFT(_xlfn.SINGLE(_xll.BDP(U139, $E138)),1)="#", "-", _xll.BDP(U139, $E138))</f>
        <v>#NAME?</v>
      </c>
      <c r="V138" s="43" t="e" cm="1">
        <f t="array" aca="1" ref="V138" ca="1">IF(LEFT(_xlfn.SINGLE(_xll.BDP(V139, $E138)),1)="#", "-", _xll.BDP(V139, $E138))</f>
        <v>#NAME?</v>
      </c>
      <c r="W138" s="43" t="e" cm="1">
        <f t="array" aca="1" ref="W138" ca="1">IF(LEFT(_xlfn.SINGLE(_xll.BDP(W139, $E138)),1)="#", "-", _xll.BDP(W139, $E138))</f>
        <v>#NAME?</v>
      </c>
      <c r="X138" s="43" t="e" cm="1">
        <f t="array" aca="1" ref="X138" ca="1">IF(LEFT(_xlfn.SINGLE(_xll.BDP(X139, $E138)),1)="#", "-", _xll.BDP(X139, $E138))</f>
        <v>#NAME?</v>
      </c>
      <c r="Y138" s="43" t="e" cm="1">
        <f t="array" aca="1" ref="Y138" ca="1">IF(LEFT(_xlfn.SINGLE(_xll.BDP(Y139, $E138)),1)="#", "-", _xll.BDP(Y139, $E138))</f>
        <v>#NAME?</v>
      </c>
      <c r="Z138" s="43" t="e" cm="1">
        <f t="array" aca="1" ref="Z138" ca="1">IF(LEFT(_xlfn.SINGLE(_xll.BDP(Z139, $E138)),1)="#", "-", _xll.BDP(Z139, $E138))</f>
        <v>#NAME?</v>
      </c>
      <c r="AA138" s="43" t="e" cm="1">
        <f t="array" aca="1" ref="AA138" ca="1">IF(LEFT(_xlfn.SINGLE(_xll.BDP(AA139, $E138)),1)="#", "-", _xll.BDP(AA139, $E138))</f>
        <v>#NAME?</v>
      </c>
      <c r="AB138" s="43" t="e" cm="1">
        <f t="array" aca="1" ref="AB138" ca="1">IF(LEFT(_xlfn.SINGLE(_xll.BDP(AB139, $E138)),1)="#", "-", _xll.BDP(AB139, $E138))</f>
        <v>#NAME?</v>
      </c>
      <c r="AC138" s="43" t="e" cm="1">
        <f t="array" aca="1" ref="AC138" ca="1">IF(LEFT(_xlfn.SINGLE(_xll.BDP(AC139, $E138)),1)="#", "-", _xll.BDP(AC139, $E138))</f>
        <v>#NAME?</v>
      </c>
      <c r="AD138" s="43" t="e" cm="1">
        <f t="array" aca="1" ref="AD138" ca="1">IF(LEFT(_xlfn.SINGLE(_xll.BDP(AD139, $E138)),1)="#", "-", _xll.BDP(AD139, $E138))</f>
        <v>#NAME?</v>
      </c>
      <c r="AE138" s="43" t="e" cm="1">
        <f t="array" aca="1" ref="AE138" ca="1">IF(LEFT(_xlfn.SINGLE(_xll.BDP(AE139, $E138)),1)="#", "-", _xll.BDP(AE139, $E138))</f>
        <v>#NAME?</v>
      </c>
      <c r="AF138" s="43" t="e" cm="1">
        <f t="array" aca="1" ref="AF138" ca="1">IF(LEFT(_xlfn.SINGLE(_xll.BDP(AF139, $E138)),1)="#", "-", _xll.BDP(AF139, $E138))</f>
        <v>#NAME?</v>
      </c>
      <c r="AG138" s="43" t="e" cm="1">
        <f t="array" aca="1" ref="AG138" ca="1">IF(LEFT(_xlfn.SINGLE(_xll.BDP(AG139, $E138)),1)="#", "-", _xll.BDP(AG139, $E138))</f>
        <v>#NAME?</v>
      </c>
      <c r="AH138" s="43" t="e" cm="1">
        <f t="array" aca="1" ref="AH138" ca="1">IF(LEFT(_xlfn.SINGLE(_xll.BDP(AH139, $E138)),1)="#", "-", _xll.BDP(AH139, $E138))</f>
        <v>#NAME?</v>
      </c>
      <c r="AI138" s="43" t="e" cm="1">
        <f t="array" aca="1" ref="AI138" ca="1">IF(LEFT(_xlfn.SINGLE(_xll.BDP(AI139, $E138)),1)="#", "-", _xll.BDP(AI139, $E138))</f>
        <v>#NAME?</v>
      </c>
      <c r="AJ138" s="43" t="e" cm="1">
        <f t="array" aca="1" ref="AJ138" ca="1">IF(LEFT(_xlfn.SINGLE(_xll.BDP(AJ139, $E138)),1)="#", "-", _xll.BDP(AJ139, $E138))</f>
        <v>#NAME?</v>
      </c>
      <c r="AK138" s="43" t="e" cm="1">
        <f t="array" aca="1" ref="AK138" ca="1">IF(LEFT(_xlfn.SINGLE(_xll.BDP(AK139, $E138)),1)="#", "-", _xll.BDP(AK139, $E138))</f>
        <v>#NAME?</v>
      </c>
      <c r="AL138" s="43" t="e" cm="1">
        <f t="array" aca="1" ref="AL138" ca="1">IF(LEFT(_xlfn.SINGLE(_xll.BDP(AL139, $E138)),1)="#", "-", _xll.BDP(AL139, $E138))</f>
        <v>#NAME?</v>
      </c>
      <c r="AM138" s="43" t="e" cm="1">
        <f t="array" aca="1" ref="AM138" ca="1">IF(LEFT(_xlfn.SINGLE(_xll.BDP(AM139, $E138)),1)="#", "-", _xll.BDP(AM139, $E138))</f>
        <v>#NAME?</v>
      </c>
      <c r="AN138" s="43" t="e" cm="1">
        <f t="array" aca="1" ref="AN138" ca="1">IF(LEFT(_xlfn.SINGLE(_xll.BDP(AN139, $E138)),1)="#", "-", _xll.BDP(AN139, $E138))</f>
        <v>#NAME?</v>
      </c>
      <c r="AO138" s="43" t="e" cm="1">
        <f t="array" aca="1" ref="AO138" ca="1">IF(LEFT(_xlfn.SINGLE(_xll.BDP(AO139, $E138)),1)="#", "-", _xll.BDP(AO139, $E138))</f>
        <v>#NAME?</v>
      </c>
      <c r="AP138" s="43" t="e" cm="1">
        <f t="array" aca="1" ref="AP138" ca="1">IF(LEFT(_xlfn.SINGLE(_xll.BDP(AP139, $E138)),1)="#", "-", _xll.BDP(AP139, $E138))</f>
        <v>#NAME?</v>
      </c>
      <c r="AQ138" s="43" t="e" cm="1">
        <f t="array" aca="1" ref="AQ138" ca="1">IF(LEFT(_xlfn.SINGLE(_xll.BDP(AQ139, $E138)),1)="#", "-", _xll.BDP(AQ139, $E138))</f>
        <v>#NAME?</v>
      </c>
      <c r="AR138" s="43" t="e" cm="1">
        <f t="array" aca="1" ref="AR138" ca="1">IF(LEFT(_xlfn.SINGLE(_xll.BDP(AR139, $E138)),1)="#", "-", _xll.BDP(AR139, $E138))</f>
        <v>#NAME?</v>
      </c>
      <c r="AS138" s="43" t="e" cm="1">
        <f t="array" aca="1" ref="AS138" ca="1">IF(LEFT(_xlfn.SINGLE(_xll.BDP(AS139, $E138)),1)="#", "-", _xll.BDP(AS139, $E138))</f>
        <v>#NAME?</v>
      </c>
      <c r="AT138" s="43" t="e" cm="1">
        <f t="array" aca="1" ref="AT138" ca="1">IF(LEFT(_xlfn.SINGLE(_xll.BDP(AT139, $E138)),1)="#", "-", _xll.BDP(AT139, $E138))</f>
        <v>#NAME?</v>
      </c>
      <c r="AU138" s="43" t="e" cm="1">
        <f t="array" aca="1" ref="AU138" ca="1">IF(LEFT(_xlfn.SINGLE(_xll.BDP(AU139, $E138)),1)="#", "-", _xll.BDP(AU139, $E138))</f>
        <v>#NAME?</v>
      </c>
      <c r="AV138" s="43" t="e" cm="1">
        <f t="array" aca="1" ref="AV138" ca="1">IF(LEFT(_xlfn.SINGLE(_xll.BDP(AV139, $E138)),1)="#", "-", _xll.BDP(AV139, $E138))</f>
        <v>#NAME?</v>
      </c>
      <c r="AW138" s="43" t="e" cm="1">
        <f t="array" aca="1" ref="AW138" ca="1">IF(LEFT(_xlfn.SINGLE(_xll.BDP(AW139, $E138)),1)="#", "-", _xll.BDP(AW139, $E138))</f>
        <v>#NAME?</v>
      </c>
      <c r="AX138" s="43" t="e" cm="1">
        <f t="array" aca="1" ref="AX138" ca="1">IF(LEFT(_xlfn.SINGLE(_xll.BDP(AX139, $E138)),1)="#", "-", _xll.BDP(AX139, $E138))</f>
        <v>#NAME?</v>
      </c>
      <c r="AY138" s="43" t="e" cm="1">
        <f t="array" aca="1" ref="AY138" ca="1">IF(LEFT(_xlfn.SINGLE(_xll.BDP(AY139, $E138)),1)="#", "-", _xll.BDP(AY139, $E138))</f>
        <v>#NAME?</v>
      </c>
      <c r="AZ138" s="43" t="e" cm="1">
        <f t="array" aca="1" ref="AZ138" ca="1">IF(LEFT(_xlfn.SINGLE(_xll.BDP(AZ139, $E138)),1)="#", "-", _xll.BDP(AZ139, $E138))</f>
        <v>#NAME?</v>
      </c>
      <c r="BA138" s="45" t="e" cm="1">
        <f t="array" aca="1" ref="BA138" ca="1">IF(LEFT(_xlfn.SINGLE(_xll.BDP(BA139, $E138)),1)="#", "-", _xll.BDP(BA139, $E138))</f>
        <v>#NAME?</v>
      </c>
    </row>
    <row r="139" spans="2:53" ht="15" customHeight="1">
      <c r="B139" s="40"/>
      <c r="C139" s="145" t="str">
        <f>trans_getMessage("","Curve Tickers",,LANG_ID)</f>
        <v>Curve Tickers</v>
      </c>
      <c r="D139" s="146"/>
      <c r="E139" s="50" t="s">
        <v>46</v>
      </c>
      <c r="F139" s="42" t="e" cm="1">
        <f t="array" aca="1" ref="F139" ca="1">_xll.BDS(E134,E139,"Dir=H",)</f>
        <v>#NAME?</v>
      </c>
      <c r="G139" s="42"/>
      <c r="H139" s="42"/>
      <c r="I139" s="42"/>
      <c r="J139" s="42"/>
      <c r="K139" s="42"/>
      <c r="L139" s="42"/>
      <c r="M139" s="42"/>
      <c r="N139" s="42"/>
      <c r="O139" s="42"/>
      <c r="P139" s="42"/>
      <c r="Q139" s="42"/>
      <c r="R139" s="42"/>
      <c r="S139" s="42"/>
      <c r="T139" s="42"/>
      <c r="U139" s="42"/>
      <c r="V139" s="42"/>
      <c r="W139" s="42"/>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c r="AW139" s="42"/>
      <c r="AX139" s="42"/>
      <c r="AY139" s="42"/>
      <c r="AZ139" s="42"/>
      <c r="BA139" s="44"/>
    </row>
    <row r="140" spans="2:53" ht="15" customHeight="1">
      <c r="C140" s="138" t="str">
        <f>trans_getMessage("","Rate",,LANG_ID)</f>
        <v>Rate</v>
      </c>
      <c r="D140" s="139"/>
      <c r="E140" s="51" t="s">
        <v>44</v>
      </c>
      <c r="F140" s="46" t="str" cm="1">
        <f t="array" aca="1" ref="F140" ca="1">IF(ISERROR(_xlfn.SINGLE(_xll.BDP(F139, $E140))*1), "-", _xll.BDP(F139, $E140))</f>
        <v>-</v>
      </c>
      <c r="G140" s="46" t="str" cm="1">
        <f t="array" aca="1" ref="G140" ca="1">IF(ISERROR(_xlfn.SINGLE(_xll.BDP(G139, $E140))*1), "-", _xll.BDP(G139, $E140))</f>
        <v>-</v>
      </c>
      <c r="H140" s="46" t="str" cm="1">
        <f t="array" aca="1" ref="H140" ca="1">IF(ISERROR(_xlfn.SINGLE(_xll.BDP(H139, $E140))*1), "-", _xll.BDP(H139, $E140))</f>
        <v>-</v>
      </c>
      <c r="I140" s="46" t="str" cm="1">
        <f t="array" aca="1" ref="I140" ca="1">IF(ISERROR(_xlfn.SINGLE(_xll.BDP(I139, $E140))*1), "-", _xll.BDP(I139, $E140))</f>
        <v>-</v>
      </c>
      <c r="J140" s="46" t="str" cm="1">
        <f t="array" aca="1" ref="J140" ca="1">IF(ISERROR(_xlfn.SINGLE(_xll.BDP(J139, $E140))*1), "-", _xll.BDP(J139, $E140))</f>
        <v>-</v>
      </c>
      <c r="K140" s="46" t="str" cm="1">
        <f t="array" aca="1" ref="K140" ca="1">IF(ISERROR(_xlfn.SINGLE(_xll.BDP(K139, $E140))*1), "-", _xll.BDP(K139, $E140))</f>
        <v>-</v>
      </c>
      <c r="L140" s="46" t="str" cm="1">
        <f t="array" aca="1" ref="L140" ca="1">IF(ISERROR(_xlfn.SINGLE(_xll.BDP(L139, $E140))*1), "-", _xll.BDP(L139, $E140))</f>
        <v>-</v>
      </c>
      <c r="M140" s="46" t="str" cm="1">
        <f t="array" aca="1" ref="M140" ca="1">IF(ISERROR(_xlfn.SINGLE(_xll.BDP(M139, $E140))*1), "-", _xll.BDP(M139, $E140))</f>
        <v>-</v>
      </c>
      <c r="N140" s="46" t="str" cm="1">
        <f t="array" aca="1" ref="N140" ca="1">IF(ISERROR(_xlfn.SINGLE(_xll.BDP(N139, $E140))*1), "-", _xll.BDP(N139, $E140))</f>
        <v>-</v>
      </c>
      <c r="O140" s="46" t="str" cm="1">
        <f t="array" aca="1" ref="O140" ca="1">IF(ISERROR(_xlfn.SINGLE(_xll.BDP(O139, $E140))*1), "-", _xll.BDP(O139, $E140))</f>
        <v>-</v>
      </c>
      <c r="P140" s="46" t="str" cm="1">
        <f t="array" aca="1" ref="P140" ca="1">IF(ISERROR(_xlfn.SINGLE(_xll.BDP(P139, $E140))*1), "-", _xll.BDP(P139, $E140))</f>
        <v>-</v>
      </c>
      <c r="Q140" s="46" t="str" cm="1">
        <f t="array" aca="1" ref="Q140" ca="1">IF(ISERROR(_xlfn.SINGLE(_xll.BDP(Q139, $E140))*1), "-", _xll.BDP(Q139, $E140))</f>
        <v>-</v>
      </c>
      <c r="R140" s="46" t="str" cm="1">
        <f t="array" aca="1" ref="R140" ca="1">IF(ISERROR(_xlfn.SINGLE(_xll.BDP(R139, $E140))*1), "-", _xll.BDP(R139, $E140))</f>
        <v>-</v>
      </c>
      <c r="S140" s="46" t="str" cm="1">
        <f t="array" aca="1" ref="S140" ca="1">IF(ISERROR(_xlfn.SINGLE(_xll.BDP(S139, $E140))*1), "-", _xll.BDP(S139, $E140))</f>
        <v>-</v>
      </c>
      <c r="T140" s="46" t="str" cm="1">
        <f t="array" aca="1" ref="T140" ca="1">IF(ISERROR(_xlfn.SINGLE(_xll.BDP(T139, $E140))*1), "-", _xll.BDP(T139, $E140))</f>
        <v>-</v>
      </c>
      <c r="U140" s="46" t="str" cm="1">
        <f t="array" aca="1" ref="U140" ca="1">IF(ISERROR(_xlfn.SINGLE(_xll.BDP(U139, $E140))*1), "-", _xll.BDP(U139, $E140))</f>
        <v>-</v>
      </c>
      <c r="V140" s="46" t="str" cm="1">
        <f t="array" aca="1" ref="V140" ca="1">IF(ISERROR(_xlfn.SINGLE(_xll.BDP(V139, $E140))*1), "-", _xll.BDP(V139, $E140))</f>
        <v>-</v>
      </c>
      <c r="W140" s="46" t="str" cm="1">
        <f t="array" aca="1" ref="W140" ca="1">IF(ISERROR(_xlfn.SINGLE(_xll.BDP(W139, $E140))*1), "-", _xll.BDP(W139, $E140))</f>
        <v>-</v>
      </c>
      <c r="X140" s="46" t="str" cm="1">
        <f t="array" aca="1" ref="X140" ca="1">IF(ISERROR(_xlfn.SINGLE(_xll.BDP(X139, $E140))*1), "-", _xll.BDP(X139, $E140))</f>
        <v>-</v>
      </c>
      <c r="Y140" s="46" t="str" cm="1">
        <f t="array" aca="1" ref="Y140" ca="1">IF(ISERROR(_xlfn.SINGLE(_xll.BDP(Y139, $E140))*1), "-", _xll.BDP(Y139, $E140))</f>
        <v>-</v>
      </c>
      <c r="Z140" s="46" t="str" cm="1">
        <f t="array" aca="1" ref="Z140" ca="1">IF(ISERROR(_xlfn.SINGLE(_xll.BDP(Z139, $E140))*1), "-", _xll.BDP(Z139, $E140))</f>
        <v>-</v>
      </c>
      <c r="AA140" s="46" t="str" cm="1">
        <f t="array" aca="1" ref="AA140" ca="1">IF(ISERROR(_xlfn.SINGLE(_xll.BDP(AA139, $E140))*1), "-", _xll.BDP(AA139, $E140))</f>
        <v>-</v>
      </c>
      <c r="AB140" s="46" t="str" cm="1">
        <f t="array" aca="1" ref="AB140" ca="1">IF(ISERROR(_xlfn.SINGLE(_xll.BDP(AB139, $E140))*1), "-", _xll.BDP(AB139, $E140))</f>
        <v>-</v>
      </c>
      <c r="AC140" s="46" t="str" cm="1">
        <f t="array" aca="1" ref="AC140" ca="1">IF(ISERROR(_xlfn.SINGLE(_xll.BDP(AC139, $E140))*1), "-", _xll.BDP(AC139, $E140))</f>
        <v>-</v>
      </c>
      <c r="AD140" s="46" t="str" cm="1">
        <f t="array" aca="1" ref="AD140" ca="1">IF(ISERROR(_xlfn.SINGLE(_xll.BDP(AD139, $E140))*1), "-", _xll.BDP(AD139, $E140))</f>
        <v>-</v>
      </c>
      <c r="AE140" s="46" t="str" cm="1">
        <f t="array" aca="1" ref="AE140" ca="1">IF(ISERROR(_xlfn.SINGLE(_xll.BDP(AE139, $E140))*1), "-", _xll.BDP(AE139, $E140))</f>
        <v>-</v>
      </c>
      <c r="AF140" s="46" t="str" cm="1">
        <f t="array" aca="1" ref="AF140" ca="1">IF(ISERROR(_xlfn.SINGLE(_xll.BDP(AF139, $E140))*1), "-", _xll.BDP(AF139, $E140))</f>
        <v>-</v>
      </c>
      <c r="AG140" s="46" t="str" cm="1">
        <f t="array" aca="1" ref="AG140" ca="1">IF(ISERROR(_xlfn.SINGLE(_xll.BDP(AG139, $E140))*1), "-", _xll.BDP(AG139, $E140))</f>
        <v>-</v>
      </c>
      <c r="AH140" s="46" t="str" cm="1">
        <f t="array" aca="1" ref="AH140" ca="1">IF(ISERROR(_xlfn.SINGLE(_xll.BDP(AH139, $E140))*1), "-", _xll.BDP(AH139, $E140))</f>
        <v>-</v>
      </c>
      <c r="AI140" s="46" t="str" cm="1">
        <f t="array" aca="1" ref="AI140" ca="1">IF(ISERROR(_xlfn.SINGLE(_xll.BDP(AI139, $E140))*1), "-", _xll.BDP(AI139, $E140))</f>
        <v>-</v>
      </c>
      <c r="AJ140" s="46" t="str" cm="1">
        <f t="array" aca="1" ref="AJ140" ca="1">IF(ISERROR(_xlfn.SINGLE(_xll.BDP(AJ139, $E140))*1), "-", _xll.BDP(AJ139, $E140))</f>
        <v>-</v>
      </c>
      <c r="AK140" s="46" t="str" cm="1">
        <f t="array" aca="1" ref="AK140" ca="1">IF(ISERROR(_xlfn.SINGLE(_xll.BDP(AK139, $E140))*1), "-", _xll.BDP(AK139, $E140))</f>
        <v>-</v>
      </c>
      <c r="AL140" s="46" t="str" cm="1">
        <f t="array" aca="1" ref="AL140" ca="1">IF(ISERROR(_xlfn.SINGLE(_xll.BDP(AL139, $E140))*1), "-", _xll.BDP(AL139, $E140))</f>
        <v>-</v>
      </c>
      <c r="AM140" s="46" t="str" cm="1">
        <f t="array" aca="1" ref="AM140" ca="1">IF(ISERROR(_xlfn.SINGLE(_xll.BDP(AM139, $E140))*1), "-", _xll.BDP(AM139, $E140))</f>
        <v>-</v>
      </c>
      <c r="AN140" s="46" t="str" cm="1">
        <f t="array" aca="1" ref="AN140" ca="1">IF(ISERROR(_xlfn.SINGLE(_xll.BDP(AN139, $E140))*1), "-", _xll.BDP(AN139, $E140))</f>
        <v>-</v>
      </c>
      <c r="AO140" s="46" t="str" cm="1">
        <f t="array" aca="1" ref="AO140" ca="1">IF(ISERROR(_xlfn.SINGLE(_xll.BDP(AO139, $E140))*1), "-", _xll.BDP(AO139, $E140))</f>
        <v>-</v>
      </c>
      <c r="AP140" s="46" t="str" cm="1">
        <f t="array" aca="1" ref="AP140" ca="1">IF(ISERROR(_xlfn.SINGLE(_xll.BDP(AP139, $E140))*1), "-", _xll.BDP(AP139, $E140))</f>
        <v>-</v>
      </c>
      <c r="AQ140" s="46" t="str" cm="1">
        <f t="array" aca="1" ref="AQ140" ca="1">IF(ISERROR(_xlfn.SINGLE(_xll.BDP(AQ139, $E140))*1), "-", _xll.BDP(AQ139, $E140))</f>
        <v>-</v>
      </c>
      <c r="AR140" s="46" t="str" cm="1">
        <f t="array" aca="1" ref="AR140" ca="1">IF(ISERROR(_xlfn.SINGLE(_xll.BDP(AR139, $E140))*1), "-", _xll.BDP(AR139, $E140))</f>
        <v>-</v>
      </c>
      <c r="AS140" s="46" t="str" cm="1">
        <f t="array" aca="1" ref="AS140" ca="1">IF(ISERROR(_xlfn.SINGLE(_xll.BDP(AS139, $E140))*1), "-", _xll.BDP(AS139, $E140))</f>
        <v>-</v>
      </c>
      <c r="AT140" s="46" t="str" cm="1">
        <f t="array" aca="1" ref="AT140" ca="1">IF(ISERROR(_xlfn.SINGLE(_xll.BDP(AT139, $E140))*1), "-", _xll.BDP(AT139, $E140))</f>
        <v>-</v>
      </c>
      <c r="AU140" s="46" t="str" cm="1">
        <f t="array" aca="1" ref="AU140" ca="1">IF(ISERROR(_xlfn.SINGLE(_xll.BDP(AU139, $E140))*1), "-", _xll.BDP(AU139, $E140))</f>
        <v>-</v>
      </c>
      <c r="AV140" s="46" t="str" cm="1">
        <f t="array" aca="1" ref="AV140" ca="1">IF(ISERROR(_xlfn.SINGLE(_xll.BDP(AV139, $E140))*1), "-", _xll.BDP(AV139, $E140))</f>
        <v>-</v>
      </c>
      <c r="AW140" s="46" t="str" cm="1">
        <f t="array" aca="1" ref="AW140" ca="1">IF(ISERROR(_xlfn.SINGLE(_xll.BDP(AW139, $E140))*1), "-", _xll.BDP(AW139, $E140))</f>
        <v>-</v>
      </c>
      <c r="AX140" s="46" t="str" cm="1">
        <f t="array" aca="1" ref="AX140" ca="1">IF(ISERROR(_xlfn.SINGLE(_xll.BDP(AX139, $E140))*1), "-", _xll.BDP(AX139, $E140))</f>
        <v>-</v>
      </c>
      <c r="AY140" s="46" t="str" cm="1">
        <f t="array" aca="1" ref="AY140" ca="1">IF(ISERROR(_xlfn.SINGLE(_xll.BDP(AY139, $E140))*1), "-", _xll.BDP(AY139, $E140))</f>
        <v>-</v>
      </c>
      <c r="AZ140" s="46" t="str" cm="1">
        <f t="array" aca="1" ref="AZ140" ca="1">IF(ISERROR(_xlfn.SINGLE(_xll.BDP(AZ139, $E140))*1), "-", _xll.BDP(AZ139, $E140))</f>
        <v>-</v>
      </c>
      <c r="BA140" s="47" t="str" cm="1">
        <f t="array" aca="1" ref="BA140" ca="1">IF(ISERROR(_xlfn.SINGLE(_xll.BDP(BA139, $E140))*1), "-", _xll.BDP(BA139, $E140))</f>
        <v>-</v>
      </c>
    </row>
    <row r="141" spans="2:53" ht="15" hidden="1" customHeight="1"/>
    <row r="142" spans="2:53" ht="5.15" customHeight="1"/>
    <row r="143" spans="2:53" ht="15" customHeight="1">
      <c r="B143" s="38" t="s">
        <v>88</v>
      </c>
      <c r="C143" s="140" t="str">
        <f>trans_getMessage("","Curve Number",,LANG_ID)</f>
        <v>Curve Number</v>
      </c>
      <c r="D143" s="141"/>
      <c r="E143" s="142">
        <f>VLOOKUP(B143, 'Currency-Curve List'!$C$9:$E$103, 2, FALSE)</f>
        <v>325</v>
      </c>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4"/>
    </row>
    <row r="144" spans="2:53" ht="15" customHeight="1">
      <c r="C144" s="145" t="str">
        <f>trans_getMessage("","Curve Index",,LANG_ID)</f>
        <v>Curve Index</v>
      </c>
      <c r="D144" s="146"/>
      <c r="E144" s="147" t="str">
        <f>VLOOKUP(B143, 'Currency-Curve List'!$C$9:$E$103, 3, FALSE)</f>
        <v>YCSW0325 Index</v>
      </c>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9"/>
    </row>
    <row r="145" spans="2:53" ht="15" customHeight="1">
      <c r="C145" s="145" t="str">
        <f>trans_getMessage("","Curve Name",,LANG_ID)</f>
        <v>Curve Name</v>
      </c>
      <c r="D145" s="146"/>
      <c r="E145" s="150" t="e" cm="1">
        <f t="array" aca="1" ref="E145" ca="1">_xll.BDP(E144, "NAME")</f>
        <v>#NAME?</v>
      </c>
      <c r="F145" s="151"/>
      <c r="G145" s="151"/>
      <c r="H145" s="151"/>
      <c r="I145" s="151"/>
      <c r="J145" s="151"/>
      <c r="K145" s="151"/>
      <c r="L145" s="151"/>
      <c r="M145" s="151"/>
      <c r="N145" s="151"/>
      <c r="O145" s="151"/>
      <c r="P145" s="151"/>
      <c r="Q145" s="151"/>
      <c r="R145" s="151"/>
      <c r="S145" s="151"/>
      <c r="T145" s="151"/>
      <c r="U145" s="151"/>
      <c r="V145" s="151"/>
      <c r="W145" s="151"/>
      <c r="X145" s="151"/>
      <c r="Y145" s="151"/>
      <c r="Z145" s="151"/>
      <c r="AA145" s="151"/>
      <c r="AB145" s="151"/>
      <c r="AC145" s="151"/>
      <c r="AD145" s="151"/>
      <c r="AE145" s="151"/>
      <c r="AF145" s="151"/>
      <c r="AG145" s="151"/>
      <c r="AH145" s="151"/>
      <c r="AI145" s="151"/>
      <c r="AJ145" s="151"/>
      <c r="AK145" s="151"/>
      <c r="AL145" s="151"/>
      <c r="AM145" s="151"/>
      <c r="AN145" s="151"/>
      <c r="AO145" s="151"/>
      <c r="AP145" s="151"/>
      <c r="AQ145" s="151"/>
      <c r="AR145" s="151"/>
      <c r="AS145" s="151"/>
      <c r="AT145" s="151"/>
      <c r="AU145" s="151"/>
      <c r="AV145" s="151"/>
      <c r="AW145" s="151"/>
      <c r="AX145" s="151"/>
      <c r="AY145" s="151"/>
      <c r="AZ145" s="151"/>
      <c r="BA145" s="152"/>
    </row>
    <row r="146" spans="2:53" ht="15" customHeight="1">
      <c r="C146" s="145" t="str">
        <f>trans_getMessage("","Tenors",,LANG_ID)</f>
        <v>Tenors</v>
      </c>
      <c r="D146" s="146"/>
      <c r="E146" s="48" t="s">
        <v>50</v>
      </c>
      <c r="F146" s="42" t="e" cm="1">
        <f t="array" aca="1" ref="F146" ca="1">_xll.BDS(E144,E146,"Dir=H",)</f>
        <v>#NAME?</v>
      </c>
      <c r="G146" s="42"/>
      <c r="H146" s="42"/>
      <c r="I146" s="42"/>
      <c r="J146" s="42"/>
      <c r="K146" s="42"/>
      <c r="L146" s="42"/>
      <c r="M146" s="42"/>
      <c r="N146" s="42"/>
      <c r="O146" s="42"/>
      <c r="P146" s="42"/>
      <c r="Q146" s="42"/>
      <c r="R146" s="42"/>
      <c r="S146" s="42"/>
      <c r="T146" s="42"/>
      <c r="U146" s="42"/>
      <c r="V146" s="42"/>
      <c r="W146" s="42"/>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c r="AW146" s="42"/>
      <c r="AX146" s="42"/>
      <c r="AY146" s="42"/>
      <c r="AZ146" s="42"/>
      <c r="BA146" s="44"/>
    </row>
    <row r="147" spans="2:53" ht="15" hidden="1" customHeight="1">
      <c r="C147" s="145" t="s">
        <v>2211</v>
      </c>
      <c r="D147" s="146"/>
      <c r="E147" s="48"/>
      <c r="F147" s="42" t="e">
        <f ca="1">IF(F146="","",IF(F146="12M","1Y",IF(F146="24M","2Y",F146)))</f>
        <v>#NAME?</v>
      </c>
      <c r="G147" s="42" t="str">
        <f t="shared" ref="G147" si="565">IF(G146="","",IF(G146="12M","1Y",IF(G146="24M","2Y",G146)))</f>
        <v/>
      </c>
      <c r="H147" s="42" t="str">
        <f t="shared" ref="H147" si="566">IF(H146="","",IF(H146="12M","1Y",IF(H146="24M","2Y",H146)))</f>
        <v/>
      </c>
      <c r="I147" s="42" t="str">
        <f t="shared" ref="I147" si="567">IF(I146="","",IF(I146="12M","1Y",IF(I146="24M","2Y",I146)))</f>
        <v/>
      </c>
      <c r="J147" s="42" t="str">
        <f t="shared" ref="J147" si="568">IF(J146="","",IF(J146="12M","1Y",IF(J146="24M","2Y",J146)))</f>
        <v/>
      </c>
      <c r="K147" s="42" t="str">
        <f t="shared" ref="K147" si="569">IF(K146="","",IF(K146="12M","1Y",IF(K146="24M","2Y",K146)))</f>
        <v/>
      </c>
      <c r="L147" s="42" t="str">
        <f t="shared" ref="L147" si="570">IF(L146="","",IF(L146="12M","1Y",IF(L146="24M","2Y",L146)))</f>
        <v/>
      </c>
      <c r="M147" s="42" t="str">
        <f t="shared" ref="M147" si="571">IF(M146="","",IF(M146="12M","1Y",IF(M146="24M","2Y",M146)))</f>
        <v/>
      </c>
      <c r="N147" s="42" t="str">
        <f t="shared" ref="N147" si="572">IF(N146="","",IF(N146="12M","1Y",IF(N146="24M","2Y",N146)))</f>
        <v/>
      </c>
      <c r="O147" s="42" t="str">
        <f t="shared" ref="O147" si="573">IF(O146="","",IF(O146="12M","1Y",IF(O146="24M","2Y",O146)))</f>
        <v/>
      </c>
      <c r="P147" s="42" t="str">
        <f t="shared" ref="P147" si="574">IF(P146="","",IF(P146="12M","1Y",IF(P146="24M","2Y",P146)))</f>
        <v/>
      </c>
      <c r="Q147" s="42" t="str">
        <f t="shared" ref="Q147" si="575">IF(Q146="","",IF(Q146="12M","1Y",IF(Q146="24M","2Y",Q146)))</f>
        <v/>
      </c>
      <c r="R147" s="42" t="str">
        <f t="shared" ref="R147" si="576">IF(R146="","",IF(R146="12M","1Y",IF(R146="24M","2Y",R146)))</f>
        <v/>
      </c>
      <c r="S147" s="42" t="str">
        <f t="shared" ref="S147" si="577">IF(S146="","",IF(S146="12M","1Y",IF(S146="24M","2Y",S146)))</f>
        <v/>
      </c>
      <c r="T147" s="42" t="str">
        <f t="shared" ref="T147" si="578">IF(T146="","",IF(T146="12M","1Y",IF(T146="24M","2Y",T146)))</f>
        <v/>
      </c>
      <c r="U147" s="42" t="str">
        <f t="shared" ref="U147" si="579">IF(U146="","",IF(U146="12M","1Y",IF(U146="24M","2Y",U146)))</f>
        <v/>
      </c>
      <c r="V147" s="42" t="str">
        <f t="shared" ref="V147" si="580">IF(V146="","",IF(V146="12M","1Y",IF(V146="24M","2Y",V146)))</f>
        <v/>
      </c>
      <c r="W147" s="42" t="str">
        <f t="shared" ref="W147" si="581">IF(W146="","",IF(W146="12M","1Y",IF(W146="24M","2Y",W146)))</f>
        <v/>
      </c>
      <c r="X147" s="42" t="str">
        <f t="shared" ref="X147" si="582">IF(X146="","",IF(X146="12M","1Y",IF(X146="24M","2Y",X146)))</f>
        <v/>
      </c>
      <c r="Y147" s="42" t="str">
        <f t="shared" ref="Y147" si="583">IF(Y146="","",IF(Y146="12M","1Y",IF(Y146="24M","2Y",Y146)))</f>
        <v/>
      </c>
      <c r="Z147" s="42" t="str">
        <f t="shared" ref="Z147" si="584">IF(Z146="","",IF(Z146="12M","1Y",IF(Z146="24M","2Y",Z146)))</f>
        <v/>
      </c>
      <c r="AA147" s="42" t="str">
        <f t="shared" ref="AA147" si="585">IF(AA146="","",IF(AA146="12M","1Y",IF(AA146="24M","2Y",AA146)))</f>
        <v/>
      </c>
      <c r="AB147" s="42" t="str">
        <f t="shared" ref="AB147" si="586">IF(AB146="","",IF(AB146="12M","1Y",IF(AB146="24M","2Y",AB146)))</f>
        <v/>
      </c>
      <c r="AC147" s="42" t="str">
        <f t="shared" ref="AC147" si="587">IF(AC146="","",IF(AC146="12M","1Y",IF(AC146="24M","2Y",AC146)))</f>
        <v/>
      </c>
      <c r="AD147" s="42" t="str">
        <f t="shared" ref="AD147" si="588">IF(AD146="","",IF(AD146="12M","1Y",IF(AD146="24M","2Y",AD146)))</f>
        <v/>
      </c>
      <c r="AE147" s="42" t="str">
        <f t="shared" ref="AE147" si="589">IF(AE146="","",IF(AE146="12M","1Y",IF(AE146="24M","2Y",AE146)))</f>
        <v/>
      </c>
      <c r="AF147" s="42" t="str">
        <f t="shared" ref="AF147" si="590">IF(AF146="","",IF(AF146="12M","1Y",IF(AF146="24M","2Y",AF146)))</f>
        <v/>
      </c>
      <c r="AG147" s="42" t="str">
        <f t="shared" ref="AG147" si="591">IF(AG146="","",IF(AG146="12M","1Y",IF(AG146="24M","2Y",AG146)))</f>
        <v/>
      </c>
      <c r="AH147" s="42" t="str">
        <f t="shared" ref="AH147" si="592">IF(AH146="","",IF(AH146="12M","1Y",IF(AH146="24M","2Y",AH146)))</f>
        <v/>
      </c>
      <c r="AI147" s="42" t="str">
        <f t="shared" ref="AI147" si="593">IF(AI146="","",IF(AI146="12M","1Y",IF(AI146="24M","2Y",AI146)))</f>
        <v/>
      </c>
      <c r="AJ147" s="42" t="str">
        <f t="shared" ref="AJ147" si="594">IF(AJ146="","",IF(AJ146="12M","1Y",IF(AJ146="24M","2Y",AJ146)))</f>
        <v/>
      </c>
      <c r="AK147" s="42" t="str">
        <f t="shared" ref="AK147" si="595">IF(AK146="","",IF(AK146="12M","1Y",IF(AK146="24M","2Y",AK146)))</f>
        <v/>
      </c>
      <c r="AL147" s="42" t="str">
        <f t="shared" ref="AL147" si="596">IF(AL146="","",IF(AL146="12M","1Y",IF(AL146="24M","2Y",AL146)))</f>
        <v/>
      </c>
      <c r="AM147" s="42" t="str">
        <f t="shared" ref="AM147" si="597">IF(AM146="","",IF(AM146="12M","1Y",IF(AM146="24M","2Y",AM146)))</f>
        <v/>
      </c>
      <c r="AN147" s="42" t="str">
        <f t="shared" ref="AN147" si="598">IF(AN146="","",IF(AN146="12M","1Y",IF(AN146="24M","2Y",AN146)))</f>
        <v/>
      </c>
      <c r="AO147" s="42" t="str">
        <f t="shared" ref="AO147" si="599">IF(AO146="","",IF(AO146="12M","1Y",IF(AO146="24M","2Y",AO146)))</f>
        <v/>
      </c>
      <c r="AP147" s="42" t="str">
        <f t="shared" ref="AP147" si="600">IF(AP146="","",IF(AP146="12M","1Y",IF(AP146="24M","2Y",AP146)))</f>
        <v/>
      </c>
      <c r="AQ147" s="42" t="str">
        <f t="shared" ref="AQ147" si="601">IF(AQ146="","",IF(AQ146="12M","1Y",IF(AQ146="24M","2Y",AQ146)))</f>
        <v/>
      </c>
      <c r="AR147" s="42" t="str">
        <f t="shared" ref="AR147" si="602">IF(AR146="","",IF(AR146="12M","1Y",IF(AR146="24M","2Y",AR146)))</f>
        <v/>
      </c>
      <c r="AS147" s="42" t="str">
        <f t="shared" ref="AS147" si="603">IF(AS146="","",IF(AS146="12M","1Y",IF(AS146="24M","2Y",AS146)))</f>
        <v/>
      </c>
      <c r="AT147" s="42" t="str">
        <f t="shared" ref="AT147" si="604">IF(AT146="","",IF(AT146="12M","1Y",IF(AT146="24M","2Y",AT146)))</f>
        <v/>
      </c>
      <c r="AU147" s="42" t="str">
        <f t="shared" ref="AU147" si="605">IF(AU146="","",IF(AU146="12M","1Y",IF(AU146="24M","2Y",AU146)))</f>
        <v/>
      </c>
      <c r="AV147" s="42" t="str">
        <f t="shared" ref="AV147" si="606">IF(AV146="","",IF(AV146="12M","1Y",IF(AV146="24M","2Y",AV146)))</f>
        <v/>
      </c>
      <c r="AW147" s="42" t="str">
        <f t="shared" ref="AW147" si="607">IF(AW146="","",IF(AW146="12M","1Y",IF(AW146="24M","2Y",AW146)))</f>
        <v/>
      </c>
      <c r="AX147" s="42" t="str">
        <f t="shared" ref="AX147" si="608">IF(AX146="","",IF(AX146="12M","1Y",IF(AX146="24M","2Y",AX146)))</f>
        <v/>
      </c>
      <c r="AY147" s="42" t="str">
        <f t="shared" ref="AY147" si="609">IF(AY146="","",IF(AY146="12M","1Y",IF(AY146="24M","2Y",AY146)))</f>
        <v/>
      </c>
      <c r="AZ147" s="42" t="str">
        <f t="shared" ref="AZ147" si="610">IF(AZ146="","",IF(AZ146="12M","1Y",IF(AZ146="24M","2Y",AZ146)))</f>
        <v/>
      </c>
      <c r="BA147" s="42" t="str">
        <f t="shared" ref="BA147" si="611">IF(BA146="","",IF(BA146="12M","1Y",IF(BA146="24M","2Y",BA146)))</f>
        <v/>
      </c>
    </row>
    <row r="148" spans="2:53" s="41" customFormat="1" ht="15" customHeight="1">
      <c r="B148" s="7"/>
      <c r="C148" s="153" t="str">
        <f>trans_getMessage("","Name",,LANG_ID)</f>
        <v>Name</v>
      </c>
      <c r="D148" s="154"/>
      <c r="E148" s="49" t="s">
        <v>49</v>
      </c>
      <c r="F148" s="43" t="e" cm="1">
        <f t="array" aca="1" ref="F148" ca="1">IF(LEFT(_xlfn.SINGLE(_xll.BDP(F149, $E148)),1)="#", "-", _xll.BDP(F149, $E148))</f>
        <v>#NAME?</v>
      </c>
      <c r="G148" s="43" t="e" cm="1">
        <f t="array" aca="1" ref="G148" ca="1">IF(LEFT(_xlfn.SINGLE(_xll.BDP(G149, $E148)),1)="#", "-", _xll.BDP(G149, $E148))</f>
        <v>#NAME?</v>
      </c>
      <c r="H148" s="43" t="e" cm="1">
        <f t="array" aca="1" ref="H148" ca="1">IF(LEFT(_xlfn.SINGLE(_xll.BDP(H149, $E148)),1)="#", "-", _xll.BDP(H149, $E148))</f>
        <v>#NAME?</v>
      </c>
      <c r="I148" s="43" t="e" cm="1">
        <f t="array" aca="1" ref="I148" ca="1">IF(LEFT(_xlfn.SINGLE(_xll.BDP(I149, $E148)),1)="#", "-", _xll.BDP(I149, $E148))</f>
        <v>#NAME?</v>
      </c>
      <c r="J148" s="43" t="e" cm="1">
        <f t="array" aca="1" ref="J148" ca="1">IF(LEFT(_xlfn.SINGLE(_xll.BDP(J149, $E148)),1)="#", "-", _xll.BDP(J149, $E148))</f>
        <v>#NAME?</v>
      </c>
      <c r="K148" s="43" t="e" cm="1">
        <f t="array" aca="1" ref="K148" ca="1">IF(LEFT(_xlfn.SINGLE(_xll.BDP(K149, $E148)),1)="#", "-", _xll.BDP(K149, $E148))</f>
        <v>#NAME?</v>
      </c>
      <c r="L148" s="43" t="e" cm="1">
        <f t="array" aca="1" ref="L148" ca="1">IF(LEFT(_xlfn.SINGLE(_xll.BDP(L149, $E148)),1)="#", "-", _xll.BDP(L149, $E148))</f>
        <v>#NAME?</v>
      </c>
      <c r="M148" s="43" t="e" cm="1">
        <f t="array" aca="1" ref="M148" ca="1">IF(LEFT(_xlfn.SINGLE(_xll.BDP(M149, $E148)),1)="#", "-", _xll.BDP(M149, $E148))</f>
        <v>#NAME?</v>
      </c>
      <c r="N148" s="43" t="e" cm="1">
        <f t="array" aca="1" ref="N148" ca="1">IF(LEFT(_xlfn.SINGLE(_xll.BDP(N149, $E148)),1)="#", "-", _xll.BDP(N149, $E148))</f>
        <v>#NAME?</v>
      </c>
      <c r="O148" s="43" t="e" cm="1">
        <f t="array" aca="1" ref="O148" ca="1">IF(LEFT(_xlfn.SINGLE(_xll.BDP(O149, $E148)),1)="#", "-", _xll.BDP(O149, $E148))</f>
        <v>#NAME?</v>
      </c>
      <c r="P148" s="43" t="e" cm="1">
        <f t="array" aca="1" ref="P148" ca="1">IF(LEFT(_xlfn.SINGLE(_xll.BDP(P149, $E148)),1)="#", "-", _xll.BDP(P149, $E148))</f>
        <v>#NAME?</v>
      </c>
      <c r="Q148" s="43" t="e" cm="1">
        <f t="array" aca="1" ref="Q148" ca="1">IF(LEFT(_xlfn.SINGLE(_xll.BDP(Q149, $E148)),1)="#", "-", _xll.BDP(Q149, $E148))</f>
        <v>#NAME?</v>
      </c>
      <c r="R148" s="43" t="e" cm="1">
        <f t="array" aca="1" ref="R148" ca="1">IF(LEFT(_xlfn.SINGLE(_xll.BDP(R149, $E148)),1)="#", "-", _xll.BDP(R149, $E148))</f>
        <v>#NAME?</v>
      </c>
      <c r="S148" s="43" t="e" cm="1">
        <f t="array" aca="1" ref="S148" ca="1">IF(LEFT(_xlfn.SINGLE(_xll.BDP(S149, $E148)),1)="#", "-", _xll.BDP(S149, $E148))</f>
        <v>#NAME?</v>
      </c>
      <c r="T148" s="43" t="e" cm="1">
        <f t="array" aca="1" ref="T148" ca="1">IF(LEFT(_xlfn.SINGLE(_xll.BDP(T149, $E148)),1)="#", "-", _xll.BDP(T149, $E148))</f>
        <v>#NAME?</v>
      </c>
      <c r="U148" s="43" t="e" cm="1">
        <f t="array" aca="1" ref="U148" ca="1">IF(LEFT(_xlfn.SINGLE(_xll.BDP(U149, $E148)),1)="#", "-", _xll.BDP(U149, $E148))</f>
        <v>#NAME?</v>
      </c>
      <c r="V148" s="43" t="e" cm="1">
        <f t="array" aca="1" ref="V148" ca="1">IF(LEFT(_xlfn.SINGLE(_xll.BDP(V149, $E148)),1)="#", "-", _xll.BDP(V149, $E148))</f>
        <v>#NAME?</v>
      </c>
      <c r="W148" s="43" t="e" cm="1">
        <f t="array" aca="1" ref="W148" ca="1">IF(LEFT(_xlfn.SINGLE(_xll.BDP(W149, $E148)),1)="#", "-", _xll.BDP(W149, $E148))</f>
        <v>#NAME?</v>
      </c>
      <c r="X148" s="43" t="e" cm="1">
        <f t="array" aca="1" ref="X148" ca="1">IF(LEFT(_xlfn.SINGLE(_xll.BDP(X149, $E148)),1)="#", "-", _xll.BDP(X149, $E148))</f>
        <v>#NAME?</v>
      </c>
      <c r="Y148" s="43" t="e" cm="1">
        <f t="array" aca="1" ref="Y148" ca="1">IF(LEFT(_xlfn.SINGLE(_xll.BDP(Y149, $E148)),1)="#", "-", _xll.BDP(Y149, $E148))</f>
        <v>#NAME?</v>
      </c>
      <c r="Z148" s="43" t="e" cm="1">
        <f t="array" aca="1" ref="Z148" ca="1">IF(LEFT(_xlfn.SINGLE(_xll.BDP(Z149, $E148)),1)="#", "-", _xll.BDP(Z149, $E148))</f>
        <v>#NAME?</v>
      </c>
      <c r="AA148" s="43" t="e" cm="1">
        <f t="array" aca="1" ref="AA148" ca="1">IF(LEFT(_xlfn.SINGLE(_xll.BDP(AA149, $E148)),1)="#", "-", _xll.BDP(AA149, $E148))</f>
        <v>#NAME?</v>
      </c>
      <c r="AB148" s="43" t="e" cm="1">
        <f t="array" aca="1" ref="AB148" ca="1">IF(LEFT(_xlfn.SINGLE(_xll.BDP(AB149, $E148)),1)="#", "-", _xll.BDP(AB149, $E148))</f>
        <v>#NAME?</v>
      </c>
      <c r="AC148" s="43" t="e" cm="1">
        <f t="array" aca="1" ref="AC148" ca="1">IF(LEFT(_xlfn.SINGLE(_xll.BDP(AC149, $E148)),1)="#", "-", _xll.BDP(AC149, $E148))</f>
        <v>#NAME?</v>
      </c>
      <c r="AD148" s="43" t="e" cm="1">
        <f t="array" aca="1" ref="AD148" ca="1">IF(LEFT(_xlfn.SINGLE(_xll.BDP(AD149, $E148)),1)="#", "-", _xll.BDP(AD149, $E148))</f>
        <v>#NAME?</v>
      </c>
      <c r="AE148" s="43" t="e" cm="1">
        <f t="array" aca="1" ref="AE148" ca="1">IF(LEFT(_xlfn.SINGLE(_xll.BDP(AE149, $E148)),1)="#", "-", _xll.BDP(AE149, $E148))</f>
        <v>#NAME?</v>
      </c>
      <c r="AF148" s="43" t="e" cm="1">
        <f t="array" aca="1" ref="AF148" ca="1">IF(LEFT(_xlfn.SINGLE(_xll.BDP(AF149, $E148)),1)="#", "-", _xll.BDP(AF149, $E148))</f>
        <v>#NAME?</v>
      </c>
      <c r="AG148" s="43" t="e" cm="1">
        <f t="array" aca="1" ref="AG148" ca="1">IF(LEFT(_xlfn.SINGLE(_xll.BDP(AG149, $E148)),1)="#", "-", _xll.BDP(AG149, $E148))</f>
        <v>#NAME?</v>
      </c>
      <c r="AH148" s="43" t="e" cm="1">
        <f t="array" aca="1" ref="AH148" ca="1">IF(LEFT(_xlfn.SINGLE(_xll.BDP(AH149, $E148)),1)="#", "-", _xll.BDP(AH149, $E148))</f>
        <v>#NAME?</v>
      </c>
      <c r="AI148" s="43" t="e" cm="1">
        <f t="array" aca="1" ref="AI148" ca="1">IF(LEFT(_xlfn.SINGLE(_xll.BDP(AI149, $E148)),1)="#", "-", _xll.BDP(AI149, $E148))</f>
        <v>#NAME?</v>
      </c>
      <c r="AJ148" s="43" t="e" cm="1">
        <f t="array" aca="1" ref="AJ148" ca="1">IF(LEFT(_xlfn.SINGLE(_xll.BDP(AJ149, $E148)),1)="#", "-", _xll.BDP(AJ149, $E148))</f>
        <v>#NAME?</v>
      </c>
      <c r="AK148" s="43" t="e" cm="1">
        <f t="array" aca="1" ref="AK148" ca="1">IF(LEFT(_xlfn.SINGLE(_xll.BDP(AK149, $E148)),1)="#", "-", _xll.BDP(AK149, $E148))</f>
        <v>#NAME?</v>
      </c>
      <c r="AL148" s="43" t="e" cm="1">
        <f t="array" aca="1" ref="AL148" ca="1">IF(LEFT(_xlfn.SINGLE(_xll.BDP(AL149, $E148)),1)="#", "-", _xll.BDP(AL149, $E148))</f>
        <v>#NAME?</v>
      </c>
      <c r="AM148" s="43" t="e" cm="1">
        <f t="array" aca="1" ref="AM148" ca="1">IF(LEFT(_xlfn.SINGLE(_xll.BDP(AM149, $E148)),1)="#", "-", _xll.BDP(AM149, $E148))</f>
        <v>#NAME?</v>
      </c>
      <c r="AN148" s="43" t="e" cm="1">
        <f t="array" aca="1" ref="AN148" ca="1">IF(LEFT(_xlfn.SINGLE(_xll.BDP(AN149, $E148)),1)="#", "-", _xll.BDP(AN149, $E148))</f>
        <v>#NAME?</v>
      </c>
      <c r="AO148" s="43" t="e" cm="1">
        <f t="array" aca="1" ref="AO148" ca="1">IF(LEFT(_xlfn.SINGLE(_xll.BDP(AO149, $E148)),1)="#", "-", _xll.BDP(AO149, $E148))</f>
        <v>#NAME?</v>
      </c>
      <c r="AP148" s="43" t="e" cm="1">
        <f t="array" aca="1" ref="AP148" ca="1">IF(LEFT(_xlfn.SINGLE(_xll.BDP(AP149, $E148)),1)="#", "-", _xll.BDP(AP149, $E148))</f>
        <v>#NAME?</v>
      </c>
      <c r="AQ148" s="43" t="e" cm="1">
        <f t="array" aca="1" ref="AQ148" ca="1">IF(LEFT(_xlfn.SINGLE(_xll.BDP(AQ149, $E148)),1)="#", "-", _xll.BDP(AQ149, $E148))</f>
        <v>#NAME?</v>
      </c>
      <c r="AR148" s="43" t="e" cm="1">
        <f t="array" aca="1" ref="AR148" ca="1">IF(LEFT(_xlfn.SINGLE(_xll.BDP(AR149, $E148)),1)="#", "-", _xll.BDP(AR149, $E148))</f>
        <v>#NAME?</v>
      </c>
      <c r="AS148" s="43" t="e" cm="1">
        <f t="array" aca="1" ref="AS148" ca="1">IF(LEFT(_xlfn.SINGLE(_xll.BDP(AS149, $E148)),1)="#", "-", _xll.BDP(AS149, $E148))</f>
        <v>#NAME?</v>
      </c>
      <c r="AT148" s="43" t="e" cm="1">
        <f t="array" aca="1" ref="AT148" ca="1">IF(LEFT(_xlfn.SINGLE(_xll.BDP(AT149, $E148)),1)="#", "-", _xll.BDP(AT149, $E148))</f>
        <v>#NAME?</v>
      </c>
      <c r="AU148" s="43" t="e" cm="1">
        <f t="array" aca="1" ref="AU148" ca="1">IF(LEFT(_xlfn.SINGLE(_xll.BDP(AU149, $E148)),1)="#", "-", _xll.BDP(AU149, $E148))</f>
        <v>#NAME?</v>
      </c>
      <c r="AV148" s="43" t="e" cm="1">
        <f t="array" aca="1" ref="AV148" ca="1">IF(LEFT(_xlfn.SINGLE(_xll.BDP(AV149, $E148)),1)="#", "-", _xll.BDP(AV149, $E148))</f>
        <v>#NAME?</v>
      </c>
      <c r="AW148" s="43" t="e" cm="1">
        <f t="array" aca="1" ref="AW148" ca="1">IF(LEFT(_xlfn.SINGLE(_xll.BDP(AW149, $E148)),1)="#", "-", _xll.BDP(AW149, $E148))</f>
        <v>#NAME?</v>
      </c>
      <c r="AX148" s="43" t="e" cm="1">
        <f t="array" aca="1" ref="AX148" ca="1">IF(LEFT(_xlfn.SINGLE(_xll.BDP(AX149, $E148)),1)="#", "-", _xll.BDP(AX149, $E148))</f>
        <v>#NAME?</v>
      </c>
      <c r="AY148" s="43" t="e" cm="1">
        <f t="array" aca="1" ref="AY148" ca="1">IF(LEFT(_xlfn.SINGLE(_xll.BDP(AY149, $E148)),1)="#", "-", _xll.BDP(AY149, $E148))</f>
        <v>#NAME?</v>
      </c>
      <c r="AZ148" s="43" t="e" cm="1">
        <f t="array" aca="1" ref="AZ148" ca="1">IF(LEFT(_xlfn.SINGLE(_xll.BDP(AZ149, $E148)),1)="#", "-", _xll.BDP(AZ149, $E148))</f>
        <v>#NAME?</v>
      </c>
      <c r="BA148" s="45" t="e" cm="1">
        <f t="array" aca="1" ref="BA148" ca="1">IF(LEFT(_xlfn.SINGLE(_xll.BDP(BA149, $E148)),1)="#", "-", _xll.BDP(BA149, $E148))</f>
        <v>#NAME?</v>
      </c>
    </row>
    <row r="149" spans="2:53" ht="15" customHeight="1">
      <c r="B149" s="40"/>
      <c r="C149" s="145" t="str">
        <f>trans_getMessage("","Curve Tickers",,LANG_ID)</f>
        <v>Curve Tickers</v>
      </c>
      <c r="D149" s="146"/>
      <c r="E149" s="50" t="s">
        <v>46</v>
      </c>
      <c r="F149" s="42" t="e" cm="1">
        <f t="array" aca="1" ref="F149" ca="1">_xll.BDS(E144,E149,"Dir=H",)</f>
        <v>#NAME?</v>
      </c>
      <c r="G149" s="42"/>
      <c r="H149" s="42"/>
      <c r="I149" s="42"/>
      <c r="J149" s="42"/>
      <c r="K149" s="42"/>
      <c r="L149" s="42"/>
      <c r="M149" s="42"/>
      <c r="N149" s="42"/>
      <c r="O149" s="42"/>
      <c r="P149" s="42"/>
      <c r="Q149" s="42"/>
      <c r="R149" s="42"/>
      <c r="S149" s="42"/>
      <c r="T149" s="42"/>
      <c r="U149" s="42"/>
      <c r="V149" s="42"/>
      <c r="W149" s="42"/>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c r="AW149" s="42"/>
      <c r="AX149" s="42"/>
      <c r="AY149" s="42"/>
      <c r="AZ149" s="42"/>
      <c r="BA149" s="44"/>
    </row>
    <row r="150" spans="2:53" ht="15" customHeight="1">
      <c r="C150" s="138" t="str">
        <f>trans_getMessage("","Rate",,LANG_ID)</f>
        <v>Rate</v>
      </c>
      <c r="D150" s="139"/>
      <c r="E150" s="51" t="s">
        <v>44</v>
      </c>
      <c r="F150" s="46" t="str" cm="1">
        <f t="array" aca="1" ref="F150" ca="1">IF(ISERROR(_xlfn.SINGLE(_xll.BDP(F149, $E150))*1), "-", _xll.BDP(F149, $E150))</f>
        <v>-</v>
      </c>
      <c r="G150" s="46" t="str" cm="1">
        <f t="array" aca="1" ref="G150" ca="1">IF(ISERROR(_xlfn.SINGLE(_xll.BDP(G149, $E150))*1), "-", _xll.BDP(G149, $E150))</f>
        <v>-</v>
      </c>
      <c r="H150" s="46" t="str" cm="1">
        <f t="array" aca="1" ref="H150" ca="1">IF(ISERROR(_xlfn.SINGLE(_xll.BDP(H149, $E150))*1), "-", _xll.BDP(H149, $E150))</f>
        <v>-</v>
      </c>
      <c r="I150" s="46" t="str" cm="1">
        <f t="array" aca="1" ref="I150" ca="1">IF(ISERROR(_xlfn.SINGLE(_xll.BDP(I149, $E150))*1), "-", _xll.BDP(I149, $E150))</f>
        <v>-</v>
      </c>
      <c r="J150" s="46" t="str" cm="1">
        <f t="array" aca="1" ref="J150" ca="1">IF(ISERROR(_xlfn.SINGLE(_xll.BDP(J149, $E150))*1), "-", _xll.BDP(J149, $E150))</f>
        <v>-</v>
      </c>
      <c r="K150" s="46" t="str" cm="1">
        <f t="array" aca="1" ref="K150" ca="1">IF(ISERROR(_xlfn.SINGLE(_xll.BDP(K149, $E150))*1), "-", _xll.BDP(K149, $E150))</f>
        <v>-</v>
      </c>
      <c r="L150" s="46" t="str" cm="1">
        <f t="array" aca="1" ref="L150" ca="1">IF(ISERROR(_xlfn.SINGLE(_xll.BDP(L149, $E150))*1), "-", _xll.BDP(L149, $E150))</f>
        <v>-</v>
      </c>
      <c r="M150" s="46" t="str" cm="1">
        <f t="array" aca="1" ref="M150" ca="1">IF(ISERROR(_xlfn.SINGLE(_xll.BDP(M149, $E150))*1), "-", _xll.BDP(M149, $E150))</f>
        <v>-</v>
      </c>
      <c r="N150" s="46" t="str" cm="1">
        <f t="array" aca="1" ref="N150" ca="1">IF(ISERROR(_xlfn.SINGLE(_xll.BDP(N149, $E150))*1), "-", _xll.BDP(N149, $E150))</f>
        <v>-</v>
      </c>
      <c r="O150" s="46" t="str" cm="1">
        <f t="array" aca="1" ref="O150" ca="1">IF(ISERROR(_xlfn.SINGLE(_xll.BDP(O149, $E150))*1), "-", _xll.BDP(O149, $E150))</f>
        <v>-</v>
      </c>
      <c r="P150" s="46" t="str" cm="1">
        <f t="array" aca="1" ref="P150" ca="1">IF(ISERROR(_xlfn.SINGLE(_xll.BDP(P149, $E150))*1), "-", _xll.BDP(P149, $E150))</f>
        <v>-</v>
      </c>
      <c r="Q150" s="46" t="str" cm="1">
        <f t="array" aca="1" ref="Q150" ca="1">IF(ISERROR(_xlfn.SINGLE(_xll.BDP(Q149, $E150))*1), "-", _xll.BDP(Q149, $E150))</f>
        <v>-</v>
      </c>
      <c r="R150" s="46" t="str" cm="1">
        <f t="array" aca="1" ref="R150" ca="1">IF(ISERROR(_xlfn.SINGLE(_xll.BDP(R149, $E150))*1), "-", _xll.BDP(R149, $E150))</f>
        <v>-</v>
      </c>
      <c r="S150" s="46" t="str" cm="1">
        <f t="array" aca="1" ref="S150" ca="1">IF(ISERROR(_xlfn.SINGLE(_xll.BDP(S149, $E150))*1), "-", _xll.BDP(S149, $E150))</f>
        <v>-</v>
      </c>
      <c r="T150" s="46" t="str" cm="1">
        <f t="array" aca="1" ref="T150" ca="1">IF(ISERROR(_xlfn.SINGLE(_xll.BDP(T149, $E150))*1), "-", _xll.BDP(T149, $E150))</f>
        <v>-</v>
      </c>
      <c r="U150" s="46" t="str" cm="1">
        <f t="array" aca="1" ref="U150" ca="1">IF(ISERROR(_xlfn.SINGLE(_xll.BDP(U149, $E150))*1), "-", _xll.BDP(U149, $E150))</f>
        <v>-</v>
      </c>
      <c r="V150" s="46" t="str" cm="1">
        <f t="array" aca="1" ref="V150" ca="1">IF(ISERROR(_xlfn.SINGLE(_xll.BDP(V149, $E150))*1), "-", _xll.BDP(V149, $E150))</f>
        <v>-</v>
      </c>
      <c r="W150" s="46" t="str" cm="1">
        <f t="array" aca="1" ref="W150" ca="1">IF(ISERROR(_xlfn.SINGLE(_xll.BDP(W149, $E150))*1), "-", _xll.BDP(W149, $E150))</f>
        <v>-</v>
      </c>
      <c r="X150" s="46" t="str" cm="1">
        <f t="array" aca="1" ref="X150" ca="1">IF(ISERROR(_xlfn.SINGLE(_xll.BDP(X149, $E150))*1), "-", _xll.BDP(X149, $E150))</f>
        <v>-</v>
      </c>
      <c r="Y150" s="46" t="str" cm="1">
        <f t="array" aca="1" ref="Y150" ca="1">IF(ISERROR(_xlfn.SINGLE(_xll.BDP(Y149, $E150))*1), "-", _xll.BDP(Y149, $E150))</f>
        <v>-</v>
      </c>
      <c r="Z150" s="46" t="str" cm="1">
        <f t="array" aca="1" ref="Z150" ca="1">IF(ISERROR(_xlfn.SINGLE(_xll.BDP(Z149, $E150))*1), "-", _xll.BDP(Z149, $E150))</f>
        <v>-</v>
      </c>
      <c r="AA150" s="46" t="str" cm="1">
        <f t="array" aca="1" ref="AA150" ca="1">IF(ISERROR(_xlfn.SINGLE(_xll.BDP(AA149, $E150))*1), "-", _xll.BDP(AA149, $E150))</f>
        <v>-</v>
      </c>
      <c r="AB150" s="46" t="str" cm="1">
        <f t="array" aca="1" ref="AB150" ca="1">IF(ISERROR(_xlfn.SINGLE(_xll.BDP(AB149, $E150))*1), "-", _xll.BDP(AB149, $E150))</f>
        <v>-</v>
      </c>
      <c r="AC150" s="46" t="str" cm="1">
        <f t="array" aca="1" ref="AC150" ca="1">IF(ISERROR(_xlfn.SINGLE(_xll.BDP(AC149, $E150))*1), "-", _xll.BDP(AC149, $E150))</f>
        <v>-</v>
      </c>
      <c r="AD150" s="46" t="str" cm="1">
        <f t="array" aca="1" ref="AD150" ca="1">IF(ISERROR(_xlfn.SINGLE(_xll.BDP(AD149, $E150))*1), "-", _xll.BDP(AD149, $E150))</f>
        <v>-</v>
      </c>
      <c r="AE150" s="46" t="str" cm="1">
        <f t="array" aca="1" ref="AE150" ca="1">IF(ISERROR(_xlfn.SINGLE(_xll.BDP(AE149, $E150))*1), "-", _xll.BDP(AE149, $E150))</f>
        <v>-</v>
      </c>
      <c r="AF150" s="46" t="str" cm="1">
        <f t="array" aca="1" ref="AF150" ca="1">IF(ISERROR(_xlfn.SINGLE(_xll.BDP(AF149, $E150))*1), "-", _xll.BDP(AF149, $E150))</f>
        <v>-</v>
      </c>
      <c r="AG150" s="46" t="str" cm="1">
        <f t="array" aca="1" ref="AG150" ca="1">IF(ISERROR(_xlfn.SINGLE(_xll.BDP(AG149, $E150))*1), "-", _xll.BDP(AG149, $E150))</f>
        <v>-</v>
      </c>
      <c r="AH150" s="46" t="str" cm="1">
        <f t="array" aca="1" ref="AH150" ca="1">IF(ISERROR(_xlfn.SINGLE(_xll.BDP(AH149, $E150))*1), "-", _xll.BDP(AH149, $E150))</f>
        <v>-</v>
      </c>
      <c r="AI150" s="46" t="str" cm="1">
        <f t="array" aca="1" ref="AI150" ca="1">IF(ISERROR(_xlfn.SINGLE(_xll.BDP(AI149, $E150))*1), "-", _xll.BDP(AI149, $E150))</f>
        <v>-</v>
      </c>
      <c r="AJ150" s="46" t="str" cm="1">
        <f t="array" aca="1" ref="AJ150" ca="1">IF(ISERROR(_xlfn.SINGLE(_xll.BDP(AJ149, $E150))*1), "-", _xll.BDP(AJ149, $E150))</f>
        <v>-</v>
      </c>
      <c r="AK150" s="46" t="str" cm="1">
        <f t="array" aca="1" ref="AK150" ca="1">IF(ISERROR(_xlfn.SINGLE(_xll.BDP(AK149, $E150))*1), "-", _xll.BDP(AK149, $E150))</f>
        <v>-</v>
      </c>
      <c r="AL150" s="46" t="str" cm="1">
        <f t="array" aca="1" ref="AL150" ca="1">IF(ISERROR(_xlfn.SINGLE(_xll.BDP(AL149, $E150))*1), "-", _xll.BDP(AL149, $E150))</f>
        <v>-</v>
      </c>
      <c r="AM150" s="46" t="str" cm="1">
        <f t="array" aca="1" ref="AM150" ca="1">IF(ISERROR(_xlfn.SINGLE(_xll.BDP(AM149, $E150))*1), "-", _xll.BDP(AM149, $E150))</f>
        <v>-</v>
      </c>
      <c r="AN150" s="46" t="str" cm="1">
        <f t="array" aca="1" ref="AN150" ca="1">IF(ISERROR(_xlfn.SINGLE(_xll.BDP(AN149, $E150))*1), "-", _xll.BDP(AN149, $E150))</f>
        <v>-</v>
      </c>
      <c r="AO150" s="46" t="str" cm="1">
        <f t="array" aca="1" ref="AO150" ca="1">IF(ISERROR(_xlfn.SINGLE(_xll.BDP(AO149, $E150))*1), "-", _xll.BDP(AO149, $E150))</f>
        <v>-</v>
      </c>
      <c r="AP150" s="46" t="str" cm="1">
        <f t="array" aca="1" ref="AP150" ca="1">IF(ISERROR(_xlfn.SINGLE(_xll.BDP(AP149, $E150))*1), "-", _xll.BDP(AP149, $E150))</f>
        <v>-</v>
      </c>
      <c r="AQ150" s="46" t="str" cm="1">
        <f t="array" aca="1" ref="AQ150" ca="1">IF(ISERROR(_xlfn.SINGLE(_xll.BDP(AQ149, $E150))*1), "-", _xll.BDP(AQ149, $E150))</f>
        <v>-</v>
      </c>
      <c r="AR150" s="46" t="str" cm="1">
        <f t="array" aca="1" ref="AR150" ca="1">IF(ISERROR(_xlfn.SINGLE(_xll.BDP(AR149, $E150))*1), "-", _xll.BDP(AR149, $E150))</f>
        <v>-</v>
      </c>
      <c r="AS150" s="46" t="str" cm="1">
        <f t="array" aca="1" ref="AS150" ca="1">IF(ISERROR(_xlfn.SINGLE(_xll.BDP(AS149, $E150))*1), "-", _xll.BDP(AS149, $E150))</f>
        <v>-</v>
      </c>
      <c r="AT150" s="46" t="str" cm="1">
        <f t="array" aca="1" ref="AT150" ca="1">IF(ISERROR(_xlfn.SINGLE(_xll.BDP(AT149, $E150))*1), "-", _xll.BDP(AT149, $E150))</f>
        <v>-</v>
      </c>
      <c r="AU150" s="46" t="str" cm="1">
        <f t="array" aca="1" ref="AU150" ca="1">IF(ISERROR(_xlfn.SINGLE(_xll.BDP(AU149, $E150))*1), "-", _xll.BDP(AU149, $E150))</f>
        <v>-</v>
      </c>
      <c r="AV150" s="46" t="str" cm="1">
        <f t="array" aca="1" ref="AV150" ca="1">IF(ISERROR(_xlfn.SINGLE(_xll.BDP(AV149, $E150))*1), "-", _xll.BDP(AV149, $E150))</f>
        <v>-</v>
      </c>
      <c r="AW150" s="46" t="str" cm="1">
        <f t="array" aca="1" ref="AW150" ca="1">IF(ISERROR(_xlfn.SINGLE(_xll.BDP(AW149, $E150))*1), "-", _xll.BDP(AW149, $E150))</f>
        <v>-</v>
      </c>
      <c r="AX150" s="46" t="str" cm="1">
        <f t="array" aca="1" ref="AX150" ca="1">IF(ISERROR(_xlfn.SINGLE(_xll.BDP(AX149, $E150))*1), "-", _xll.BDP(AX149, $E150))</f>
        <v>-</v>
      </c>
      <c r="AY150" s="46" t="str" cm="1">
        <f t="array" aca="1" ref="AY150" ca="1">IF(ISERROR(_xlfn.SINGLE(_xll.BDP(AY149, $E150))*1), "-", _xll.BDP(AY149, $E150))</f>
        <v>-</v>
      </c>
      <c r="AZ150" s="46" t="str" cm="1">
        <f t="array" aca="1" ref="AZ150" ca="1">IF(ISERROR(_xlfn.SINGLE(_xll.BDP(AZ149, $E150))*1), "-", _xll.BDP(AZ149, $E150))</f>
        <v>-</v>
      </c>
      <c r="BA150" s="47" t="str" cm="1">
        <f t="array" aca="1" ref="BA150" ca="1">IF(ISERROR(_xlfn.SINGLE(_xll.BDP(BA149, $E150))*1), "-", _xll.BDP(BA149, $E150))</f>
        <v>-</v>
      </c>
    </row>
    <row r="151" spans="2:53" ht="15" hidden="1" customHeight="1"/>
    <row r="152" spans="2:53" ht="5.15" customHeight="1"/>
    <row r="153" spans="2:53" ht="15" customHeight="1">
      <c r="B153" s="38" t="s">
        <v>83</v>
      </c>
      <c r="C153" s="140" t="str">
        <f>trans_getMessage("","Curve Number",,LANG_ID)</f>
        <v>Curve Number</v>
      </c>
      <c r="D153" s="141"/>
      <c r="E153" s="142">
        <f>VLOOKUP(B153, 'Currency-Curve List'!$C$9:$E$103, 2, FALSE)</f>
        <v>158</v>
      </c>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4"/>
    </row>
    <row r="154" spans="2:53" ht="15" customHeight="1">
      <c r="C154" s="145" t="str">
        <f>trans_getMessage("","Curve Index",,LANG_ID)</f>
        <v>Curve Index</v>
      </c>
      <c r="D154" s="146"/>
      <c r="E154" s="147" t="str">
        <f>VLOOKUP(B153, 'Currency-Curve List'!$C$9:$E$103, 3, FALSE)</f>
        <v>YCSW0158 Index</v>
      </c>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9"/>
    </row>
    <row r="155" spans="2:53" ht="15" customHeight="1">
      <c r="C155" s="145" t="str">
        <f>trans_getMessage("","Curve Name",,LANG_ID)</f>
        <v>Curve Name</v>
      </c>
      <c r="D155" s="146"/>
      <c r="E155" s="150" t="e" cm="1">
        <f t="array" aca="1" ref="E155" ca="1">_xll.BDP(E154, "NAME")</f>
        <v>#NAME?</v>
      </c>
      <c r="F155" s="151"/>
      <c r="G155" s="151"/>
      <c r="H155" s="151"/>
      <c r="I155" s="151"/>
      <c r="J155" s="151"/>
      <c r="K155" s="151"/>
      <c r="L155" s="151"/>
      <c r="M155" s="151"/>
      <c r="N155" s="151"/>
      <c r="O155" s="151"/>
      <c r="P155" s="151"/>
      <c r="Q155" s="151"/>
      <c r="R155" s="151"/>
      <c r="S155" s="151"/>
      <c r="T155" s="151"/>
      <c r="U155" s="151"/>
      <c r="V155" s="151"/>
      <c r="W155" s="151"/>
      <c r="X155" s="151"/>
      <c r="Y155" s="151"/>
      <c r="Z155" s="151"/>
      <c r="AA155" s="151"/>
      <c r="AB155" s="151"/>
      <c r="AC155" s="151"/>
      <c r="AD155" s="151"/>
      <c r="AE155" s="151"/>
      <c r="AF155" s="151"/>
      <c r="AG155" s="151"/>
      <c r="AH155" s="151"/>
      <c r="AI155" s="151"/>
      <c r="AJ155" s="151"/>
      <c r="AK155" s="151"/>
      <c r="AL155" s="151"/>
      <c r="AM155" s="151"/>
      <c r="AN155" s="151"/>
      <c r="AO155" s="151"/>
      <c r="AP155" s="151"/>
      <c r="AQ155" s="151"/>
      <c r="AR155" s="151"/>
      <c r="AS155" s="151"/>
      <c r="AT155" s="151"/>
      <c r="AU155" s="151"/>
      <c r="AV155" s="151"/>
      <c r="AW155" s="151"/>
      <c r="AX155" s="151"/>
      <c r="AY155" s="151"/>
      <c r="AZ155" s="151"/>
      <c r="BA155" s="152"/>
    </row>
    <row r="156" spans="2:53" ht="15" customHeight="1">
      <c r="C156" s="145" t="str">
        <f>trans_getMessage("","Tenors",,LANG_ID)</f>
        <v>Tenors</v>
      </c>
      <c r="D156" s="146"/>
      <c r="E156" s="48" t="s">
        <v>50</v>
      </c>
      <c r="F156" s="42" t="e" cm="1">
        <f t="array" aca="1" ref="F156" ca="1">_xll.BDS(E154,E156,"Dir=H",)</f>
        <v>#NAME?</v>
      </c>
      <c r="G156" s="42"/>
      <c r="H156" s="42"/>
      <c r="I156" s="42"/>
      <c r="J156" s="42"/>
      <c r="K156" s="42"/>
      <c r="L156" s="42"/>
      <c r="M156" s="42"/>
      <c r="N156" s="42"/>
      <c r="O156" s="42"/>
      <c r="P156" s="42"/>
      <c r="Q156" s="42"/>
      <c r="R156" s="42"/>
      <c r="S156" s="42"/>
      <c r="T156" s="42"/>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c r="AW156" s="42"/>
      <c r="AX156" s="42"/>
      <c r="AY156" s="42"/>
      <c r="AZ156" s="42"/>
      <c r="BA156" s="44"/>
    </row>
    <row r="157" spans="2:53" ht="15" hidden="1" customHeight="1">
      <c r="C157" s="145" t="s">
        <v>2211</v>
      </c>
      <c r="D157" s="146"/>
      <c r="E157" s="48"/>
      <c r="F157" s="42" t="e">
        <f ca="1">IF(F156="","",IF(F156="12M","1Y",IF(F156="24M","2Y",F156)))</f>
        <v>#NAME?</v>
      </c>
      <c r="G157" s="42" t="str">
        <f t="shared" ref="G157" si="612">IF(G156="","",IF(G156="12M","1Y",IF(G156="24M","2Y",G156)))</f>
        <v/>
      </c>
      <c r="H157" s="42" t="str">
        <f t="shared" ref="H157" si="613">IF(H156="","",IF(H156="12M","1Y",IF(H156="24M","2Y",H156)))</f>
        <v/>
      </c>
      <c r="I157" s="42" t="str">
        <f t="shared" ref="I157" si="614">IF(I156="","",IF(I156="12M","1Y",IF(I156="24M","2Y",I156)))</f>
        <v/>
      </c>
      <c r="J157" s="42" t="str">
        <f t="shared" ref="J157" si="615">IF(J156="","",IF(J156="12M","1Y",IF(J156="24M","2Y",J156)))</f>
        <v/>
      </c>
      <c r="K157" s="42" t="str">
        <f t="shared" ref="K157" si="616">IF(K156="","",IF(K156="12M","1Y",IF(K156="24M","2Y",K156)))</f>
        <v/>
      </c>
      <c r="L157" s="42" t="str">
        <f t="shared" ref="L157" si="617">IF(L156="","",IF(L156="12M","1Y",IF(L156="24M","2Y",L156)))</f>
        <v/>
      </c>
      <c r="M157" s="42" t="str">
        <f t="shared" ref="M157" si="618">IF(M156="","",IF(M156="12M","1Y",IF(M156="24M","2Y",M156)))</f>
        <v/>
      </c>
      <c r="N157" s="42" t="str">
        <f t="shared" ref="N157" si="619">IF(N156="","",IF(N156="12M","1Y",IF(N156="24M","2Y",N156)))</f>
        <v/>
      </c>
      <c r="O157" s="42" t="str">
        <f t="shared" ref="O157" si="620">IF(O156="","",IF(O156="12M","1Y",IF(O156="24M","2Y",O156)))</f>
        <v/>
      </c>
      <c r="P157" s="42" t="str">
        <f t="shared" ref="P157" si="621">IF(P156="","",IF(P156="12M","1Y",IF(P156="24M","2Y",P156)))</f>
        <v/>
      </c>
      <c r="Q157" s="42" t="str">
        <f t="shared" ref="Q157" si="622">IF(Q156="","",IF(Q156="12M","1Y",IF(Q156="24M","2Y",Q156)))</f>
        <v/>
      </c>
      <c r="R157" s="42" t="str">
        <f t="shared" ref="R157" si="623">IF(R156="","",IF(R156="12M","1Y",IF(R156="24M","2Y",R156)))</f>
        <v/>
      </c>
      <c r="S157" s="42" t="str">
        <f t="shared" ref="S157" si="624">IF(S156="","",IF(S156="12M","1Y",IF(S156="24M","2Y",S156)))</f>
        <v/>
      </c>
      <c r="T157" s="42" t="str">
        <f t="shared" ref="T157" si="625">IF(T156="","",IF(T156="12M","1Y",IF(T156="24M","2Y",T156)))</f>
        <v/>
      </c>
      <c r="U157" s="42" t="str">
        <f t="shared" ref="U157" si="626">IF(U156="","",IF(U156="12M","1Y",IF(U156="24M","2Y",U156)))</f>
        <v/>
      </c>
      <c r="V157" s="42" t="str">
        <f t="shared" ref="V157" si="627">IF(V156="","",IF(V156="12M","1Y",IF(V156="24M","2Y",V156)))</f>
        <v/>
      </c>
      <c r="W157" s="42" t="str">
        <f t="shared" ref="W157" si="628">IF(W156="","",IF(W156="12M","1Y",IF(W156="24M","2Y",W156)))</f>
        <v/>
      </c>
      <c r="X157" s="42" t="str">
        <f t="shared" ref="X157" si="629">IF(X156="","",IF(X156="12M","1Y",IF(X156="24M","2Y",X156)))</f>
        <v/>
      </c>
      <c r="Y157" s="42" t="str">
        <f t="shared" ref="Y157" si="630">IF(Y156="","",IF(Y156="12M","1Y",IF(Y156="24M","2Y",Y156)))</f>
        <v/>
      </c>
      <c r="Z157" s="42" t="str">
        <f t="shared" ref="Z157" si="631">IF(Z156="","",IF(Z156="12M","1Y",IF(Z156="24M","2Y",Z156)))</f>
        <v/>
      </c>
      <c r="AA157" s="42" t="str">
        <f t="shared" ref="AA157" si="632">IF(AA156="","",IF(AA156="12M","1Y",IF(AA156="24M","2Y",AA156)))</f>
        <v/>
      </c>
      <c r="AB157" s="42" t="str">
        <f t="shared" ref="AB157" si="633">IF(AB156="","",IF(AB156="12M","1Y",IF(AB156="24M","2Y",AB156)))</f>
        <v/>
      </c>
      <c r="AC157" s="42" t="str">
        <f t="shared" ref="AC157" si="634">IF(AC156="","",IF(AC156="12M","1Y",IF(AC156="24M","2Y",AC156)))</f>
        <v/>
      </c>
      <c r="AD157" s="42" t="str">
        <f t="shared" ref="AD157" si="635">IF(AD156="","",IF(AD156="12M","1Y",IF(AD156="24M","2Y",AD156)))</f>
        <v/>
      </c>
      <c r="AE157" s="42" t="str">
        <f t="shared" ref="AE157" si="636">IF(AE156="","",IF(AE156="12M","1Y",IF(AE156="24M","2Y",AE156)))</f>
        <v/>
      </c>
      <c r="AF157" s="42" t="str">
        <f t="shared" ref="AF157" si="637">IF(AF156="","",IF(AF156="12M","1Y",IF(AF156="24M","2Y",AF156)))</f>
        <v/>
      </c>
      <c r="AG157" s="42" t="str">
        <f t="shared" ref="AG157" si="638">IF(AG156="","",IF(AG156="12M","1Y",IF(AG156="24M","2Y",AG156)))</f>
        <v/>
      </c>
      <c r="AH157" s="42" t="str">
        <f t="shared" ref="AH157" si="639">IF(AH156="","",IF(AH156="12M","1Y",IF(AH156="24M","2Y",AH156)))</f>
        <v/>
      </c>
      <c r="AI157" s="42" t="str">
        <f t="shared" ref="AI157" si="640">IF(AI156="","",IF(AI156="12M","1Y",IF(AI156="24M","2Y",AI156)))</f>
        <v/>
      </c>
      <c r="AJ157" s="42" t="str">
        <f t="shared" ref="AJ157" si="641">IF(AJ156="","",IF(AJ156="12M","1Y",IF(AJ156="24M","2Y",AJ156)))</f>
        <v/>
      </c>
      <c r="AK157" s="42" t="str">
        <f t="shared" ref="AK157" si="642">IF(AK156="","",IF(AK156="12M","1Y",IF(AK156="24M","2Y",AK156)))</f>
        <v/>
      </c>
      <c r="AL157" s="42" t="str">
        <f t="shared" ref="AL157" si="643">IF(AL156="","",IF(AL156="12M","1Y",IF(AL156="24M","2Y",AL156)))</f>
        <v/>
      </c>
      <c r="AM157" s="42" t="str">
        <f t="shared" ref="AM157" si="644">IF(AM156="","",IF(AM156="12M","1Y",IF(AM156="24M","2Y",AM156)))</f>
        <v/>
      </c>
      <c r="AN157" s="42" t="str">
        <f t="shared" ref="AN157" si="645">IF(AN156="","",IF(AN156="12M","1Y",IF(AN156="24M","2Y",AN156)))</f>
        <v/>
      </c>
      <c r="AO157" s="42" t="str">
        <f t="shared" ref="AO157" si="646">IF(AO156="","",IF(AO156="12M","1Y",IF(AO156="24M","2Y",AO156)))</f>
        <v/>
      </c>
      <c r="AP157" s="42" t="str">
        <f t="shared" ref="AP157" si="647">IF(AP156="","",IF(AP156="12M","1Y",IF(AP156="24M","2Y",AP156)))</f>
        <v/>
      </c>
      <c r="AQ157" s="42" t="str">
        <f t="shared" ref="AQ157" si="648">IF(AQ156="","",IF(AQ156="12M","1Y",IF(AQ156="24M","2Y",AQ156)))</f>
        <v/>
      </c>
      <c r="AR157" s="42" t="str">
        <f t="shared" ref="AR157" si="649">IF(AR156="","",IF(AR156="12M","1Y",IF(AR156="24M","2Y",AR156)))</f>
        <v/>
      </c>
      <c r="AS157" s="42" t="str">
        <f t="shared" ref="AS157" si="650">IF(AS156="","",IF(AS156="12M","1Y",IF(AS156="24M","2Y",AS156)))</f>
        <v/>
      </c>
      <c r="AT157" s="42" t="str">
        <f t="shared" ref="AT157" si="651">IF(AT156="","",IF(AT156="12M","1Y",IF(AT156="24M","2Y",AT156)))</f>
        <v/>
      </c>
      <c r="AU157" s="42" t="str">
        <f t="shared" ref="AU157" si="652">IF(AU156="","",IF(AU156="12M","1Y",IF(AU156="24M","2Y",AU156)))</f>
        <v/>
      </c>
      <c r="AV157" s="42" t="str">
        <f t="shared" ref="AV157" si="653">IF(AV156="","",IF(AV156="12M","1Y",IF(AV156="24M","2Y",AV156)))</f>
        <v/>
      </c>
      <c r="AW157" s="42" t="str">
        <f t="shared" ref="AW157" si="654">IF(AW156="","",IF(AW156="12M","1Y",IF(AW156="24M","2Y",AW156)))</f>
        <v/>
      </c>
      <c r="AX157" s="42" t="str">
        <f t="shared" ref="AX157" si="655">IF(AX156="","",IF(AX156="12M","1Y",IF(AX156="24M","2Y",AX156)))</f>
        <v/>
      </c>
      <c r="AY157" s="42" t="str">
        <f t="shared" ref="AY157" si="656">IF(AY156="","",IF(AY156="12M","1Y",IF(AY156="24M","2Y",AY156)))</f>
        <v/>
      </c>
      <c r="AZ157" s="42" t="str">
        <f t="shared" ref="AZ157" si="657">IF(AZ156="","",IF(AZ156="12M","1Y",IF(AZ156="24M","2Y",AZ156)))</f>
        <v/>
      </c>
      <c r="BA157" s="42" t="str">
        <f t="shared" ref="BA157" si="658">IF(BA156="","",IF(BA156="12M","1Y",IF(BA156="24M","2Y",BA156)))</f>
        <v/>
      </c>
    </row>
    <row r="158" spans="2:53" s="41" customFormat="1" ht="15" customHeight="1">
      <c r="B158" s="7"/>
      <c r="C158" s="153" t="str">
        <f>trans_getMessage("","Name",,LANG_ID)</f>
        <v>Name</v>
      </c>
      <c r="D158" s="154"/>
      <c r="E158" s="49" t="s">
        <v>49</v>
      </c>
      <c r="F158" s="43" t="e" cm="1">
        <f t="array" aca="1" ref="F158" ca="1">IF(LEFT(_xlfn.SINGLE(_xll.BDP(F159, $E158)),1)="#", "-", _xll.BDP(F159, $E158))</f>
        <v>#NAME?</v>
      </c>
      <c r="G158" s="43" t="e" cm="1">
        <f t="array" aca="1" ref="G158" ca="1">IF(LEFT(_xlfn.SINGLE(_xll.BDP(G159, $E158)),1)="#", "-", _xll.BDP(G159, $E158))</f>
        <v>#NAME?</v>
      </c>
      <c r="H158" s="43" t="e" cm="1">
        <f t="array" aca="1" ref="H158" ca="1">IF(LEFT(_xlfn.SINGLE(_xll.BDP(H159, $E158)),1)="#", "-", _xll.BDP(H159, $E158))</f>
        <v>#NAME?</v>
      </c>
      <c r="I158" s="43" t="e" cm="1">
        <f t="array" aca="1" ref="I158" ca="1">IF(LEFT(_xlfn.SINGLE(_xll.BDP(I159, $E158)),1)="#", "-", _xll.BDP(I159, $E158))</f>
        <v>#NAME?</v>
      </c>
      <c r="J158" s="43" t="e" cm="1">
        <f t="array" aca="1" ref="J158" ca="1">IF(LEFT(_xlfn.SINGLE(_xll.BDP(J159, $E158)),1)="#", "-", _xll.BDP(J159, $E158))</f>
        <v>#NAME?</v>
      </c>
      <c r="K158" s="43" t="e" cm="1">
        <f t="array" aca="1" ref="K158" ca="1">IF(LEFT(_xlfn.SINGLE(_xll.BDP(K159, $E158)),1)="#", "-", _xll.BDP(K159, $E158))</f>
        <v>#NAME?</v>
      </c>
      <c r="L158" s="43" t="e" cm="1">
        <f t="array" aca="1" ref="L158" ca="1">IF(LEFT(_xlfn.SINGLE(_xll.BDP(L159, $E158)),1)="#", "-", _xll.BDP(L159, $E158))</f>
        <v>#NAME?</v>
      </c>
      <c r="M158" s="43" t="e" cm="1">
        <f t="array" aca="1" ref="M158" ca="1">IF(LEFT(_xlfn.SINGLE(_xll.BDP(M159, $E158)),1)="#", "-", _xll.BDP(M159, $E158))</f>
        <v>#NAME?</v>
      </c>
      <c r="N158" s="43" t="e" cm="1">
        <f t="array" aca="1" ref="N158" ca="1">IF(LEFT(_xlfn.SINGLE(_xll.BDP(N159, $E158)),1)="#", "-", _xll.BDP(N159, $E158))</f>
        <v>#NAME?</v>
      </c>
      <c r="O158" s="43" t="e" cm="1">
        <f t="array" aca="1" ref="O158" ca="1">IF(LEFT(_xlfn.SINGLE(_xll.BDP(O159, $E158)),1)="#", "-", _xll.BDP(O159, $E158))</f>
        <v>#NAME?</v>
      </c>
      <c r="P158" s="43" t="e" cm="1">
        <f t="array" aca="1" ref="P158" ca="1">IF(LEFT(_xlfn.SINGLE(_xll.BDP(P159, $E158)),1)="#", "-", _xll.BDP(P159, $E158))</f>
        <v>#NAME?</v>
      </c>
      <c r="Q158" s="43" t="e" cm="1">
        <f t="array" aca="1" ref="Q158" ca="1">IF(LEFT(_xlfn.SINGLE(_xll.BDP(Q159, $E158)),1)="#", "-", _xll.BDP(Q159, $E158))</f>
        <v>#NAME?</v>
      </c>
      <c r="R158" s="43" t="e" cm="1">
        <f t="array" aca="1" ref="R158" ca="1">IF(LEFT(_xlfn.SINGLE(_xll.BDP(R159, $E158)),1)="#", "-", _xll.BDP(R159, $E158))</f>
        <v>#NAME?</v>
      </c>
      <c r="S158" s="43" t="e" cm="1">
        <f t="array" aca="1" ref="S158" ca="1">IF(LEFT(_xlfn.SINGLE(_xll.BDP(S159, $E158)),1)="#", "-", _xll.BDP(S159, $E158))</f>
        <v>#NAME?</v>
      </c>
      <c r="T158" s="43" t="e" cm="1">
        <f t="array" aca="1" ref="T158" ca="1">IF(LEFT(_xlfn.SINGLE(_xll.BDP(T159, $E158)),1)="#", "-", _xll.BDP(T159, $E158))</f>
        <v>#NAME?</v>
      </c>
      <c r="U158" s="43" t="e" cm="1">
        <f t="array" aca="1" ref="U158" ca="1">IF(LEFT(_xlfn.SINGLE(_xll.BDP(U159, $E158)),1)="#", "-", _xll.BDP(U159, $E158))</f>
        <v>#NAME?</v>
      </c>
      <c r="V158" s="43" t="e" cm="1">
        <f t="array" aca="1" ref="V158" ca="1">IF(LEFT(_xlfn.SINGLE(_xll.BDP(V159, $E158)),1)="#", "-", _xll.BDP(V159, $E158))</f>
        <v>#NAME?</v>
      </c>
      <c r="W158" s="43" t="e" cm="1">
        <f t="array" aca="1" ref="W158" ca="1">IF(LEFT(_xlfn.SINGLE(_xll.BDP(W159, $E158)),1)="#", "-", _xll.BDP(W159, $E158))</f>
        <v>#NAME?</v>
      </c>
      <c r="X158" s="43" t="e" cm="1">
        <f t="array" aca="1" ref="X158" ca="1">IF(LEFT(_xlfn.SINGLE(_xll.BDP(X159, $E158)),1)="#", "-", _xll.BDP(X159, $E158))</f>
        <v>#NAME?</v>
      </c>
      <c r="Y158" s="43" t="e" cm="1">
        <f t="array" aca="1" ref="Y158" ca="1">IF(LEFT(_xlfn.SINGLE(_xll.BDP(Y159, $E158)),1)="#", "-", _xll.BDP(Y159, $E158))</f>
        <v>#NAME?</v>
      </c>
      <c r="Z158" s="43" t="e" cm="1">
        <f t="array" aca="1" ref="Z158" ca="1">IF(LEFT(_xlfn.SINGLE(_xll.BDP(Z159, $E158)),1)="#", "-", _xll.BDP(Z159, $E158))</f>
        <v>#NAME?</v>
      </c>
      <c r="AA158" s="43" t="e" cm="1">
        <f t="array" aca="1" ref="AA158" ca="1">IF(LEFT(_xlfn.SINGLE(_xll.BDP(AA159, $E158)),1)="#", "-", _xll.BDP(AA159, $E158))</f>
        <v>#NAME?</v>
      </c>
      <c r="AB158" s="43" t="e" cm="1">
        <f t="array" aca="1" ref="AB158" ca="1">IF(LEFT(_xlfn.SINGLE(_xll.BDP(AB159, $E158)),1)="#", "-", _xll.BDP(AB159, $E158))</f>
        <v>#NAME?</v>
      </c>
      <c r="AC158" s="43" t="e" cm="1">
        <f t="array" aca="1" ref="AC158" ca="1">IF(LEFT(_xlfn.SINGLE(_xll.BDP(AC159, $E158)),1)="#", "-", _xll.BDP(AC159, $E158))</f>
        <v>#NAME?</v>
      </c>
      <c r="AD158" s="43" t="e" cm="1">
        <f t="array" aca="1" ref="AD158" ca="1">IF(LEFT(_xlfn.SINGLE(_xll.BDP(AD159, $E158)),1)="#", "-", _xll.BDP(AD159, $E158))</f>
        <v>#NAME?</v>
      </c>
      <c r="AE158" s="43" t="e" cm="1">
        <f t="array" aca="1" ref="AE158" ca="1">IF(LEFT(_xlfn.SINGLE(_xll.BDP(AE159, $E158)),1)="#", "-", _xll.BDP(AE159, $E158))</f>
        <v>#NAME?</v>
      </c>
      <c r="AF158" s="43" t="e" cm="1">
        <f t="array" aca="1" ref="AF158" ca="1">IF(LEFT(_xlfn.SINGLE(_xll.BDP(AF159, $E158)),1)="#", "-", _xll.BDP(AF159, $E158))</f>
        <v>#NAME?</v>
      </c>
      <c r="AG158" s="43" t="e" cm="1">
        <f t="array" aca="1" ref="AG158" ca="1">IF(LEFT(_xlfn.SINGLE(_xll.BDP(AG159, $E158)),1)="#", "-", _xll.BDP(AG159, $E158))</f>
        <v>#NAME?</v>
      </c>
      <c r="AH158" s="43" t="e" cm="1">
        <f t="array" aca="1" ref="AH158" ca="1">IF(LEFT(_xlfn.SINGLE(_xll.BDP(AH159, $E158)),1)="#", "-", _xll.BDP(AH159, $E158))</f>
        <v>#NAME?</v>
      </c>
      <c r="AI158" s="43" t="e" cm="1">
        <f t="array" aca="1" ref="AI158" ca="1">IF(LEFT(_xlfn.SINGLE(_xll.BDP(AI159, $E158)),1)="#", "-", _xll.BDP(AI159, $E158))</f>
        <v>#NAME?</v>
      </c>
      <c r="AJ158" s="43" t="e" cm="1">
        <f t="array" aca="1" ref="AJ158" ca="1">IF(LEFT(_xlfn.SINGLE(_xll.BDP(AJ159, $E158)),1)="#", "-", _xll.BDP(AJ159, $E158))</f>
        <v>#NAME?</v>
      </c>
      <c r="AK158" s="43" t="e" cm="1">
        <f t="array" aca="1" ref="AK158" ca="1">IF(LEFT(_xlfn.SINGLE(_xll.BDP(AK159, $E158)),1)="#", "-", _xll.BDP(AK159, $E158))</f>
        <v>#NAME?</v>
      </c>
      <c r="AL158" s="43" t="e" cm="1">
        <f t="array" aca="1" ref="AL158" ca="1">IF(LEFT(_xlfn.SINGLE(_xll.BDP(AL159, $E158)),1)="#", "-", _xll.BDP(AL159, $E158))</f>
        <v>#NAME?</v>
      </c>
      <c r="AM158" s="43" t="e" cm="1">
        <f t="array" aca="1" ref="AM158" ca="1">IF(LEFT(_xlfn.SINGLE(_xll.BDP(AM159, $E158)),1)="#", "-", _xll.BDP(AM159, $E158))</f>
        <v>#NAME?</v>
      </c>
      <c r="AN158" s="43" t="e" cm="1">
        <f t="array" aca="1" ref="AN158" ca="1">IF(LEFT(_xlfn.SINGLE(_xll.BDP(AN159, $E158)),1)="#", "-", _xll.BDP(AN159, $E158))</f>
        <v>#NAME?</v>
      </c>
      <c r="AO158" s="43" t="e" cm="1">
        <f t="array" aca="1" ref="AO158" ca="1">IF(LEFT(_xlfn.SINGLE(_xll.BDP(AO159, $E158)),1)="#", "-", _xll.BDP(AO159, $E158))</f>
        <v>#NAME?</v>
      </c>
      <c r="AP158" s="43" t="e" cm="1">
        <f t="array" aca="1" ref="AP158" ca="1">IF(LEFT(_xlfn.SINGLE(_xll.BDP(AP159, $E158)),1)="#", "-", _xll.BDP(AP159, $E158))</f>
        <v>#NAME?</v>
      </c>
      <c r="AQ158" s="43" t="e" cm="1">
        <f t="array" aca="1" ref="AQ158" ca="1">IF(LEFT(_xlfn.SINGLE(_xll.BDP(AQ159, $E158)),1)="#", "-", _xll.BDP(AQ159, $E158))</f>
        <v>#NAME?</v>
      </c>
      <c r="AR158" s="43" t="e" cm="1">
        <f t="array" aca="1" ref="AR158" ca="1">IF(LEFT(_xlfn.SINGLE(_xll.BDP(AR159, $E158)),1)="#", "-", _xll.BDP(AR159, $E158))</f>
        <v>#NAME?</v>
      </c>
      <c r="AS158" s="43" t="e" cm="1">
        <f t="array" aca="1" ref="AS158" ca="1">IF(LEFT(_xlfn.SINGLE(_xll.BDP(AS159, $E158)),1)="#", "-", _xll.BDP(AS159, $E158))</f>
        <v>#NAME?</v>
      </c>
      <c r="AT158" s="43" t="e" cm="1">
        <f t="array" aca="1" ref="AT158" ca="1">IF(LEFT(_xlfn.SINGLE(_xll.BDP(AT159, $E158)),1)="#", "-", _xll.BDP(AT159, $E158))</f>
        <v>#NAME?</v>
      </c>
      <c r="AU158" s="43" t="e" cm="1">
        <f t="array" aca="1" ref="AU158" ca="1">IF(LEFT(_xlfn.SINGLE(_xll.BDP(AU159, $E158)),1)="#", "-", _xll.BDP(AU159, $E158))</f>
        <v>#NAME?</v>
      </c>
      <c r="AV158" s="43" t="e" cm="1">
        <f t="array" aca="1" ref="AV158" ca="1">IF(LEFT(_xlfn.SINGLE(_xll.BDP(AV159, $E158)),1)="#", "-", _xll.BDP(AV159, $E158))</f>
        <v>#NAME?</v>
      </c>
      <c r="AW158" s="43" t="e" cm="1">
        <f t="array" aca="1" ref="AW158" ca="1">IF(LEFT(_xlfn.SINGLE(_xll.BDP(AW159, $E158)),1)="#", "-", _xll.BDP(AW159, $E158))</f>
        <v>#NAME?</v>
      </c>
      <c r="AX158" s="43" t="e" cm="1">
        <f t="array" aca="1" ref="AX158" ca="1">IF(LEFT(_xlfn.SINGLE(_xll.BDP(AX159, $E158)),1)="#", "-", _xll.BDP(AX159, $E158))</f>
        <v>#NAME?</v>
      </c>
      <c r="AY158" s="43" t="e" cm="1">
        <f t="array" aca="1" ref="AY158" ca="1">IF(LEFT(_xlfn.SINGLE(_xll.BDP(AY159, $E158)),1)="#", "-", _xll.BDP(AY159, $E158))</f>
        <v>#NAME?</v>
      </c>
      <c r="AZ158" s="43" t="e" cm="1">
        <f t="array" aca="1" ref="AZ158" ca="1">IF(LEFT(_xlfn.SINGLE(_xll.BDP(AZ159, $E158)),1)="#", "-", _xll.BDP(AZ159, $E158))</f>
        <v>#NAME?</v>
      </c>
      <c r="BA158" s="45" t="e" cm="1">
        <f t="array" aca="1" ref="BA158" ca="1">IF(LEFT(_xlfn.SINGLE(_xll.BDP(BA159, $E158)),1)="#", "-", _xll.BDP(BA159, $E158))</f>
        <v>#NAME?</v>
      </c>
    </row>
    <row r="159" spans="2:53" ht="15" customHeight="1">
      <c r="B159" s="40"/>
      <c r="C159" s="145" t="str">
        <f>trans_getMessage("","Curve Tickers",,LANG_ID)</f>
        <v>Curve Tickers</v>
      </c>
      <c r="D159" s="146"/>
      <c r="E159" s="50" t="s">
        <v>46</v>
      </c>
      <c r="F159" s="42" t="e" cm="1">
        <f t="array" aca="1" ref="F159" ca="1">_xll.BDS(E154,E159,"Dir=H",)</f>
        <v>#NAME?</v>
      </c>
      <c r="G159" s="42"/>
      <c r="H159" s="42"/>
      <c r="I159" s="42"/>
      <c r="J159" s="42"/>
      <c r="K159" s="42"/>
      <c r="L159" s="42"/>
      <c r="M159" s="42"/>
      <c r="N159" s="42"/>
      <c r="O159" s="42"/>
      <c r="P159" s="42"/>
      <c r="Q159" s="42"/>
      <c r="R159" s="42"/>
      <c r="S159" s="42"/>
      <c r="T159" s="42"/>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c r="AW159" s="42"/>
      <c r="AX159" s="42"/>
      <c r="AY159" s="42"/>
      <c r="AZ159" s="42"/>
      <c r="BA159" s="44"/>
    </row>
    <row r="160" spans="2:53" ht="15" customHeight="1">
      <c r="C160" s="138" t="str">
        <f>trans_getMessage("","Rate",,LANG_ID)</f>
        <v>Rate</v>
      </c>
      <c r="D160" s="139"/>
      <c r="E160" s="51" t="s">
        <v>44</v>
      </c>
      <c r="F160" s="46" t="str" cm="1">
        <f t="array" aca="1" ref="F160" ca="1">IF(ISERROR(_xlfn.SINGLE(_xll.BDP(F159, $E160))*1), "-", _xll.BDP(F159, $E160))</f>
        <v>-</v>
      </c>
      <c r="G160" s="46" t="str" cm="1">
        <f t="array" aca="1" ref="G160" ca="1">IF(ISERROR(_xlfn.SINGLE(_xll.BDP(G159, $E160))*1), "-", _xll.BDP(G159, $E160))</f>
        <v>-</v>
      </c>
      <c r="H160" s="46" t="str" cm="1">
        <f t="array" aca="1" ref="H160" ca="1">IF(ISERROR(_xlfn.SINGLE(_xll.BDP(H159, $E160))*1), "-", _xll.BDP(H159, $E160))</f>
        <v>-</v>
      </c>
      <c r="I160" s="46" t="str" cm="1">
        <f t="array" aca="1" ref="I160" ca="1">IF(ISERROR(_xlfn.SINGLE(_xll.BDP(I159, $E160))*1), "-", _xll.BDP(I159, $E160))</f>
        <v>-</v>
      </c>
      <c r="J160" s="46" t="str" cm="1">
        <f t="array" aca="1" ref="J160" ca="1">IF(ISERROR(_xlfn.SINGLE(_xll.BDP(J159, $E160))*1), "-", _xll.BDP(J159, $E160))</f>
        <v>-</v>
      </c>
      <c r="K160" s="46" t="str" cm="1">
        <f t="array" aca="1" ref="K160" ca="1">IF(ISERROR(_xlfn.SINGLE(_xll.BDP(K159, $E160))*1), "-", _xll.BDP(K159, $E160))</f>
        <v>-</v>
      </c>
      <c r="L160" s="46" t="str" cm="1">
        <f t="array" aca="1" ref="L160" ca="1">IF(ISERROR(_xlfn.SINGLE(_xll.BDP(L159, $E160))*1), "-", _xll.BDP(L159, $E160))</f>
        <v>-</v>
      </c>
      <c r="M160" s="46" t="str" cm="1">
        <f t="array" aca="1" ref="M160" ca="1">IF(ISERROR(_xlfn.SINGLE(_xll.BDP(M159, $E160))*1), "-", _xll.BDP(M159, $E160))</f>
        <v>-</v>
      </c>
      <c r="N160" s="46" t="str" cm="1">
        <f t="array" aca="1" ref="N160" ca="1">IF(ISERROR(_xlfn.SINGLE(_xll.BDP(N159, $E160))*1), "-", _xll.BDP(N159, $E160))</f>
        <v>-</v>
      </c>
      <c r="O160" s="46" t="str" cm="1">
        <f t="array" aca="1" ref="O160" ca="1">IF(ISERROR(_xlfn.SINGLE(_xll.BDP(O159, $E160))*1), "-", _xll.BDP(O159, $E160))</f>
        <v>-</v>
      </c>
      <c r="P160" s="46" t="str" cm="1">
        <f t="array" aca="1" ref="P160" ca="1">IF(ISERROR(_xlfn.SINGLE(_xll.BDP(P159, $E160))*1), "-", _xll.BDP(P159, $E160))</f>
        <v>-</v>
      </c>
      <c r="Q160" s="46" t="str" cm="1">
        <f t="array" aca="1" ref="Q160" ca="1">IF(ISERROR(_xlfn.SINGLE(_xll.BDP(Q159, $E160))*1), "-", _xll.BDP(Q159, $E160))</f>
        <v>-</v>
      </c>
      <c r="R160" s="46" t="str" cm="1">
        <f t="array" aca="1" ref="R160" ca="1">IF(ISERROR(_xlfn.SINGLE(_xll.BDP(R159, $E160))*1), "-", _xll.BDP(R159, $E160))</f>
        <v>-</v>
      </c>
      <c r="S160" s="46" t="str" cm="1">
        <f t="array" aca="1" ref="S160" ca="1">IF(ISERROR(_xlfn.SINGLE(_xll.BDP(S159, $E160))*1), "-", _xll.BDP(S159, $E160))</f>
        <v>-</v>
      </c>
      <c r="T160" s="46" t="str" cm="1">
        <f t="array" aca="1" ref="T160" ca="1">IF(ISERROR(_xlfn.SINGLE(_xll.BDP(T159, $E160))*1), "-", _xll.BDP(T159, $E160))</f>
        <v>-</v>
      </c>
      <c r="U160" s="46" t="str" cm="1">
        <f t="array" aca="1" ref="U160" ca="1">IF(ISERROR(_xlfn.SINGLE(_xll.BDP(U159, $E160))*1), "-", _xll.BDP(U159, $E160))</f>
        <v>-</v>
      </c>
      <c r="V160" s="46" t="str" cm="1">
        <f t="array" aca="1" ref="V160" ca="1">IF(ISERROR(_xlfn.SINGLE(_xll.BDP(V159, $E160))*1), "-", _xll.BDP(V159, $E160))</f>
        <v>-</v>
      </c>
      <c r="W160" s="46" t="str" cm="1">
        <f t="array" aca="1" ref="W160" ca="1">IF(ISERROR(_xlfn.SINGLE(_xll.BDP(W159, $E160))*1), "-", _xll.BDP(W159, $E160))</f>
        <v>-</v>
      </c>
      <c r="X160" s="46" t="str" cm="1">
        <f t="array" aca="1" ref="X160" ca="1">IF(ISERROR(_xlfn.SINGLE(_xll.BDP(X159, $E160))*1), "-", _xll.BDP(X159, $E160))</f>
        <v>-</v>
      </c>
      <c r="Y160" s="46" t="str" cm="1">
        <f t="array" aca="1" ref="Y160" ca="1">IF(ISERROR(_xlfn.SINGLE(_xll.BDP(Y159, $E160))*1), "-", _xll.BDP(Y159, $E160))</f>
        <v>-</v>
      </c>
      <c r="Z160" s="46" t="str" cm="1">
        <f t="array" aca="1" ref="Z160" ca="1">IF(ISERROR(_xlfn.SINGLE(_xll.BDP(Z159, $E160))*1), "-", _xll.BDP(Z159, $E160))</f>
        <v>-</v>
      </c>
      <c r="AA160" s="46" t="str" cm="1">
        <f t="array" aca="1" ref="AA160" ca="1">IF(ISERROR(_xlfn.SINGLE(_xll.BDP(AA159, $E160))*1), "-", _xll.BDP(AA159, $E160))</f>
        <v>-</v>
      </c>
      <c r="AB160" s="46" t="str" cm="1">
        <f t="array" aca="1" ref="AB160" ca="1">IF(ISERROR(_xlfn.SINGLE(_xll.BDP(AB159, $E160))*1), "-", _xll.BDP(AB159, $E160))</f>
        <v>-</v>
      </c>
      <c r="AC160" s="46" t="str" cm="1">
        <f t="array" aca="1" ref="AC160" ca="1">IF(ISERROR(_xlfn.SINGLE(_xll.BDP(AC159, $E160))*1), "-", _xll.BDP(AC159, $E160))</f>
        <v>-</v>
      </c>
      <c r="AD160" s="46" t="str" cm="1">
        <f t="array" aca="1" ref="AD160" ca="1">IF(ISERROR(_xlfn.SINGLE(_xll.BDP(AD159, $E160))*1), "-", _xll.BDP(AD159, $E160))</f>
        <v>-</v>
      </c>
      <c r="AE160" s="46" t="str" cm="1">
        <f t="array" aca="1" ref="AE160" ca="1">IF(ISERROR(_xlfn.SINGLE(_xll.BDP(AE159, $E160))*1), "-", _xll.BDP(AE159, $E160))</f>
        <v>-</v>
      </c>
      <c r="AF160" s="46" t="str" cm="1">
        <f t="array" aca="1" ref="AF160" ca="1">IF(ISERROR(_xlfn.SINGLE(_xll.BDP(AF159, $E160))*1), "-", _xll.BDP(AF159, $E160))</f>
        <v>-</v>
      </c>
      <c r="AG160" s="46" t="str" cm="1">
        <f t="array" aca="1" ref="AG160" ca="1">IF(ISERROR(_xlfn.SINGLE(_xll.BDP(AG159, $E160))*1), "-", _xll.BDP(AG159, $E160))</f>
        <v>-</v>
      </c>
      <c r="AH160" s="46" t="str" cm="1">
        <f t="array" aca="1" ref="AH160" ca="1">IF(ISERROR(_xlfn.SINGLE(_xll.BDP(AH159, $E160))*1), "-", _xll.BDP(AH159, $E160))</f>
        <v>-</v>
      </c>
      <c r="AI160" s="46" t="str" cm="1">
        <f t="array" aca="1" ref="AI160" ca="1">IF(ISERROR(_xlfn.SINGLE(_xll.BDP(AI159, $E160))*1), "-", _xll.BDP(AI159, $E160))</f>
        <v>-</v>
      </c>
      <c r="AJ160" s="46" t="str" cm="1">
        <f t="array" aca="1" ref="AJ160" ca="1">IF(ISERROR(_xlfn.SINGLE(_xll.BDP(AJ159, $E160))*1), "-", _xll.BDP(AJ159, $E160))</f>
        <v>-</v>
      </c>
      <c r="AK160" s="46" t="str" cm="1">
        <f t="array" aca="1" ref="AK160" ca="1">IF(ISERROR(_xlfn.SINGLE(_xll.BDP(AK159, $E160))*1), "-", _xll.BDP(AK159, $E160))</f>
        <v>-</v>
      </c>
      <c r="AL160" s="46" t="str" cm="1">
        <f t="array" aca="1" ref="AL160" ca="1">IF(ISERROR(_xlfn.SINGLE(_xll.BDP(AL159, $E160))*1), "-", _xll.BDP(AL159, $E160))</f>
        <v>-</v>
      </c>
      <c r="AM160" s="46" t="str" cm="1">
        <f t="array" aca="1" ref="AM160" ca="1">IF(ISERROR(_xlfn.SINGLE(_xll.BDP(AM159, $E160))*1), "-", _xll.BDP(AM159, $E160))</f>
        <v>-</v>
      </c>
      <c r="AN160" s="46" t="str" cm="1">
        <f t="array" aca="1" ref="AN160" ca="1">IF(ISERROR(_xlfn.SINGLE(_xll.BDP(AN159, $E160))*1), "-", _xll.BDP(AN159, $E160))</f>
        <v>-</v>
      </c>
      <c r="AO160" s="46" t="str" cm="1">
        <f t="array" aca="1" ref="AO160" ca="1">IF(ISERROR(_xlfn.SINGLE(_xll.BDP(AO159, $E160))*1), "-", _xll.BDP(AO159, $E160))</f>
        <v>-</v>
      </c>
      <c r="AP160" s="46" t="str" cm="1">
        <f t="array" aca="1" ref="AP160" ca="1">IF(ISERROR(_xlfn.SINGLE(_xll.BDP(AP159, $E160))*1), "-", _xll.BDP(AP159, $E160))</f>
        <v>-</v>
      </c>
      <c r="AQ160" s="46" t="str" cm="1">
        <f t="array" aca="1" ref="AQ160" ca="1">IF(ISERROR(_xlfn.SINGLE(_xll.BDP(AQ159, $E160))*1), "-", _xll.BDP(AQ159, $E160))</f>
        <v>-</v>
      </c>
      <c r="AR160" s="46" t="str" cm="1">
        <f t="array" aca="1" ref="AR160" ca="1">IF(ISERROR(_xlfn.SINGLE(_xll.BDP(AR159, $E160))*1), "-", _xll.BDP(AR159, $E160))</f>
        <v>-</v>
      </c>
      <c r="AS160" s="46" t="str" cm="1">
        <f t="array" aca="1" ref="AS160" ca="1">IF(ISERROR(_xlfn.SINGLE(_xll.BDP(AS159, $E160))*1), "-", _xll.BDP(AS159, $E160))</f>
        <v>-</v>
      </c>
      <c r="AT160" s="46" t="str" cm="1">
        <f t="array" aca="1" ref="AT160" ca="1">IF(ISERROR(_xlfn.SINGLE(_xll.BDP(AT159, $E160))*1), "-", _xll.BDP(AT159, $E160))</f>
        <v>-</v>
      </c>
      <c r="AU160" s="46" t="str" cm="1">
        <f t="array" aca="1" ref="AU160" ca="1">IF(ISERROR(_xlfn.SINGLE(_xll.BDP(AU159, $E160))*1), "-", _xll.BDP(AU159, $E160))</f>
        <v>-</v>
      </c>
      <c r="AV160" s="46" t="str" cm="1">
        <f t="array" aca="1" ref="AV160" ca="1">IF(ISERROR(_xlfn.SINGLE(_xll.BDP(AV159, $E160))*1), "-", _xll.BDP(AV159, $E160))</f>
        <v>-</v>
      </c>
      <c r="AW160" s="46" t="str" cm="1">
        <f t="array" aca="1" ref="AW160" ca="1">IF(ISERROR(_xlfn.SINGLE(_xll.BDP(AW159, $E160))*1), "-", _xll.BDP(AW159, $E160))</f>
        <v>-</v>
      </c>
      <c r="AX160" s="46" t="str" cm="1">
        <f t="array" aca="1" ref="AX160" ca="1">IF(ISERROR(_xlfn.SINGLE(_xll.BDP(AX159, $E160))*1), "-", _xll.BDP(AX159, $E160))</f>
        <v>-</v>
      </c>
      <c r="AY160" s="46" t="str" cm="1">
        <f t="array" aca="1" ref="AY160" ca="1">IF(ISERROR(_xlfn.SINGLE(_xll.BDP(AY159, $E160))*1), "-", _xll.BDP(AY159, $E160))</f>
        <v>-</v>
      </c>
      <c r="AZ160" s="46" t="str" cm="1">
        <f t="array" aca="1" ref="AZ160" ca="1">IF(ISERROR(_xlfn.SINGLE(_xll.BDP(AZ159, $E160))*1), "-", _xll.BDP(AZ159, $E160))</f>
        <v>-</v>
      </c>
      <c r="BA160" s="47" t="str" cm="1">
        <f t="array" aca="1" ref="BA160" ca="1">IF(ISERROR(_xlfn.SINGLE(_xll.BDP(BA159, $E160))*1), "-", _xll.BDP(BA159, $E160))</f>
        <v>-</v>
      </c>
    </row>
    <row r="161" spans="2:53" ht="15" hidden="1" customHeight="1"/>
    <row r="162" spans="2:53" ht="5.15" customHeight="1"/>
    <row r="163" spans="2:53" ht="15" customHeight="1">
      <c r="B163" s="38" t="s">
        <v>95</v>
      </c>
      <c r="C163" s="140" t="str">
        <f>trans_getMessage("","Curve Number",,LANG_ID)</f>
        <v>Curve Number</v>
      </c>
      <c r="D163" s="141"/>
      <c r="E163" s="142">
        <f>VLOOKUP(B163, 'Currency-Curve List'!$C$9:$E$103, 2, FALSE)</f>
        <v>162</v>
      </c>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4"/>
    </row>
    <row r="164" spans="2:53" ht="15" customHeight="1">
      <c r="C164" s="145" t="str">
        <f>trans_getMessage("","Curve Index",,LANG_ID)</f>
        <v>Curve Index</v>
      </c>
      <c r="D164" s="146"/>
      <c r="E164" s="147" t="str">
        <f>VLOOKUP(B163, 'Currency-Curve List'!$C$9:$E$103, 3, FALSE)</f>
        <v>YCSW0162 Index</v>
      </c>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9"/>
    </row>
    <row r="165" spans="2:53" ht="15" customHeight="1">
      <c r="C165" s="145" t="str">
        <f>trans_getMessage("","Curve Name",,LANG_ID)</f>
        <v>Curve Name</v>
      </c>
      <c r="D165" s="146"/>
      <c r="E165" s="150" t="e" cm="1">
        <f t="array" aca="1" ref="E165" ca="1">_xll.BDP(E164, "NAME")</f>
        <v>#NAME?</v>
      </c>
      <c r="F165" s="151"/>
      <c r="G165" s="151"/>
      <c r="H165" s="151"/>
      <c r="I165" s="151"/>
      <c r="J165" s="151"/>
      <c r="K165" s="151"/>
      <c r="L165" s="151"/>
      <c r="M165" s="151"/>
      <c r="N165" s="151"/>
      <c r="O165" s="151"/>
      <c r="P165" s="151"/>
      <c r="Q165" s="151"/>
      <c r="R165" s="151"/>
      <c r="S165" s="151"/>
      <c r="T165" s="151"/>
      <c r="U165" s="151"/>
      <c r="V165" s="151"/>
      <c r="W165" s="151"/>
      <c r="X165" s="151"/>
      <c r="Y165" s="151"/>
      <c r="Z165" s="151"/>
      <c r="AA165" s="151"/>
      <c r="AB165" s="151"/>
      <c r="AC165" s="151"/>
      <c r="AD165" s="151"/>
      <c r="AE165" s="151"/>
      <c r="AF165" s="151"/>
      <c r="AG165" s="151"/>
      <c r="AH165" s="151"/>
      <c r="AI165" s="151"/>
      <c r="AJ165" s="151"/>
      <c r="AK165" s="151"/>
      <c r="AL165" s="151"/>
      <c r="AM165" s="151"/>
      <c r="AN165" s="151"/>
      <c r="AO165" s="151"/>
      <c r="AP165" s="151"/>
      <c r="AQ165" s="151"/>
      <c r="AR165" s="151"/>
      <c r="AS165" s="151"/>
      <c r="AT165" s="151"/>
      <c r="AU165" s="151"/>
      <c r="AV165" s="151"/>
      <c r="AW165" s="151"/>
      <c r="AX165" s="151"/>
      <c r="AY165" s="151"/>
      <c r="AZ165" s="151"/>
      <c r="BA165" s="152"/>
    </row>
    <row r="166" spans="2:53" ht="15" customHeight="1">
      <c r="C166" s="145" t="str">
        <f>trans_getMessage("","Tenors",,LANG_ID)</f>
        <v>Tenors</v>
      </c>
      <c r="D166" s="146"/>
      <c r="E166" s="48" t="s">
        <v>50</v>
      </c>
      <c r="F166" s="42" t="e" cm="1">
        <f t="array" aca="1" ref="F166" ca="1">_xll.BDS(E164,E166,"Dir=H",)</f>
        <v>#NAME?</v>
      </c>
      <c r="G166" s="42"/>
      <c r="H166" s="42"/>
      <c r="I166" s="42"/>
      <c r="J166" s="42"/>
      <c r="K166" s="42"/>
      <c r="L166" s="42"/>
      <c r="M166" s="42"/>
      <c r="N166" s="42"/>
      <c r="O166" s="42"/>
      <c r="P166" s="42"/>
      <c r="Q166" s="42"/>
      <c r="R166" s="42"/>
      <c r="S166" s="42"/>
      <c r="T166" s="42"/>
      <c r="U166" s="42"/>
      <c r="V166" s="42"/>
      <c r="W166" s="42"/>
      <c r="X166" s="42"/>
      <c r="Y166" s="42"/>
      <c r="Z166" s="42"/>
      <c r="AA166" s="42"/>
      <c r="AB166" s="42"/>
      <c r="AC166" s="42"/>
      <c r="AD166" s="42"/>
      <c r="AE166" s="42"/>
      <c r="AF166" s="42"/>
      <c r="AG166" s="42"/>
      <c r="AH166" s="42"/>
      <c r="AI166" s="42"/>
      <c r="AJ166" s="42"/>
      <c r="AK166" s="42"/>
      <c r="AL166" s="42"/>
      <c r="AM166" s="42"/>
      <c r="AN166" s="42"/>
      <c r="AO166" s="42"/>
      <c r="AP166" s="42"/>
      <c r="AQ166" s="42"/>
      <c r="AR166" s="42"/>
      <c r="AS166" s="42"/>
      <c r="AT166" s="42"/>
      <c r="AU166" s="42"/>
      <c r="AV166" s="42"/>
      <c r="AW166" s="42"/>
      <c r="AX166" s="42"/>
      <c r="AY166" s="42"/>
      <c r="AZ166" s="42"/>
      <c r="BA166" s="44"/>
    </row>
    <row r="167" spans="2:53" ht="15" hidden="1" customHeight="1">
      <c r="C167" s="145" t="s">
        <v>2211</v>
      </c>
      <c r="D167" s="146"/>
      <c r="E167" s="48"/>
      <c r="F167" s="42" t="e">
        <f ca="1">IF(F166="","",IF(F166="12M","1Y",IF(F166="24M","2Y",F166)))</f>
        <v>#NAME?</v>
      </c>
      <c r="G167" s="42" t="str">
        <f t="shared" ref="G167" si="659">IF(G166="","",IF(G166="12M","1Y",IF(G166="24M","2Y",G166)))</f>
        <v/>
      </c>
      <c r="H167" s="42" t="str">
        <f t="shared" ref="H167" si="660">IF(H166="","",IF(H166="12M","1Y",IF(H166="24M","2Y",H166)))</f>
        <v/>
      </c>
      <c r="I167" s="42" t="str">
        <f t="shared" ref="I167" si="661">IF(I166="","",IF(I166="12M","1Y",IF(I166="24M","2Y",I166)))</f>
        <v/>
      </c>
      <c r="J167" s="42" t="str">
        <f t="shared" ref="J167" si="662">IF(J166="","",IF(J166="12M","1Y",IF(J166="24M","2Y",J166)))</f>
        <v/>
      </c>
      <c r="K167" s="42" t="str">
        <f t="shared" ref="K167" si="663">IF(K166="","",IF(K166="12M","1Y",IF(K166="24M","2Y",K166)))</f>
        <v/>
      </c>
      <c r="L167" s="42" t="str">
        <f t="shared" ref="L167" si="664">IF(L166="","",IF(L166="12M","1Y",IF(L166="24M","2Y",L166)))</f>
        <v/>
      </c>
      <c r="M167" s="42" t="str">
        <f t="shared" ref="M167" si="665">IF(M166="","",IF(M166="12M","1Y",IF(M166="24M","2Y",M166)))</f>
        <v/>
      </c>
      <c r="N167" s="42" t="str">
        <f t="shared" ref="N167" si="666">IF(N166="","",IF(N166="12M","1Y",IF(N166="24M","2Y",N166)))</f>
        <v/>
      </c>
      <c r="O167" s="42" t="str">
        <f t="shared" ref="O167" si="667">IF(O166="","",IF(O166="12M","1Y",IF(O166="24M","2Y",O166)))</f>
        <v/>
      </c>
      <c r="P167" s="42" t="str">
        <f t="shared" ref="P167" si="668">IF(P166="","",IF(P166="12M","1Y",IF(P166="24M","2Y",P166)))</f>
        <v/>
      </c>
      <c r="Q167" s="42" t="str">
        <f t="shared" ref="Q167" si="669">IF(Q166="","",IF(Q166="12M","1Y",IF(Q166="24M","2Y",Q166)))</f>
        <v/>
      </c>
      <c r="R167" s="42" t="str">
        <f t="shared" ref="R167" si="670">IF(R166="","",IF(R166="12M","1Y",IF(R166="24M","2Y",R166)))</f>
        <v/>
      </c>
      <c r="S167" s="42" t="str">
        <f t="shared" ref="S167" si="671">IF(S166="","",IF(S166="12M","1Y",IF(S166="24M","2Y",S166)))</f>
        <v/>
      </c>
      <c r="T167" s="42" t="str">
        <f t="shared" ref="T167" si="672">IF(T166="","",IF(T166="12M","1Y",IF(T166="24M","2Y",T166)))</f>
        <v/>
      </c>
      <c r="U167" s="42" t="str">
        <f t="shared" ref="U167" si="673">IF(U166="","",IF(U166="12M","1Y",IF(U166="24M","2Y",U166)))</f>
        <v/>
      </c>
      <c r="V167" s="42" t="str">
        <f t="shared" ref="V167" si="674">IF(V166="","",IF(V166="12M","1Y",IF(V166="24M","2Y",V166)))</f>
        <v/>
      </c>
      <c r="W167" s="42" t="str">
        <f t="shared" ref="W167" si="675">IF(W166="","",IF(W166="12M","1Y",IF(W166="24M","2Y",W166)))</f>
        <v/>
      </c>
      <c r="X167" s="42" t="str">
        <f t="shared" ref="X167" si="676">IF(X166="","",IF(X166="12M","1Y",IF(X166="24M","2Y",X166)))</f>
        <v/>
      </c>
      <c r="Y167" s="42" t="str">
        <f t="shared" ref="Y167" si="677">IF(Y166="","",IF(Y166="12M","1Y",IF(Y166="24M","2Y",Y166)))</f>
        <v/>
      </c>
      <c r="Z167" s="42" t="str">
        <f t="shared" ref="Z167" si="678">IF(Z166="","",IF(Z166="12M","1Y",IF(Z166="24M","2Y",Z166)))</f>
        <v/>
      </c>
      <c r="AA167" s="42" t="str">
        <f t="shared" ref="AA167" si="679">IF(AA166="","",IF(AA166="12M","1Y",IF(AA166="24M","2Y",AA166)))</f>
        <v/>
      </c>
      <c r="AB167" s="42" t="str">
        <f t="shared" ref="AB167" si="680">IF(AB166="","",IF(AB166="12M","1Y",IF(AB166="24M","2Y",AB166)))</f>
        <v/>
      </c>
      <c r="AC167" s="42" t="str">
        <f t="shared" ref="AC167" si="681">IF(AC166="","",IF(AC166="12M","1Y",IF(AC166="24M","2Y",AC166)))</f>
        <v/>
      </c>
      <c r="AD167" s="42" t="str">
        <f t="shared" ref="AD167" si="682">IF(AD166="","",IF(AD166="12M","1Y",IF(AD166="24M","2Y",AD166)))</f>
        <v/>
      </c>
      <c r="AE167" s="42" t="str">
        <f t="shared" ref="AE167" si="683">IF(AE166="","",IF(AE166="12M","1Y",IF(AE166="24M","2Y",AE166)))</f>
        <v/>
      </c>
      <c r="AF167" s="42" t="str">
        <f t="shared" ref="AF167" si="684">IF(AF166="","",IF(AF166="12M","1Y",IF(AF166="24M","2Y",AF166)))</f>
        <v/>
      </c>
      <c r="AG167" s="42" t="str">
        <f t="shared" ref="AG167" si="685">IF(AG166="","",IF(AG166="12M","1Y",IF(AG166="24M","2Y",AG166)))</f>
        <v/>
      </c>
      <c r="AH167" s="42" t="str">
        <f t="shared" ref="AH167" si="686">IF(AH166="","",IF(AH166="12M","1Y",IF(AH166="24M","2Y",AH166)))</f>
        <v/>
      </c>
      <c r="AI167" s="42" t="str">
        <f t="shared" ref="AI167" si="687">IF(AI166="","",IF(AI166="12M","1Y",IF(AI166="24M","2Y",AI166)))</f>
        <v/>
      </c>
      <c r="AJ167" s="42" t="str">
        <f t="shared" ref="AJ167" si="688">IF(AJ166="","",IF(AJ166="12M","1Y",IF(AJ166="24M","2Y",AJ166)))</f>
        <v/>
      </c>
      <c r="AK167" s="42" t="str">
        <f t="shared" ref="AK167" si="689">IF(AK166="","",IF(AK166="12M","1Y",IF(AK166="24M","2Y",AK166)))</f>
        <v/>
      </c>
      <c r="AL167" s="42" t="str">
        <f t="shared" ref="AL167" si="690">IF(AL166="","",IF(AL166="12M","1Y",IF(AL166="24M","2Y",AL166)))</f>
        <v/>
      </c>
      <c r="AM167" s="42" t="str">
        <f t="shared" ref="AM167" si="691">IF(AM166="","",IF(AM166="12M","1Y",IF(AM166="24M","2Y",AM166)))</f>
        <v/>
      </c>
      <c r="AN167" s="42" t="str">
        <f t="shared" ref="AN167" si="692">IF(AN166="","",IF(AN166="12M","1Y",IF(AN166="24M","2Y",AN166)))</f>
        <v/>
      </c>
      <c r="AO167" s="42" t="str">
        <f t="shared" ref="AO167" si="693">IF(AO166="","",IF(AO166="12M","1Y",IF(AO166="24M","2Y",AO166)))</f>
        <v/>
      </c>
      <c r="AP167" s="42" t="str">
        <f t="shared" ref="AP167" si="694">IF(AP166="","",IF(AP166="12M","1Y",IF(AP166="24M","2Y",AP166)))</f>
        <v/>
      </c>
      <c r="AQ167" s="42" t="str">
        <f t="shared" ref="AQ167" si="695">IF(AQ166="","",IF(AQ166="12M","1Y",IF(AQ166="24M","2Y",AQ166)))</f>
        <v/>
      </c>
      <c r="AR167" s="42" t="str">
        <f t="shared" ref="AR167" si="696">IF(AR166="","",IF(AR166="12M","1Y",IF(AR166="24M","2Y",AR166)))</f>
        <v/>
      </c>
      <c r="AS167" s="42" t="str">
        <f t="shared" ref="AS167" si="697">IF(AS166="","",IF(AS166="12M","1Y",IF(AS166="24M","2Y",AS166)))</f>
        <v/>
      </c>
      <c r="AT167" s="42" t="str">
        <f t="shared" ref="AT167" si="698">IF(AT166="","",IF(AT166="12M","1Y",IF(AT166="24M","2Y",AT166)))</f>
        <v/>
      </c>
      <c r="AU167" s="42" t="str">
        <f t="shared" ref="AU167" si="699">IF(AU166="","",IF(AU166="12M","1Y",IF(AU166="24M","2Y",AU166)))</f>
        <v/>
      </c>
      <c r="AV167" s="42" t="str">
        <f t="shared" ref="AV167" si="700">IF(AV166="","",IF(AV166="12M","1Y",IF(AV166="24M","2Y",AV166)))</f>
        <v/>
      </c>
      <c r="AW167" s="42" t="str">
        <f t="shared" ref="AW167" si="701">IF(AW166="","",IF(AW166="12M","1Y",IF(AW166="24M","2Y",AW166)))</f>
        <v/>
      </c>
      <c r="AX167" s="42" t="str">
        <f t="shared" ref="AX167" si="702">IF(AX166="","",IF(AX166="12M","1Y",IF(AX166="24M","2Y",AX166)))</f>
        <v/>
      </c>
      <c r="AY167" s="42" t="str">
        <f t="shared" ref="AY167" si="703">IF(AY166="","",IF(AY166="12M","1Y",IF(AY166="24M","2Y",AY166)))</f>
        <v/>
      </c>
      <c r="AZ167" s="42" t="str">
        <f t="shared" ref="AZ167" si="704">IF(AZ166="","",IF(AZ166="12M","1Y",IF(AZ166="24M","2Y",AZ166)))</f>
        <v/>
      </c>
      <c r="BA167" s="42" t="str">
        <f t="shared" ref="BA167" si="705">IF(BA166="","",IF(BA166="12M","1Y",IF(BA166="24M","2Y",BA166)))</f>
        <v/>
      </c>
    </row>
    <row r="168" spans="2:53" s="41" customFormat="1" ht="15" customHeight="1">
      <c r="B168" s="7"/>
      <c r="C168" s="153" t="str">
        <f>trans_getMessage("","Name",,LANG_ID)</f>
        <v>Name</v>
      </c>
      <c r="D168" s="154"/>
      <c r="E168" s="49" t="s">
        <v>49</v>
      </c>
      <c r="F168" s="43" t="e" cm="1">
        <f t="array" aca="1" ref="F168" ca="1">IF(LEFT(_xlfn.SINGLE(_xll.BDP(F169, $E168)),1)="#", "-", _xll.BDP(F169, $E168))</f>
        <v>#NAME?</v>
      </c>
      <c r="G168" s="43" t="e" cm="1">
        <f t="array" aca="1" ref="G168" ca="1">IF(LEFT(_xlfn.SINGLE(_xll.BDP(G169, $E168)),1)="#", "-", _xll.BDP(G169, $E168))</f>
        <v>#NAME?</v>
      </c>
      <c r="H168" s="43" t="e" cm="1">
        <f t="array" aca="1" ref="H168" ca="1">IF(LEFT(_xlfn.SINGLE(_xll.BDP(H169, $E168)),1)="#", "-", _xll.BDP(H169, $E168))</f>
        <v>#NAME?</v>
      </c>
      <c r="I168" s="43" t="e" cm="1">
        <f t="array" aca="1" ref="I168" ca="1">IF(LEFT(_xlfn.SINGLE(_xll.BDP(I169, $E168)),1)="#", "-", _xll.BDP(I169, $E168))</f>
        <v>#NAME?</v>
      </c>
      <c r="J168" s="43" t="e" cm="1">
        <f t="array" aca="1" ref="J168" ca="1">IF(LEFT(_xlfn.SINGLE(_xll.BDP(J169, $E168)),1)="#", "-", _xll.BDP(J169, $E168))</f>
        <v>#NAME?</v>
      </c>
      <c r="K168" s="43" t="e" cm="1">
        <f t="array" aca="1" ref="K168" ca="1">IF(LEFT(_xlfn.SINGLE(_xll.BDP(K169, $E168)),1)="#", "-", _xll.BDP(K169, $E168))</f>
        <v>#NAME?</v>
      </c>
      <c r="L168" s="43" t="e" cm="1">
        <f t="array" aca="1" ref="L168" ca="1">IF(LEFT(_xlfn.SINGLE(_xll.BDP(L169, $E168)),1)="#", "-", _xll.BDP(L169, $E168))</f>
        <v>#NAME?</v>
      </c>
      <c r="M168" s="43" t="e" cm="1">
        <f t="array" aca="1" ref="M168" ca="1">IF(LEFT(_xlfn.SINGLE(_xll.BDP(M169, $E168)),1)="#", "-", _xll.BDP(M169, $E168))</f>
        <v>#NAME?</v>
      </c>
      <c r="N168" s="43" t="e" cm="1">
        <f t="array" aca="1" ref="N168" ca="1">IF(LEFT(_xlfn.SINGLE(_xll.BDP(N169, $E168)),1)="#", "-", _xll.BDP(N169, $E168))</f>
        <v>#NAME?</v>
      </c>
      <c r="O168" s="43" t="e" cm="1">
        <f t="array" aca="1" ref="O168" ca="1">IF(LEFT(_xlfn.SINGLE(_xll.BDP(O169, $E168)),1)="#", "-", _xll.BDP(O169, $E168))</f>
        <v>#NAME?</v>
      </c>
      <c r="P168" s="43" t="e" cm="1">
        <f t="array" aca="1" ref="P168" ca="1">IF(LEFT(_xlfn.SINGLE(_xll.BDP(P169, $E168)),1)="#", "-", _xll.BDP(P169, $E168))</f>
        <v>#NAME?</v>
      </c>
      <c r="Q168" s="43" t="e" cm="1">
        <f t="array" aca="1" ref="Q168" ca="1">IF(LEFT(_xlfn.SINGLE(_xll.BDP(Q169, $E168)),1)="#", "-", _xll.BDP(Q169, $E168))</f>
        <v>#NAME?</v>
      </c>
      <c r="R168" s="43" t="e" cm="1">
        <f t="array" aca="1" ref="R168" ca="1">IF(LEFT(_xlfn.SINGLE(_xll.BDP(R169, $E168)),1)="#", "-", _xll.BDP(R169, $E168))</f>
        <v>#NAME?</v>
      </c>
      <c r="S168" s="43" t="e" cm="1">
        <f t="array" aca="1" ref="S168" ca="1">IF(LEFT(_xlfn.SINGLE(_xll.BDP(S169, $E168)),1)="#", "-", _xll.BDP(S169, $E168))</f>
        <v>#NAME?</v>
      </c>
      <c r="T168" s="43" t="e" cm="1">
        <f t="array" aca="1" ref="T168" ca="1">IF(LEFT(_xlfn.SINGLE(_xll.BDP(T169, $E168)),1)="#", "-", _xll.BDP(T169, $E168))</f>
        <v>#NAME?</v>
      </c>
      <c r="U168" s="43" t="e" cm="1">
        <f t="array" aca="1" ref="U168" ca="1">IF(LEFT(_xlfn.SINGLE(_xll.BDP(U169, $E168)),1)="#", "-", _xll.BDP(U169, $E168))</f>
        <v>#NAME?</v>
      </c>
      <c r="V168" s="43" t="e" cm="1">
        <f t="array" aca="1" ref="V168" ca="1">IF(LEFT(_xlfn.SINGLE(_xll.BDP(V169, $E168)),1)="#", "-", _xll.BDP(V169, $E168))</f>
        <v>#NAME?</v>
      </c>
      <c r="W168" s="43" t="e" cm="1">
        <f t="array" aca="1" ref="W168" ca="1">IF(LEFT(_xlfn.SINGLE(_xll.BDP(W169, $E168)),1)="#", "-", _xll.BDP(W169, $E168))</f>
        <v>#NAME?</v>
      </c>
      <c r="X168" s="43" t="e" cm="1">
        <f t="array" aca="1" ref="X168" ca="1">IF(LEFT(_xlfn.SINGLE(_xll.BDP(X169, $E168)),1)="#", "-", _xll.BDP(X169, $E168))</f>
        <v>#NAME?</v>
      </c>
      <c r="Y168" s="43" t="e" cm="1">
        <f t="array" aca="1" ref="Y168" ca="1">IF(LEFT(_xlfn.SINGLE(_xll.BDP(Y169, $E168)),1)="#", "-", _xll.BDP(Y169, $E168))</f>
        <v>#NAME?</v>
      </c>
      <c r="Z168" s="43" t="e" cm="1">
        <f t="array" aca="1" ref="Z168" ca="1">IF(LEFT(_xlfn.SINGLE(_xll.BDP(Z169, $E168)),1)="#", "-", _xll.BDP(Z169, $E168))</f>
        <v>#NAME?</v>
      </c>
      <c r="AA168" s="43" t="e" cm="1">
        <f t="array" aca="1" ref="AA168" ca="1">IF(LEFT(_xlfn.SINGLE(_xll.BDP(AA169, $E168)),1)="#", "-", _xll.BDP(AA169, $E168))</f>
        <v>#NAME?</v>
      </c>
      <c r="AB168" s="43" t="e" cm="1">
        <f t="array" aca="1" ref="AB168" ca="1">IF(LEFT(_xlfn.SINGLE(_xll.BDP(AB169, $E168)),1)="#", "-", _xll.BDP(AB169, $E168))</f>
        <v>#NAME?</v>
      </c>
      <c r="AC168" s="43" t="e" cm="1">
        <f t="array" aca="1" ref="AC168" ca="1">IF(LEFT(_xlfn.SINGLE(_xll.BDP(AC169, $E168)),1)="#", "-", _xll.BDP(AC169, $E168))</f>
        <v>#NAME?</v>
      </c>
      <c r="AD168" s="43" t="e" cm="1">
        <f t="array" aca="1" ref="AD168" ca="1">IF(LEFT(_xlfn.SINGLE(_xll.BDP(AD169, $E168)),1)="#", "-", _xll.BDP(AD169, $E168))</f>
        <v>#NAME?</v>
      </c>
      <c r="AE168" s="43" t="e" cm="1">
        <f t="array" aca="1" ref="AE168" ca="1">IF(LEFT(_xlfn.SINGLE(_xll.BDP(AE169, $E168)),1)="#", "-", _xll.BDP(AE169, $E168))</f>
        <v>#NAME?</v>
      </c>
      <c r="AF168" s="43" t="e" cm="1">
        <f t="array" aca="1" ref="AF168" ca="1">IF(LEFT(_xlfn.SINGLE(_xll.BDP(AF169, $E168)),1)="#", "-", _xll.BDP(AF169, $E168))</f>
        <v>#NAME?</v>
      </c>
      <c r="AG168" s="43" t="e" cm="1">
        <f t="array" aca="1" ref="AG168" ca="1">IF(LEFT(_xlfn.SINGLE(_xll.BDP(AG169, $E168)),1)="#", "-", _xll.BDP(AG169, $E168))</f>
        <v>#NAME?</v>
      </c>
      <c r="AH168" s="43" t="e" cm="1">
        <f t="array" aca="1" ref="AH168" ca="1">IF(LEFT(_xlfn.SINGLE(_xll.BDP(AH169, $E168)),1)="#", "-", _xll.BDP(AH169, $E168))</f>
        <v>#NAME?</v>
      </c>
      <c r="AI168" s="43" t="e" cm="1">
        <f t="array" aca="1" ref="AI168" ca="1">IF(LEFT(_xlfn.SINGLE(_xll.BDP(AI169, $E168)),1)="#", "-", _xll.BDP(AI169, $E168))</f>
        <v>#NAME?</v>
      </c>
      <c r="AJ168" s="43" t="e" cm="1">
        <f t="array" aca="1" ref="AJ168" ca="1">IF(LEFT(_xlfn.SINGLE(_xll.BDP(AJ169, $E168)),1)="#", "-", _xll.BDP(AJ169, $E168))</f>
        <v>#NAME?</v>
      </c>
      <c r="AK168" s="43" t="e" cm="1">
        <f t="array" aca="1" ref="AK168" ca="1">IF(LEFT(_xlfn.SINGLE(_xll.BDP(AK169, $E168)),1)="#", "-", _xll.BDP(AK169, $E168))</f>
        <v>#NAME?</v>
      </c>
      <c r="AL168" s="43" t="e" cm="1">
        <f t="array" aca="1" ref="AL168" ca="1">IF(LEFT(_xlfn.SINGLE(_xll.BDP(AL169, $E168)),1)="#", "-", _xll.BDP(AL169, $E168))</f>
        <v>#NAME?</v>
      </c>
      <c r="AM168" s="43" t="e" cm="1">
        <f t="array" aca="1" ref="AM168" ca="1">IF(LEFT(_xlfn.SINGLE(_xll.BDP(AM169, $E168)),1)="#", "-", _xll.BDP(AM169, $E168))</f>
        <v>#NAME?</v>
      </c>
      <c r="AN168" s="43" t="e" cm="1">
        <f t="array" aca="1" ref="AN168" ca="1">IF(LEFT(_xlfn.SINGLE(_xll.BDP(AN169, $E168)),1)="#", "-", _xll.BDP(AN169, $E168))</f>
        <v>#NAME?</v>
      </c>
      <c r="AO168" s="43" t="e" cm="1">
        <f t="array" aca="1" ref="AO168" ca="1">IF(LEFT(_xlfn.SINGLE(_xll.BDP(AO169, $E168)),1)="#", "-", _xll.BDP(AO169, $E168))</f>
        <v>#NAME?</v>
      </c>
      <c r="AP168" s="43" t="e" cm="1">
        <f t="array" aca="1" ref="AP168" ca="1">IF(LEFT(_xlfn.SINGLE(_xll.BDP(AP169, $E168)),1)="#", "-", _xll.BDP(AP169, $E168))</f>
        <v>#NAME?</v>
      </c>
      <c r="AQ168" s="43" t="e" cm="1">
        <f t="array" aca="1" ref="AQ168" ca="1">IF(LEFT(_xlfn.SINGLE(_xll.BDP(AQ169, $E168)),1)="#", "-", _xll.BDP(AQ169, $E168))</f>
        <v>#NAME?</v>
      </c>
      <c r="AR168" s="43" t="e" cm="1">
        <f t="array" aca="1" ref="AR168" ca="1">IF(LEFT(_xlfn.SINGLE(_xll.BDP(AR169, $E168)),1)="#", "-", _xll.BDP(AR169, $E168))</f>
        <v>#NAME?</v>
      </c>
      <c r="AS168" s="43" t="e" cm="1">
        <f t="array" aca="1" ref="AS168" ca="1">IF(LEFT(_xlfn.SINGLE(_xll.BDP(AS169, $E168)),1)="#", "-", _xll.BDP(AS169, $E168))</f>
        <v>#NAME?</v>
      </c>
      <c r="AT168" s="43" t="e" cm="1">
        <f t="array" aca="1" ref="AT168" ca="1">IF(LEFT(_xlfn.SINGLE(_xll.BDP(AT169, $E168)),1)="#", "-", _xll.BDP(AT169, $E168))</f>
        <v>#NAME?</v>
      </c>
      <c r="AU168" s="43" t="e" cm="1">
        <f t="array" aca="1" ref="AU168" ca="1">IF(LEFT(_xlfn.SINGLE(_xll.BDP(AU169, $E168)),1)="#", "-", _xll.BDP(AU169, $E168))</f>
        <v>#NAME?</v>
      </c>
      <c r="AV168" s="43" t="e" cm="1">
        <f t="array" aca="1" ref="AV168" ca="1">IF(LEFT(_xlfn.SINGLE(_xll.BDP(AV169, $E168)),1)="#", "-", _xll.BDP(AV169, $E168))</f>
        <v>#NAME?</v>
      </c>
      <c r="AW168" s="43" t="e" cm="1">
        <f t="array" aca="1" ref="AW168" ca="1">IF(LEFT(_xlfn.SINGLE(_xll.BDP(AW169, $E168)),1)="#", "-", _xll.BDP(AW169, $E168))</f>
        <v>#NAME?</v>
      </c>
      <c r="AX168" s="43" t="e" cm="1">
        <f t="array" aca="1" ref="AX168" ca="1">IF(LEFT(_xlfn.SINGLE(_xll.BDP(AX169, $E168)),1)="#", "-", _xll.BDP(AX169, $E168))</f>
        <v>#NAME?</v>
      </c>
      <c r="AY168" s="43" t="e" cm="1">
        <f t="array" aca="1" ref="AY168" ca="1">IF(LEFT(_xlfn.SINGLE(_xll.BDP(AY169, $E168)),1)="#", "-", _xll.BDP(AY169, $E168))</f>
        <v>#NAME?</v>
      </c>
      <c r="AZ168" s="43" t="e" cm="1">
        <f t="array" aca="1" ref="AZ168" ca="1">IF(LEFT(_xlfn.SINGLE(_xll.BDP(AZ169, $E168)),1)="#", "-", _xll.BDP(AZ169, $E168))</f>
        <v>#NAME?</v>
      </c>
      <c r="BA168" s="45" t="e" cm="1">
        <f t="array" aca="1" ref="BA168" ca="1">IF(LEFT(_xlfn.SINGLE(_xll.BDP(BA169, $E168)),1)="#", "-", _xll.BDP(BA169, $E168))</f>
        <v>#NAME?</v>
      </c>
    </row>
    <row r="169" spans="2:53" ht="15" customHeight="1">
      <c r="B169" s="40"/>
      <c r="C169" s="145" t="str">
        <f>trans_getMessage("","Curve Tickers",,LANG_ID)</f>
        <v>Curve Tickers</v>
      </c>
      <c r="D169" s="146"/>
      <c r="E169" s="50" t="s">
        <v>46</v>
      </c>
      <c r="F169" s="42" t="e" cm="1">
        <f t="array" aca="1" ref="F169" ca="1">_xll.BDS(E164,E169,"Dir=H",)</f>
        <v>#NAME?</v>
      </c>
      <c r="G169" s="42"/>
      <c r="H169" s="42"/>
      <c r="I169" s="42"/>
      <c r="J169" s="42"/>
      <c r="K169" s="42"/>
      <c r="L169" s="42"/>
      <c r="M169" s="42"/>
      <c r="N169" s="42"/>
      <c r="O169" s="42"/>
      <c r="P169" s="42"/>
      <c r="Q169" s="42"/>
      <c r="R169" s="42"/>
      <c r="S169" s="42"/>
      <c r="T169" s="42"/>
      <c r="U169" s="42"/>
      <c r="V169" s="42"/>
      <c r="W169" s="42"/>
      <c r="X169" s="42"/>
      <c r="Y169" s="42"/>
      <c r="Z169" s="42"/>
      <c r="AA169" s="42"/>
      <c r="AB169" s="42"/>
      <c r="AC169" s="42"/>
      <c r="AD169" s="42"/>
      <c r="AE169" s="42"/>
      <c r="AF169" s="42"/>
      <c r="AG169" s="42"/>
      <c r="AH169" s="42"/>
      <c r="AI169" s="42"/>
      <c r="AJ169" s="42"/>
      <c r="AK169" s="42"/>
      <c r="AL169" s="42"/>
      <c r="AM169" s="42"/>
      <c r="AN169" s="42"/>
      <c r="AO169" s="42"/>
      <c r="AP169" s="42"/>
      <c r="AQ169" s="42"/>
      <c r="AR169" s="42"/>
      <c r="AS169" s="42"/>
      <c r="AT169" s="42"/>
      <c r="AU169" s="42"/>
      <c r="AV169" s="42"/>
      <c r="AW169" s="42"/>
      <c r="AX169" s="42"/>
      <c r="AY169" s="42"/>
      <c r="AZ169" s="42"/>
      <c r="BA169" s="44"/>
    </row>
    <row r="170" spans="2:53" ht="15" customHeight="1">
      <c r="C170" s="138" t="str">
        <f>trans_getMessage("","Rate",,LANG_ID)</f>
        <v>Rate</v>
      </c>
      <c r="D170" s="139"/>
      <c r="E170" s="51" t="s">
        <v>44</v>
      </c>
      <c r="F170" s="46" t="str" cm="1">
        <f t="array" aca="1" ref="F170" ca="1">IF(ISERROR(_xlfn.SINGLE(_xll.BDP(F169, $E170))*1), "-", _xll.BDP(F169, $E170))</f>
        <v>-</v>
      </c>
      <c r="G170" s="46" t="str" cm="1">
        <f t="array" aca="1" ref="G170" ca="1">IF(ISERROR(_xlfn.SINGLE(_xll.BDP(G169, $E170))*1), "-", _xll.BDP(G169, $E170))</f>
        <v>-</v>
      </c>
      <c r="H170" s="46" t="str" cm="1">
        <f t="array" aca="1" ref="H170" ca="1">IF(ISERROR(_xlfn.SINGLE(_xll.BDP(H169, $E170))*1), "-", _xll.BDP(H169, $E170))</f>
        <v>-</v>
      </c>
      <c r="I170" s="46" t="str" cm="1">
        <f t="array" aca="1" ref="I170" ca="1">IF(ISERROR(_xlfn.SINGLE(_xll.BDP(I169, $E170))*1), "-", _xll.BDP(I169, $E170))</f>
        <v>-</v>
      </c>
      <c r="J170" s="46" t="str" cm="1">
        <f t="array" aca="1" ref="J170" ca="1">IF(ISERROR(_xlfn.SINGLE(_xll.BDP(J169, $E170))*1), "-", _xll.BDP(J169, $E170))</f>
        <v>-</v>
      </c>
      <c r="K170" s="46" t="str" cm="1">
        <f t="array" aca="1" ref="K170" ca="1">IF(ISERROR(_xlfn.SINGLE(_xll.BDP(K169, $E170))*1), "-", _xll.BDP(K169, $E170))</f>
        <v>-</v>
      </c>
      <c r="L170" s="46" t="str" cm="1">
        <f t="array" aca="1" ref="L170" ca="1">IF(ISERROR(_xlfn.SINGLE(_xll.BDP(L169, $E170))*1), "-", _xll.BDP(L169, $E170))</f>
        <v>-</v>
      </c>
      <c r="M170" s="46" t="str" cm="1">
        <f t="array" aca="1" ref="M170" ca="1">IF(ISERROR(_xlfn.SINGLE(_xll.BDP(M169, $E170))*1), "-", _xll.BDP(M169, $E170))</f>
        <v>-</v>
      </c>
      <c r="N170" s="46" t="str" cm="1">
        <f t="array" aca="1" ref="N170" ca="1">IF(ISERROR(_xlfn.SINGLE(_xll.BDP(N169, $E170))*1), "-", _xll.BDP(N169, $E170))</f>
        <v>-</v>
      </c>
      <c r="O170" s="46" t="str" cm="1">
        <f t="array" aca="1" ref="O170" ca="1">IF(ISERROR(_xlfn.SINGLE(_xll.BDP(O169, $E170))*1), "-", _xll.BDP(O169, $E170))</f>
        <v>-</v>
      </c>
      <c r="P170" s="46" t="str" cm="1">
        <f t="array" aca="1" ref="P170" ca="1">IF(ISERROR(_xlfn.SINGLE(_xll.BDP(P169, $E170))*1), "-", _xll.BDP(P169, $E170))</f>
        <v>-</v>
      </c>
      <c r="Q170" s="46" t="str" cm="1">
        <f t="array" aca="1" ref="Q170" ca="1">IF(ISERROR(_xlfn.SINGLE(_xll.BDP(Q169, $E170))*1), "-", _xll.BDP(Q169, $E170))</f>
        <v>-</v>
      </c>
      <c r="R170" s="46" t="str" cm="1">
        <f t="array" aca="1" ref="R170" ca="1">IF(ISERROR(_xlfn.SINGLE(_xll.BDP(R169, $E170))*1), "-", _xll.BDP(R169, $E170))</f>
        <v>-</v>
      </c>
      <c r="S170" s="46" t="str" cm="1">
        <f t="array" aca="1" ref="S170" ca="1">IF(ISERROR(_xlfn.SINGLE(_xll.BDP(S169, $E170))*1), "-", _xll.BDP(S169, $E170))</f>
        <v>-</v>
      </c>
      <c r="T170" s="46" t="str" cm="1">
        <f t="array" aca="1" ref="T170" ca="1">IF(ISERROR(_xlfn.SINGLE(_xll.BDP(T169, $E170))*1), "-", _xll.BDP(T169, $E170))</f>
        <v>-</v>
      </c>
      <c r="U170" s="46" t="str" cm="1">
        <f t="array" aca="1" ref="U170" ca="1">IF(ISERROR(_xlfn.SINGLE(_xll.BDP(U169, $E170))*1), "-", _xll.BDP(U169, $E170))</f>
        <v>-</v>
      </c>
      <c r="V170" s="46" t="str" cm="1">
        <f t="array" aca="1" ref="V170" ca="1">IF(ISERROR(_xlfn.SINGLE(_xll.BDP(V169, $E170))*1), "-", _xll.BDP(V169, $E170))</f>
        <v>-</v>
      </c>
      <c r="W170" s="46" t="str" cm="1">
        <f t="array" aca="1" ref="W170" ca="1">IF(ISERROR(_xlfn.SINGLE(_xll.BDP(W169, $E170))*1), "-", _xll.BDP(W169, $E170))</f>
        <v>-</v>
      </c>
      <c r="X170" s="46" t="str" cm="1">
        <f t="array" aca="1" ref="X170" ca="1">IF(ISERROR(_xlfn.SINGLE(_xll.BDP(X169, $E170))*1), "-", _xll.BDP(X169, $E170))</f>
        <v>-</v>
      </c>
      <c r="Y170" s="46" t="str" cm="1">
        <f t="array" aca="1" ref="Y170" ca="1">IF(ISERROR(_xlfn.SINGLE(_xll.BDP(Y169, $E170))*1), "-", _xll.BDP(Y169, $E170))</f>
        <v>-</v>
      </c>
      <c r="Z170" s="46" t="str" cm="1">
        <f t="array" aca="1" ref="Z170" ca="1">IF(ISERROR(_xlfn.SINGLE(_xll.BDP(Z169, $E170))*1), "-", _xll.BDP(Z169, $E170))</f>
        <v>-</v>
      </c>
      <c r="AA170" s="46" t="str" cm="1">
        <f t="array" aca="1" ref="AA170" ca="1">IF(ISERROR(_xlfn.SINGLE(_xll.BDP(AA169, $E170))*1), "-", _xll.BDP(AA169, $E170))</f>
        <v>-</v>
      </c>
      <c r="AB170" s="46" t="str" cm="1">
        <f t="array" aca="1" ref="AB170" ca="1">IF(ISERROR(_xlfn.SINGLE(_xll.BDP(AB169, $E170))*1), "-", _xll.BDP(AB169, $E170))</f>
        <v>-</v>
      </c>
      <c r="AC170" s="46" t="str" cm="1">
        <f t="array" aca="1" ref="AC170" ca="1">IF(ISERROR(_xlfn.SINGLE(_xll.BDP(AC169, $E170))*1), "-", _xll.BDP(AC169, $E170))</f>
        <v>-</v>
      </c>
      <c r="AD170" s="46" t="str" cm="1">
        <f t="array" aca="1" ref="AD170" ca="1">IF(ISERROR(_xlfn.SINGLE(_xll.BDP(AD169, $E170))*1), "-", _xll.BDP(AD169, $E170))</f>
        <v>-</v>
      </c>
      <c r="AE170" s="46" t="str" cm="1">
        <f t="array" aca="1" ref="AE170" ca="1">IF(ISERROR(_xlfn.SINGLE(_xll.BDP(AE169, $E170))*1), "-", _xll.BDP(AE169, $E170))</f>
        <v>-</v>
      </c>
      <c r="AF170" s="46" t="str" cm="1">
        <f t="array" aca="1" ref="AF170" ca="1">IF(ISERROR(_xlfn.SINGLE(_xll.BDP(AF169, $E170))*1), "-", _xll.BDP(AF169, $E170))</f>
        <v>-</v>
      </c>
      <c r="AG170" s="46" t="str" cm="1">
        <f t="array" aca="1" ref="AG170" ca="1">IF(ISERROR(_xlfn.SINGLE(_xll.BDP(AG169, $E170))*1), "-", _xll.BDP(AG169, $E170))</f>
        <v>-</v>
      </c>
      <c r="AH170" s="46" t="str" cm="1">
        <f t="array" aca="1" ref="AH170" ca="1">IF(ISERROR(_xlfn.SINGLE(_xll.BDP(AH169, $E170))*1), "-", _xll.BDP(AH169, $E170))</f>
        <v>-</v>
      </c>
      <c r="AI170" s="46" t="str" cm="1">
        <f t="array" aca="1" ref="AI170" ca="1">IF(ISERROR(_xlfn.SINGLE(_xll.BDP(AI169, $E170))*1), "-", _xll.BDP(AI169, $E170))</f>
        <v>-</v>
      </c>
      <c r="AJ170" s="46" t="str" cm="1">
        <f t="array" aca="1" ref="AJ170" ca="1">IF(ISERROR(_xlfn.SINGLE(_xll.BDP(AJ169, $E170))*1), "-", _xll.BDP(AJ169, $E170))</f>
        <v>-</v>
      </c>
      <c r="AK170" s="46" t="str" cm="1">
        <f t="array" aca="1" ref="AK170" ca="1">IF(ISERROR(_xlfn.SINGLE(_xll.BDP(AK169, $E170))*1), "-", _xll.BDP(AK169, $E170))</f>
        <v>-</v>
      </c>
      <c r="AL170" s="46" t="str" cm="1">
        <f t="array" aca="1" ref="AL170" ca="1">IF(ISERROR(_xlfn.SINGLE(_xll.BDP(AL169, $E170))*1), "-", _xll.BDP(AL169, $E170))</f>
        <v>-</v>
      </c>
      <c r="AM170" s="46" t="str" cm="1">
        <f t="array" aca="1" ref="AM170" ca="1">IF(ISERROR(_xlfn.SINGLE(_xll.BDP(AM169, $E170))*1), "-", _xll.BDP(AM169, $E170))</f>
        <v>-</v>
      </c>
      <c r="AN170" s="46" t="str" cm="1">
        <f t="array" aca="1" ref="AN170" ca="1">IF(ISERROR(_xlfn.SINGLE(_xll.BDP(AN169, $E170))*1), "-", _xll.BDP(AN169, $E170))</f>
        <v>-</v>
      </c>
      <c r="AO170" s="46" t="str" cm="1">
        <f t="array" aca="1" ref="AO170" ca="1">IF(ISERROR(_xlfn.SINGLE(_xll.BDP(AO169, $E170))*1), "-", _xll.BDP(AO169, $E170))</f>
        <v>-</v>
      </c>
      <c r="AP170" s="46" t="str" cm="1">
        <f t="array" aca="1" ref="AP170" ca="1">IF(ISERROR(_xlfn.SINGLE(_xll.BDP(AP169, $E170))*1), "-", _xll.BDP(AP169, $E170))</f>
        <v>-</v>
      </c>
      <c r="AQ170" s="46" t="str" cm="1">
        <f t="array" aca="1" ref="AQ170" ca="1">IF(ISERROR(_xlfn.SINGLE(_xll.BDP(AQ169, $E170))*1), "-", _xll.BDP(AQ169, $E170))</f>
        <v>-</v>
      </c>
      <c r="AR170" s="46" t="str" cm="1">
        <f t="array" aca="1" ref="AR170" ca="1">IF(ISERROR(_xlfn.SINGLE(_xll.BDP(AR169, $E170))*1), "-", _xll.BDP(AR169, $E170))</f>
        <v>-</v>
      </c>
      <c r="AS170" s="46" t="str" cm="1">
        <f t="array" aca="1" ref="AS170" ca="1">IF(ISERROR(_xlfn.SINGLE(_xll.BDP(AS169, $E170))*1), "-", _xll.BDP(AS169, $E170))</f>
        <v>-</v>
      </c>
      <c r="AT170" s="46" t="str" cm="1">
        <f t="array" aca="1" ref="AT170" ca="1">IF(ISERROR(_xlfn.SINGLE(_xll.BDP(AT169, $E170))*1), "-", _xll.BDP(AT169, $E170))</f>
        <v>-</v>
      </c>
      <c r="AU170" s="46" t="str" cm="1">
        <f t="array" aca="1" ref="AU170" ca="1">IF(ISERROR(_xlfn.SINGLE(_xll.BDP(AU169, $E170))*1), "-", _xll.BDP(AU169, $E170))</f>
        <v>-</v>
      </c>
      <c r="AV170" s="46" t="str" cm="1">
        <f t="array" aca="1" ref="AV170" ca="1">IF(ISERROR(_xlfn.SINGLE(_xll.BDP(AV169, $E170))*1), "-", _xll.BDP(AV169, $E170))</f>
        <v>-</v>
      </c>
      <c r="AW170" s="46" t="str" cm="1">
        <f t="array" aca="1" ref="AW170" ca="1">IF(ISERROR(_xlfn.SINGLE(_xll.BDP(AW169, $E170))*1), "-", _xll.BDP(AW169, $E170))</f>
        <v>-</v>
      </c>
      <c r="AX170" s="46" t="str" cm="1">
        <f t="array" aca="1" ref="AX170" ca="1">IF(ISERROR(_xlfn.SINGLE(_xll.BDP(AX169, $E170))*1), "-", _xll.BDP(AX169, $E170))</f>
        <v>-</v>
      </c>
      <c r="AY170" s="46" t="str" cm="1">
        <f t="array" aca="1" ref="AY170" ca="1">IF(ISERROR(_xlfn.SINGLE(_xll.BDP(AY169, $E170))*1), "-", _xll.BDP(AY169, $E170))</f>
        <v>-</v>
      </c>
      <c r="AZ170" s="46" t="str" cm="1">
        <f t="array" aca="1" ref="AZ170" ca="1">IF(ISERROR(_xlfn.SINGLE(_xll.BDP(AZ169, $E170))*1), "-", _xll.BDP(AZ169, $E170))</f>
        <v>-</v>
      </c>
      <c r="BA170" s="47" t="str" cm="1">
        <f t="array" aca="1" ref="BA170" ca="1">IF(ISERROR(_xlfn.SINGLE(_xll.BDP(BA169, $E170))*1), "-", _xll.BDP(BA169, $E170))</f>
        <v>-</v>
      </c>
    </row>
    <row r="171" spans="2:53" ht="15" hidden="1" customHeight="1"/>
    <row r="172" spans="2:53" ht="5.15" customHeight="1"/>
    <row r="173" spans="2:53" ht="15" customHeight="1">
      <c r="B173" s="38" t="s">
        <v>38</v>
      </c>
      <c r="C173" s="140" t="str">
        <f>trans_getMessage("","Curve Number",,LANG_ID)</f>
        <v>Curve Number</v>
      </c>
      <c r="D173" s="141"/>
      <c r="E173" s="142">
        <f>VLOOKUP(B173, 'Currency-Curve List'!$C$9:$E$103, 2, FALSE)</f>
        <v>266</v>
      </c>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4"/>
    </row>
    <row r="174" spans="2:53" ht="15" customHeight="1">
      <c r="C174" s="145" t="str">
        <f>trans_getMessage("","Curve Index",,LANG_ID)</f>
        <v>Curve Index</v>
      </c>
      <c r="D174" s="146"/>
      <c r="E174" s="147" t="str">
        <f>VLOOKUP(B173, 'Currency-Curve List'!$C$9:$E$103, 3, FALSE)</f>
        <v>YCSW0266 Index</v>
      </c>
      <c r="F174" s="148"/>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9"/>
    </row>
    <row r="175" spans="2:53" ht="15" customHeight="1">
      <c r="C175" s="145" t="str">
        <f>trans_getMessage("","Curve Name",,LANG_ID)</f>
        <v>Curve Name</v>
      </c>
      <c r="D175" s="146"/>
      <c r="E175" s="150" t="e" cm="1">
        <f t="array" aca="1" ref="E175" ca="1">_xll.BDP(E174, "NAME")</f>
        <v>#NAME?</v>
      </c>
      <c r="F175" s="151"/>
      <c r="G175" s="151"/>
      <c r="H175" s="151"/>
      <c r="I175" s="151"/>
      <c r="J175" s="151"/>
      <c r="K175" s="151"/>
      <c r="L175" s="151"/>
      <c r="M175" s="151"/>
      <c r="N175" s="151"/>
      <c r="O175" s="151"/>
      <c r="P175" s="151"/>
      <c r="Q175" s="151"/>
      <c r="R175" s="151"/>
      <c r="S175" s="151"/>
      <c r="T175" s="151"/>
      <c r="U175" s="151"/>
      <c r="V175" s="151"/>
      <c r="W175" s="151"/>
      <c r="X175" s="151"/>
      <c r="Y175" s="151"/>
      <c r="Z175" s="151"/>
      <c r="AA175" s="151"/>
      <c r="AB175" s="151"/>
      <c r="AC175" s="151"/>
      <c r="AD175" s="151"/>
      <c r="AE175" s="151"/>
      <c r="AF175" s="151"/>
      <c r="AG175" s="151"/>
      <c r="AH175" s="151"/>
      <c r="AI175" s="151"/>
      <c r="AJ175" s="151"/>
      <c r="AK175" s="151"/>
      <c r="AL175" s="151"/>
      <c r="AM175" s="151"/>
      <c r="AN175" s="151"/>
      <c r="AO175" s="151"/>
      <c r="AP175" s="151"/>
      <c r="AQ175" s="151"/>
      <c r="AR175" s="151"/>
      <c r="AS175" s="151"/>
      <c r="AT175" s="151"/>
      <c r="AU175" s="151"/>
      <c r="AV175" s="151"/>
      <c r="AW175" s="151"/>
      <c r="AX175" s="151"/>
      <c r="AY175" s="151"/>
      <c r="AZ175" s="151"/>
      <c r="BA175" s="152"/>
    </row>
    <row r="176" spans="2:53" ht="15" customHeight="1">
      <c r="C176" s="145" t="str">
        <f>trans_getMessage("","Tenors",,LANG_ID)</f>
        <v>Tenors</v>
      </c>
      <c r="D176" s="146"/>
      <c r="E176" s="48" t="s">
        <v>50</v>
      </c>
      <c r="F176" s="42" t="e" cm="1">
        <f t="array" aca="1" ref="F176" ca="1">_xll.BDS(E174,E176,"Dir=H",)</f>
        <v>#NAME?</v>
      </c>
      <c r="G176" s="42"/>
      <c r="H176" s="42"/>
      <c r="I176" s="42"/>
      <c r="J176" s="42"/>
      <c r="K176" s="42"/>
      <c r="L176" s="42"/>
      <c r="M176" s="42"/>
      <c r="N176" s="42"/>
      <c r="O176" s="42"/>
      <c r="P176" s="42"/>
      <c r="Q176" s="42"/>
      <c r="R176" s="42"/>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c r="AQ176" s="42"/>
      <c r="AR176" s="42"/>
      <c r="AS176" s="42"/>
      <c r="AT176" s="42"/>
      <c r="AU176" s="42"/>
      <c r="AV176" s="42"/>
      <c r="AW176" s="42"/>
      <c r="AX176" s="42"/>
      <c r="AY176" s="42"/>
      <c r="AZ176" s="42"/>
      <c r="BA176" s="44"/>
    </row>
    <row r="177" spans="2:53" ht="15" hidden="1" customHeight="1">
      <c r="C177" s="145" t="s">
        <v>2211</v>
      </c>
      <c r="D177" s="146"/>
      <c r="E177" s="48"/>
      <c r="F177" s="42" t="e">
        <f ca="1">IF(F176="","",IF(F176="12M","1Y",IF(F176="24M","2Y",F176)))</f>
        <v>#NAME?</v>
      </c>
      <c r="G177" s="42" t="str">
        <f t="shared" ref="G177" si="706">IF(G176="","",IF(G176="12M","1Y",IF(G176="24M","2Y",G176)))</f>
        <v/>
      </c>
      <c r="H177" s="42" t="str">
        <f t="shared" ref="H177" si="707">IF(H176="","",IF(H176="12M","1Y",IF(H176="24M","2Y",H176)))</f>
        <v/>
      </c>
      <c r="I177" s="42" t="str">
        <f t="shared" ref="I177" si="708">IF(I176="","",IF(I176="12M","1Y",IF(I176="24M","2Y",I176)))</f>
        <v/>
      </c>
      <c r="J177" s="42" t="str">
        <f t="shared" ref="J177" si="709">IF(J176="","",IF(J176="12M","1Y",IF(J176="24M","2Y",J176)))</f>
        <v/>
      </c>
      <c r="K177" s="42" t="str">
        <f t="shared" ref="K177" si="710">IF(K176="","",IF(K176="12M","1Y",IF(K176="24M","2Y",K176)))</f>
        <v/>
      </c>
      <c r="L177" s="42" t="str">
        <f t="shared" ref="L177" si="711">IF(L176="","",IF(L176="12M","1Y",IF(L176="24M","2Y",L176)))</f>
        <v/>
      </c>
      <c r="M177" s="42" t="str">
        <f t="shared" ref="M177" si="712">IF(M176="","",IF(M176="12M","1Y",IF(M176="24M","2Y",M176)))</f>
        <v/>
      </c>
      <c r="N177" s="42" t="str">
        <f t="shared" ref="N177" si="713">IF(N176="","",IF(N176="12M","1Y",IF(N176="24M","2Y",N176)))</f>
        <v/>
      </c>
      <c r="O177" s="42" t="str">
        <f t="shared" ref="O177" si="714">IF(O176="","",IF(O176="12M","1Y",IF(O176="24M","2Y",O176)))</f>
        <v/>
      </c>
      <c r="P177" s="42" t="str">
        <f t="shared" ref="P177" si="715">IF(P176="","",IF(P176="12M","1Y",IF(P176="24M","2Y",P176)))</f>
        <v/>
      </c>
      <c r="Q177" s="42" t="str">
        <f t="shared" ref="Q177" si="716">IF(Q176="","",IF(Q176="12M","1Y",IF(Q176="24M","2Y",Q176)))</f>
        <v/>
      </c>
      <c r="R177" s="42" t="str">
        <f t="shared" ref="R177" si="717">IF(R176="","",IF(R176="12M","1Y",IF(R176="24M","2Y",R176)))</f>
        <v/>
      </c>
      <c r="S177" s="42" t="str">
        <f t="shared" ref="S177" si="718">IF(S176="","",IF(S176="12M","1Y",IF(S176="24M","2Y",S176)))</f>
        <v/>
      </c>
      <c r="T177" s="42" t="str">
        <f t="shared" ref="T177" si="719">IF(T176="","",IF(T176="12M","1Y",IF(T176="24M","2Y",T176)))</f>
        <v/>
      </c>
      <c r="U177" s="42" t="str">
        <f t="shared" ref="U177" si="720">IF(U176="","",IF(U176="12M","1Y",IF(U176="24M","2Y",U176)))</f>
        <v/>
      </c>
      <c r="V177" s="42" t="str">
        <f t="shared" ref="V177" si="721">IF(V176="","",IF(V176="12M","1Y",IF(V176="24M","2Y",V176)))</f>
        <v/>
      </c>
      <c r="W177" s="42" t="str">
        <f t="shared" ref="W177" si="722">IF(W176="","",IF(W176="12M","1Y",IF(W176="24M","2Y",W176)))</f>
        <v/>
      </c>
      <c r="X177" s="42" t="str">
        <f t="shared" ref="X177" si="723">IF(X176="","",IF(X176="12M","1Y",IF(X176="24M","2Y",X176)))</f>
        <v/>
      </c>
      <c r="Y177" s="42" t="str">
        <f t="shared" ref="Y177" si="724">IF(Y176="","",IF(Y176="12M","1Y",IF(Y176="24M","2Y",Y176)))</f>
        <v/>
      </c>
      <c r="Z177" s="42" t="str">
        <f t="shared" ref="Z177" si="725">IF(Z176="","",IF(Z176="12M","1Y",IF(Z176="24M","2Y",Z176)))</f>
        <v/>
      </c>
      <c r="AA177" s="42" t="str">
        <f t="shared" ref="AA177" si="726">IF(AA176="","",IF(AA176="12M","1Y",IF(AA176="24M","2Y",AA176)))</f>
        <v/>
      </c>
      <c r="AB177" s="42" t="str">
        <f t="shared" ref="AB177" si="727">IF(AB176="","",IF(AB176="12M","1Y",IF(AB176="24M","2Y",AB176)))</f>
        <v/>
      </c>
      <c r="AC177" s="42" t="str">
        <f t="shared" ref="AC177" si="728">IF(AC176="","",IF(AC176="12M","1Y",IF(AC176="24M","2Y",AC176)))</f>
        <v/>
      </c>
      <c r="AD177" s="42" t="str">
        <f t="shared" ref="AD177" si="729">IF(AD176="","",IF(AD176="12M","1Y",IF(AD176="24M","2Y",AD176)))</f>
        <v/>
      </c>
      <c r="AE177" s="42" t="str">
        <f t="shared" ref="AE177" si="730">IF(AE176="","",IF(AE176="12M","1Y",IF(AE176="24M","2Y",AE176)))</f>
        <v/>
      </c>
      <c r="AF177" s="42" t="str">
        <f t="shared" ref="AF177" si="731">IF(AF176="","",IF(AF176="12M","1Y",IF(AF176="24M","2Y",AF176)))</f>
        <v/>
      </c>
      <c r="AG177" s="42" t="str">
        <f t="shared" ref="AG177" si="732">IF(AG176="","",IF(AG176="12M","1Y",IF(AG176="24M","2Y",AG176)))</f>
        <v/>
      </c>
      <c r="AH177" s="42" t="str">
        <f t="shared" ref="AH177" si="733">IF(AH176="","",IF(AH176="12M","1Y",IF(AH176="24M","2Y",AH176)))</f>
        <v/>
      </c>
      <c r="AI177" s="42" t="str">
        <f t="shared" ref="AI177" si="734">IF(AI176="","",IF(AI176="12M","1Y",IF(AI176="24M","2Y",AI176)))</f>
        <v/>
      </c>
      <c r="AJ177" s="42" t="str">
        <f t="shared" ref="AJ177" si="735">IF(AJ176="","",IF(AJ176="12M","1Y",IF(AJ176="24M","2Y",AJ176)))</f>
        <v/>
      </c>
      <c r="AK177" s="42" t="str">
        <f t="shared" ref="AK177" si="736">IF(AK176="","",IF(AK176="12M","1Y",IF(AK176="24M","2Y",AK176)))</f>
        <v/>
      </c>
      <c r="AL177" s="42" t="str">
        <f t="shared" ref="AL177" si="737">IF(AL176="","",IF(AL176="12M","1Y",IF(AL176="24M","2Y",AL176)))</f>
        <v/>
      </c>
      <c r="AM177" s="42" t="str">
        <f t="shared" ref="AM177" si="738">IF(AM176="","",IF(AM176="12M","1Y",IF(AM176="24M","2Y",AM176)))</f>
        <v/>
      </c>
      <c r="AN177" s="42" t="str">
        <f t="shared" ref="AN177" si="739">IF(AN176="","",IF(AN176="12M","1Y",IF(AN176="24M","2Y",AN176)))</f>
        <v/>
      </c>
      <c r="AO177" s="42" t="str">
        <f t="shared" ref="AO177" si="740">IF(AO176="","",IF(AO176="12M","1Y",IF(AO176="24M","2Y",AO176)))</f>
        <v/>
      </c>
      <c r="AP177" s="42" t="str">
        <f t="shared" ref="AP177" si="741">IF(AP176="","",IF(AP176="12M","1Y",IF(AP176="24M","2Y",AP176)))</f>
        <v/>
      </c>
      <c r="AQ177" s="42" t="str">
        <f t="shared" ref="AQ177" si="742">IF(AQ176="","",IF(AQ176="12M","1Y",IF(AQ176="24M","2Y",AQ176)))</f>
        <v/>
      </c>
      <c r="AR177" s="42" t="str">
        <f t="shared" ref="AR177" si="743">IF(AR176="","",IF(AR176="12M","1Y",IF(AR176="24M","2Y",AR176)))</f>
        <v/>
      </c>
      <c r="AS177" s="42" t="str">
        <f t="shared" ref="AS177" si="744">IF(AS176="","",IF(AS176="12M","1Y",IF(AS176="24M","2Y",AS176)))</f>
        <v/>
      </c>
      <c r="AT177" s="42" t="str">
        <f t="shared" ref="AT177" si="745">IF(AT176="","",IF(AT176="12M","1Y",IF(AT176="24M","2Y",AT176)))</f>
        <v/>
      </c>
      <c r="AU177" s="42" t="str">
        <f t="shared" ref="AU177" si="746">IF(AU176="","",IF(AU176="12M","1Y",IF(AU176="24M","2Y",AU176)))</f>
        <v/>
      </c>
      <c r="AV177" s="42" t="str">
        <f t="shared" ref="AV177" si="747">IF(AV176="","",IF(AV176="12M","1Y",IF(AV176="24M","2Y",AV176)))</f>
        <v/>
      </c>
      <c r="AW177" s="42" t="str">
        <f t="shared" ref="AW177" si="748">IF(AW176="","",IF(AW176="12M","1Y",IF(AW176="24M","2Y",AW176)))</f>
        <v/>
      </c>
      <c r="AX177" s="42" t="str">
        <f t="shared" ref="AX177" si="749">IF(AX176="","",IF(AX176="12M","1Y",IF(AX176="24M","2Y",AX176)))</f>
        <v/>
      </c>
      <c r="AY177" s="42" t="str">
        <f t="shared" ref="AY177" si="750">IF(AY176="","",IF(AY176="12M","1Y",IF(AY176="24M","2Y",AY176)))</f>
        <v/>
      </c>
      <c r="AZ177" s="42" t="str">
        <f t="shared" ref="AZ177" si="751">IF(AZ176="","",IF(AZ176="12M","1Y",IF(AZ176="24M","2Y",AZ176)))</f>
        <v/>
      </c>
      <c r="BA177" s="42" t="str">
        <f t="shared" ref="BA177" si="752">IF(BA176="","",IF(BA176="12M","1Y",IF(BA176="24M","2Y",BA176)))</f>
        <v/>
      </c>
    </row>
    <row r="178" spans="2:53" s="41" customFormat="1" ht="15" customHeight="1">
      <c r="B178" s="7"/>
      <c r="C178" s="153" t="str">
        <f>trans_getMessage("","Name",,LANG_ID)</f>
        <v>Name</v>
      </c>
      <c r="D178" s="154"/>
      <c r="E178" s="49" t="s">
        <v>49</v>
      </c>
      <c r="F178" s="43" t="e" cm="1">
        <f t="array" aca="1" ref="F178" ca="1">IF(LEFT(_xlfn.SINGLE(_xll.BDP(F179, $E178)),1)="#", "-", _xll.BDP(F179, $E178))</f>
        <v>#NAME?</v>
      </c>
      <c r="G178" s="43" t="e" cm="1">
        <f t="array" aca="1" ref="G178" ca="1">IF(LEFT(_xlfn.SINGLE(_xll.BDP(G179, $E178)),1)="#", "-", _xll.BDP(G179, $E178))</f>
        <v>#NAME?</v>
      </c>
      <c r="H178" s="43" t="e" cm="1">
        <f t="array" aca="1" ref="H178" ca="1">IF(LEFT(_xlfn.SINGLE(_xll.BDP(H179, $E178)),1)="#", "-", _xll.BDP(H179, $E178))</f>
        <v>#NAME?</v>
      </c>
      <c r="I178" s="43" t="e" cm="1">
        <f t="array" aca="1" ref="I178" ca="1">IF(LEFT(_xlfn.SINGLE(_xll.BDP(I179, $E178)),1)="#", "-", _xll.BDP(I179, $E178))</f>
        <v>#NAME?</v>
      </c>
      <c r="J178" s="43" t="e" cm="1">
        <f t="array" aca="1" ref="J178" ca="1">IF(LEFT(_xlfn.SINGLE(_xll.BDP(J179, $E178)),1)="#", "-", _xll.BDP(J179, $E178))</f>
        <v>#NAME?</v>
      </c>
      <c r="K178" s="43" t="e" cm="1">
        <f t="array" aca="1" ref="K178" ca="1">IF(LEFT(_xlfn.SINGLE(_xll.BDP(K179, $E178)),1)="#", "-", _xll.BDP(K179, $E178))</f>
        <v>#NAME?</v>
      </c>
      <c r="L178" s="43" t="e" cm="1">
        <f t="array" aca="1" ref="L178" ca="1">IF(LEFT(_xlfn.SINGLE(_xll.BDP(L179, $E178)),1)="#", "-", _xll.BDP(L179, $E178))</f>
        <v>#NAME?</v>
      </c>
      <c r="M178" s="43" t="e" cm="1">
        <f t="array" aca="1" ref="M178" ca="1">IF(LEFT(_xlfn.SINGLE(_xll.BDP(M179, $E178)),1)="#", "-", _xll.BDP(M179, $E178))</f>
        <v>#NAME?</v>
      </c>
      <c r="N178" s="43" t="e" cm="1">
        <f t="array" aca="1" ref="N178" ca="1">IF(LEFT(_xlfn.SINGLE(_xll.BDP(N179, $E178)),1)="#", "-", _xll.BDP(N179, $E178))</f>
        <v>#NAME?</v>
      </c>
      <c r="O178" s="43" t="e" cm="1">
        <f t="array" aca="1" ref="O178" ca="1">IF(LEFT(_xlfn.SINGLE(_xll.BDP(O179, $E178)),1)="#", "-", _xll.BDP(O179, $E178))</f>
        <v>#NAME?</v>
      </c>
      <c r="P178" s="43" t="e" cm="1">
        <f t="array" aca="1" ref="P178" ca="1">IF(LEFT(_xlfn.SINGLE(_xll.BDP(P179, $E178)),1)="#", "-", _xll.BDP(P179, $E178))</f>
        <v>#NAME?</v>
      </c>
      <c r="Q178" s="43" t="e" cm="1">
        <f t="array" aca="1" ref="Q178" ca="1">IF(LEFT(_xlfn.SINGLE(_xll.BDP(Q179, $E178)),1)="#", "-", _xll.BDP(Q179, $E178))</f>
        <v>#NAME?</v>
      </c>
      <c r="R178" s="43" t="e" cm="1">
        <f t="array" aca="1" ref="R178" ca="1">IF(LEFT(_xlfn.SINGLE(_xll.BDP(R179, $E178)),1)="#", "-", _xll.BDP(R179, $E178))</f>
        <v>#NAME?</v>
      </c>
      <c r="S178" s="43" t="e" cm="1">
        <f t="array" aca="1" ref="S178" ca="1">IF(LEFT(_xlfn.SINGLE(_xll.BDP(S179, $E178)),1)="#", "-", _xll.BDP(S179, $E178))</f>
        <v>#NAME?</v>
      </c>
      <c r="T178" s="43" t="e" cm="1">
        <f t="array" aca="1" ref="T178" ca="1">IF(LEFT(_xlfn.SINGLE(_xll.BDP(T179, $E178)),1)="#", "-", _xll.BDP(T179, $E178))</f>
        <v>#NAME?</v>
      </c>
      <c r="U178" s="43" t="e" cm="1">
        <f t="array" aca="1" ref="U178" ca="1">IF(LEFT(_xlfn.SINGLE(_xll.BDP(U179, $E178)),1)="#", "-", _xll.BDP(U179, $E178))</f>
        <v>#NAME?</v>
      </c>
      <c r="V178" s="43" t="e" cm="1">
        <f t="array" aca="1" ref="V178" ca="1">IF(LEFT(_xlfn.SINGLE(_xll.BDP(V179, $E178)),1)="#", "-", _xll.BDP(V179, $E178))</f>
        <v>#NAME?</v>
      </c>
      <c r="W178" s="43" t="e" cm="1">
        <f t="array" aca="1" ref="W178" ca="1">IF(LEFT(_xlfn.SINGLE(_xll.BDP(W179, $E178)),1)="#", "-", _xll.BDP(W179, $E178))</f>
        <v>#NAME?</v>
      </c>
      <c r="X178" s="43" t="e" cm="1">
        <f t="array" aca="1" ref="X178" ca="1">IF(LEFT(_xlfn.SINGLE(_xll.BDP(X179, $E178)),1)="#", "-", _xll.BDP(X179, $E178))</f>
        <v>#NAME?</v>
      </c>
      <c r="Y178" s="43" t="e" cm="1">
        <f t="array" aca="1" ref="Y178" ca="1">IF(LEFT(_xlfn.SINGLE(_xll.BDP(Y179, $E178)),1)="#", "-", _xll.BDP(Y179, $E178))</f>
        <v>#NAME?</v>
      </c>
      <c r="Z178" s="43" t="e" cm="1">
        <f t="array" aca="1" ref="Z178" ca="1">IF(LEFT(_xlfn.SINGLE(_xll.BDP(Z179, $E178)),1)="#", "-", _xll.BDP(Z179, $E178))</f>
        <v>#NAME?</v>
      </c>
      <c r="AA178" s="43" t="e" cm="1">
        <f t="array" aca="1" ref="AA178" ca="1">IF(LEFT(_xlfn.SINGLE(_xll.BDP(AA179, $E178)),1)="#", "-", _xll.BDP(AA179, $E178))</f>
        <v>#NAME?</v>
      </c>
      <c r="AB178" s="43" t="e" cm="1">
        <f t="array" aca="1" ref="AB178" ca="1">IF(LEFT(_xlfn.SINGLE(_xll.BDP(AB179, $E178)),1)="#", "-", _xll.BDP(AB179, $E178))</f>
        <v>#NAME?</v>
      </c>
      <c r="AC178" s="43" t="e" cm="1">
        <f t="array" aca="1" ref="AC178" ca="1">IF(LEFT(_xlfn.SINGLE(_xll.BDP(AC179, $E178)),1)="#", "-", _xll.BDP(AC179, $E178))</f>
        <v>#NAME?</v>
      </c>
      <c r="AD178" s="43" t="e" cm="1">
        <f t="array" aca="1" ref="AD178" ca="1">IF(LEFT(_xlfn.SINGLE(_xll.BDP(AD179, $E178)),1)="#", "-", _xll.BDP(AD179, $E178))</f>
        <v>#NAME?</v>
      </c>
      <c r="AE178" s="43" t="e" cm="1">
        <f t="array" aca="1" ref="AE178" ca="1">IF(LEFT(_xlfn.SINGLE(_xll.BDP(AE179, $E178)),1)="#", "-", _xll.BDP(AE179, $E178))</f>
        <v>#NAME?</v>
      </c>
      <c r="AF178" s="43" t="e" cm="1">
        <f t="array" aca="1" ref="AF178" ca="1">IF(LEFT(_xlfn.SINGLE(_xll.BDP(AF179, $E178)),1)="#", "-", _xll.BDP(AF179, $E178))</f>
        <v>#NAME?</v>
      </c>
      <c r="AG178" s="43" t="e" cm="1">
        <f t="array" aca="1" ref="AG178" ca="1">IF(LEFT(_xlfn.SINGLE(_xll.BDP(AG179, $E178)),1)="#", "-", _xll.BDP(AG179, $E178))</f>
        <v>#NAME?</v>
      </c>
      <c r="AH178" s="43" t="e" cm="1">
        <f t="array" aca="1" ref="AH178" ca="1">IF(LEFT(_xlfn.SINGLE(_xll.BDP(AH179, $E178)),1)="#", "-", _xll.BDP(AH179, $E178))</f>
        <v>#NAME?</v>
      </c>
      <c r="AI178" s="43" t="e" cm="1">
        <f t="array" aca="1" ref="AI178" ca="1">IF(LEFT(_xlfn.SINGLE(_xll.BDP(AI179, $E178)),1)="#", "-", _xll.BDP(AI179, $E178))</f>
        <v>#NAME?</v>
      </c>
      <c r="AJ178" s="43" t="e" cm="1">
        <f t="array" aca="1" ref="AJ178" ca="1">IF(LEFT(_xlfn.SINGLE(_xll.BDP(AJ179, $E178)),1)="#", "-", _xll.BDP(AJ179, $E178))</f>
        <v>#NAME?</v>
      </c>
      <c r="AK178" s="43" t="e" cm="1">
        <f t="array" aca="1" ref="AK178" ca="1">IF(LEFT(_xlfn.SINGLE(_xll.BDP(AK179, $E178)),1)="#", "-", _xll.BDP(AK179, $E178))</f>
        <v>#NAME?</v>
      </c>
      <c r="AL178" s="43" t="e" cm="1">
        <f t="array" aca="1" ref="AL178" ca="1">IF(LEFT(_xlfn.SINGLE(_xll.BDP(AL179, $E178)),1)="#", "-", _xll.BDP(AL179, $E178))</f>
        <v>#NAME?</v>
      </c>
      <c r="AM178" s="43" t="e" cm="1">
        <f t="array" aca="1" ref="AM178" ca="1">IF(LEFT(_xlfn.SINGLE(_xll.BDP(AM179, $E178)),1)="#", "-", _xll.BDP(AM179, $E178))</f>
        <v>#NAME?</v>
      </c>
      <c r="AN178" s="43" t="e" cm="1">
        <f t="array" aca="1" ref="AN178" ca="1">IF(LEFT(_xlfn.SINGLE(_xll.BDP(AN179, $E178)),1)="#", "-", _xll.BDP(AN179, $E178))</f>
        <v>#NAME?</v>
      </c>
      <c r="AO178" s="43" t="e" cm="1">
        <f t="array" aca="1" ref="AO178" ca="1">IF(LEFT(_xlfn.SINGLE(_xll.BDP(AO179, $E178)),1)="#", "-", _xll.BDP(AO179, $E178))</f>
        <v>#NAME?</v>
      </c>
      <c r="AP178" s="43" t="e" cm="1">
        <f t="array" aca="1" ref="AP178" ca="1">IF(LEFT(_xlfn.SINGLE(_xll.BDP(AP179, $E178)),1)="#", "-", _xll.BDP(AP179, $E178))</f>
        <v>#NAME?</v>
      </c>
      <c r="AQ178" s="43" t="e" cm="1">
        <f t="array" aca="1" ref="AQ178" ca="1">IF(LEFT(_xlfn.SINGLE(_xll.BDP(AQ179, $E178)),1)="#", "-", _xll.BDP(AQ179, $E178))</f>
        <v>#NAME?</v>
      </c>
      <c r="AR178" s="43" t="e" cm="1">
        <f t="array" aca="1" ref="AR178" ca="1">IF(LEFT(_xlfn.SINGLE(_xll.BDP(AR179, $E178)),1)="#", "-", _xll.BDP(AR179, $E178))</f>
        <v>#NAME?</v>
      </c>
      <c r="AS178" s="43" t="e" cm="1">
        <f t="array" aca="1" ref="AS178" ca="1">IF(LEFT(_xlfn.SINGLE(_xll.BDP(AS179, $E178)),1)="#", "-", _xll.BDP(AS179, $E178))</f>
        <v>#NAME?</v>
      </c>
      <c r="AT178" s="43" t="e" cm="1">
        <f t="array" aca="1" ref="AT178" ca="1">IF(LEFT(_xlfn.SINGLE(_xll.BDP(AT179, $E178)),1)="#", "-", _xll.BDP(AT179, $E178))</f>
        <v>#NAME?</v>
      </c>
      <c r="AU178" s="43" t="e" cm="1">
        <f t="array" aca="1" ref="AU178" ca="1">IF(LEFT(_xlfn.SINGLE(_xll.BDP(AU179, $E178)),1)="#", "-", _xll.BDP(AU179, $E178))</f>
        <v>#NAME?</v>
      </c>
      <c r="AV178" s="43" t="e" cm="1">
        <f t="array" aca="1" ref="AV178" ca="1">IF(LEFT(_xlfn.SINGLE(_xll.BDP(AV179, $E178)),1)="#", "-", _xll.BDP(AV179, $E178))</f>
        <v>#NAME?</v>
      </c>
      <c r="AW178" s="43" t="e" cm="1">
        <f t="array" aca="1" ref="AW178" ca="1">IF(LEFT(_xlfn.SINGLE(_xll.BDP(AW179, $E178)),1)="#", "-", _xll.BDP(AW179, $E178))</f>
        <v>#NAME?</v>
      </c>
      <c r="AX178" s="43" t="e" cm="1">
        <f t="array" aca="1" ref="AX178" ca="1">IF(LEFT(_xlfn.SINGLE(_xll.BDP(AX179, $E178)),1)="#", "-", _xll.BDP(AX179, $E178))</f>
        <v>#NAME?</v>
      </c>
      <c r="AY178" s="43" t="e" cm="1">
        <f t="array" aca="1" ref="AY178" ca="1">IF(LEFT(_xlfn.SINGLE(_xll.BDP(AY179, $E178)),1)="#", "-", _xll.BDP(AY179, $E178))</f>
        <v>#NAME?</v>
      </c>
      <c r="AZ178" s="43" t="e" cm="1">
        <f t="array" aca="1" ref="AZ178" ca="1">IF(LEFT(_xlfn.SINGLE(_xll.BDP(AZ179, $E178)),1)="#", "-", _xll.BDP(AZ179, $E178))</f>
        <v>#NAME?</v>
      </c>
      <c r="BA178" s="45" t="e" cm="1">
        <f t="array" aca="1" ref="BA178" ca="1">IF(LEFT(_xlfn.SINGLE(_xll.BDP(BA179, $E178)),1)="#", "-", _xll.BDP(BA179, $E178))</f>
        <v>#NAME?</v>
      </c>
    </row>
    <row r="179" spans="2:53" ht="15" customHeight="1">
      <c r="B179" s="40"/>
      <c r="C179" s="145" t="str">
        <f>trans_getMessage("","Curve Tickers",,LANG_ID)</f>
        <v>Curve Tickers</v>
      </c>
      <c r="D179" s="146"/>
      <c r="E179" s="50" t="s">
        <v>46</v>
      </c>
      <c r="F179" s="42" t="e" cm="1">
        <f t="array" aca="1" ref="F179" ca="1">_xll.BDS(E174,E179,"Dir=H",)</f>
        <v>#NAME?</v>
      </c>
      <c r="G179" s="42"/>
      <c r="H179" s="42"/>
      <c r="I179" s="42"/>
      <c r="J179" s="42"/>
      <c r="K179" s="42"/>
      <c r="L179" s="42"/>
      <c r="M179" s="42"/>
      <c r="N179" s="42"/>
      <c r="O179" s="42"/>
      <c r="P179" s="42"/>
      <c r="Q179" s="42"/>
      <c r="R179" s="42"/>
      <c r="S179" s="42"/>
      <c r="T179" s="42"/>
      <c r="U179" s="42"/>
      <c r="V179" s="42"/>
      <c r="W179" s="42"/>
      <c r="X179" s="42"/>
      <c r="Y179" s="42"/>
      <c r="Z179" s="42"/>
      <c r="AA179" s="42"/>
      <c r="AB179" s="42"/>
      <c r="AC179" s="42"/>
      <c r="AD179" s="42"/>
      <c r="AE179" s="42"/>
      <c r="AF179" s="42"/>
      <c r="AG179" s="42"/>
      <c r="AH179" s="42"/>
      <c r="AI179" s="42"/>
      <c r="AJ179" s="42"/>
      <c r="AK179" s="42"/>
      <c r="AL179" s="42"/>
      <c r="AM179" s="42"/>
      <c r="AN179" s="42"/>
      <c r="AO179" s="42"/>
      <c r="AP179" s="42"/>
      <c r="AQ179" s="42"/>
      <c r="AR179" s="42"/>
      <c r="AS179" s="42"/>
      <c r="AT179" s="42"/>
      <c r="AU179" s="42"/>
      <c r="AV179" s="42"/>
      <c r="AW179" s="42"/>
      <c r="AX179" s="42"/>
      <c r="AY179" s="42"/>
      <c r="AZ179" s="42"/>
      <c r="BA179" s="44"/>
    </row>
    <row r="180" spans="2:53" ht="15" customHeight="1">
      <c r="C180" s="138" t="str">
        <f>trans_getMessage("","Rate",,LANG_ID)</f>
        <v>Rate</v>
      </c>
      <c r="D180" s="139"/>
      <c r="E180" s="51" t="s">
        <v>44</v>
      </c>
      <c r="F180" s="46" t="str" cm="1">
        <f t="array" aca="1" ref="F180" ca="1">IF(ISERROR(_xlfn.SINGLE(_xll.BDP(F179, $E180))*1), "-", _xll.BDP(F179, $E180))</f>
        <v>-</v>
      </c>
      <c r="G180" s="46" t="str" cm="1">
        <f t="array" aca="1" ref="G180" ca="1">IF(ISERROR(_xlfn.SINGLE(_xll.BDP(G179, $E180))*1), "-", _xll.BDP(G179, $E180))</f>
        <v>-</v>
      </c>
      <c r="H180" s="46" t="str" cm="1">
        <f t="array" aca="1" ref="H180" ca="1">IF(ISERROR(_xlfn.SINGLE(_xll.BDP(H179, $E180))*1), "-", _xll.BDP(H179, $E180))</f>
        <v>-</v>
      </c>
      <c r="I180" s="46" t="str" cm="1">
        <f t="array" aca="1" ref="I180" ca="1">IF(ISERROR(_xlfn.SINGLE(_xll.BDP(I179, $E180))*1), "-", _xll.BDP(I179, $E180))</f>
        <v>-</v>
      </c>
      <c r="J180" s="46" t="str" cm="1">
        <f t="array" aca="1" ref="J180" ca="1">IF(ISERROR(_xlfn.SINGLE(_xll.BDP(J179, $E180))*1), "-", _xll.BDP(J179, $E180))</f>
        <v>-</v>
      </c>
      <c r="K180" s="46" t="str" cm="1">
        <f t="array" aca="1" ref="K180" ca="1">IF(ISERROR(_xlfn.SINGLE(_xll.BDP(K179, $E180))*1), "-", _xll.BDP(K179, $E180))</f>
        <v>-</v>
      </c>
      <c r="L180" s="46" t="str" cm="1">
        <f t="array" aca="1" ref="L180" ca="1">IF(ISERROR(_xlfn.SINGLE(_xll.BDP(L179, $E180))*1), "-", _xll.BDP(L179, $E180))</f>
        <v>-</v>
      </c>
      <c r="M180" s="46" t="str" cm="1">
        <f t="array" aca="1" ref="M180" ca="1">IF(ISERROR(_xlfn.SINGLE(_xll.BDP(M179, $E180))*1), "-", _xll.BDP(M179, $E180))</f>
        <v>-</v>
      </c>
      <c r="N180" s="46" t="str" cm="1">
        <f t="array" aca="1" ref="N180" ca="1">IF(ISERROR(_xlfn.SINGLE(_xll.BDP(N179, $E180))*1), "-", _xll.BDP(N179, $E180))</f>
        <v>-</v>
      </c>
      <c r="O180" s="46" t="str" cm="1">
        <f t="array" aca="1" ref="O180" ca="1">IF(ISERROR(_xlfn.SINGLE(_xll.BDP(O179, $E180))*1), "-", _xll.BDP(O179, $E180))</f>
        <v>-</v>
      </c>
      <c r="P180" s="46" t="str" cm="1">
        <f t="array" aca="1" ref="P180" ca="1">IF(ISERROR(_xlfn.SINGLE(_xll.BDP(P179, $E180))*1), "-", _xll.BDP(P179, $E180))</f>
        <v>-</v>
      </c>
      <c r="Q180" s="46" t="str" cm="1">
        <f t="array" aca="1" ref="Q180" ca="1">IF(ISERROR(_xlfn.SINGLE(_xll.BDP(Q179, $E180))*1), "-", _xll.BDP(Q179, $E180))</f>
        <v>-</v>
      </c>
      <c r="R180" s="46" t="str" cm="1">
        <f t="array" aca="1" ref="R180" ca="1">IF(ISERROR(_xlfn.SINGLE(_xll.BDP(R179, $E180))*1), "-", _xll.BDP(R179, $E180))</f>
        <v>-</v>
      </c>
      <c r="S180" s="46" t="str" cm="1">
        <f t="array" aca="1" ref="S180" ca="1">IF(ISERROR(_xlfn.SINGLE(_xll.BDP(S179, $E180))*1), "-", _xll.BDP(S179, $E180))</f>
        <v>-</v>
      </c>
      <c r="T180" s="46" t="str" cm="1">
        <f t="array" aca="1" ref="T180" ca="1">IF(ISERROR(_xlfn.SINGLE(_xll.BDP(T179, $E180))*1), "-", _xll.BDP(T179, $E180))</f>
        <v>-</v>
      </c>
      <c r="U180" s="46" t="str" cm="1">
        <f t="array" aca="1" ref="U180" ca="1">IF(ISERROR(_xlfn.SINGLE(_xll.BDP(U179, $E180))*1), "-", _xll.BDP(U179, $E180))</f>
        <v>-</v>
      </c>
      <c r="V180" s="46" t="str" cm="1">
        <f t="array" aca="1" ref="V180" ca="1">IF(ISERROR(_xlfn.SINGLE(_xll.BDP(V179, $E180))*1), "-", _xll.BDP(V179, $E180))</f>
        <v>-</v>
      </c>
      <c r="W180" s="46" t="str" cm="1">
        <f t="array" aca="1" ref="W180" ca="1">IF(ISERROR(_xlfn.SINGLE(_xll.BDP(W179, $E180))*1), "-", _xll.BDP(W179, $E180))</f>
        <v>-</v>
      </c>
      <c r="X180" s="46" t="str" cm="1">
        <f t="array" aca="1" ref="X180" ca="1">IF(ISERROR(_xlfn.SINGLE(_xll.BDP(X179, $E180))*1), "-", _xll.BDP(X179, $E180))</f>
        <v>-</v>
      </c>
      <c r="Y180" s="46" t="str" cm="1">
        <f t="array" aca="1" ref="Y180" ca="1">IF(ISERROR(_xlfn.SINGLE(_xll.BDP(Y179, $E180))*1), "-", _xll.BDP(Y179, $E180))</f>
        <v>-</v>
      </c>
      <c r="Z180" s="46" t="str" cm="1">
        <f t="array" aca="1" ref="Z180" ca="1">IF(ISERROR(_xlfn.SINGLE(_xll.BDP(Z179, $E180))*1), "-", _xll.BDP(Z179, $E180))</f>
        <v>-</v>
      </c>
      <c r="AA180" s="46" t="str" cm="1">
        <f t="array" aca="1" ref="AA180" ca="1">IF(ISERROR(_xlfn.SINGLE(_xll.BDP(AA179, $E180))*1), "-", _xll.BDP(AA179, $E180))</f>
        <v>-</v>
      </c>
      <c r="AB180" s="46" t="str" cm="1">
        <f t="array" aca="1" ref="AB180" ca="1">IF(ISERROR(_xlfn.SINGLE(_xll.BDP(AB179, $E180))*1), "-", _xll.BDP(AB179, $E180))</f>
        <v>-</v>
      </c>
      <c r="AC180" s="46" t="str" cm="1">
        <f t="array" aca="1" ref="AC180" ca="1">IF(ISERROR(_xlfn.SINGLE(_xll.BDP(AC179, $E180))*1), "-", _xll.BDP(AC179, $E180))</f>
        <v>-</v>
      </c>
      <c r="AD180" s="46" t="str" cm="1">
        <f t="array" aca="1" ref="AD180" ca="1">IF(ISERROR(_xlfn.SINGLE(_xll.BDP(AD179, $E180))*1), "-", _xll.BDP(AD179, $E180))</f>
        <v>-</v>
      </c>
      <c r="AE180" s="46" t="str" cm="1">
        <f t="array" aca="1" ref="AE180" ca="1">IF(ISERROR(_xlfn.SINGLE(_xll.BDP(AE179, $E180))*1), "-", _xll.BDP(AE179, $E180))</f>
        <v>-</v>
      </c>
      <c r="AF180" s="46" t="str" cm="1">
        <f t="array" aca="1" ref="AF180" ca="1">IF(ISERROR(_xlfn.SINGLE(_xll.BDP(AF179, $E180))*1), "-", _xll.BDP(AF179, $E180))</f>
        <v>-</v>
      </c>
      <c r="AG180" s="46" t="str" cm="1">
        <f t="array" aca="1" ref="AG180" ca="1">IF(ISERROR(_xlfn.SINGLE(_xll.BDP(AG179, $E180))*1), "-", _xll.BDP(AG179, $E180))</f>
        <v>-</v>
      </c>
      <c r="AH180" s="46" t="str" cm="1">
        <f t="array" aca="1" ref="AH180" ca="1">IF(ISERROR(_xlfn.SINGLE(_xll.BDP(AH179, $E180))*1), "-", _xll.BDP(AH179, $E180))</f>
        <v>-</v>
      </c>
      <c r="AI180" s="46" t="str" cm="1">
        <f t="array" aca="1" ref="AI180" ca="1">IF(ISERROR(_xlfn.SINGLE(_xll.BDP(AI179, $E180))*1), "-", _xll.BDP(AI179, $E180))</f>
        <v>-</v>
      </c>
      <c r="AJ180" s="46" t="str" cm="1">
        <f t="array" aca="1" ref="AJ180" ca="1">IF(ISERROR(_xlfn.SINGLE(_xll.BDP(AJ179, $E180))*1), "-", _xll.BDP(AJ179, $E180))</f>
        <v>-</v>
      </c>
      <c r="AK180" s="46" t="str" cm="1">
        <f t="array" aca="1" ref="AK180" ca="1">IF(ISERROR(_xlfn.SINGLE(_xll.BDP(AK179, $E180))*1), "-", _xll.BDP(AK179, $E180))</f>
        <v>-</v>
      </c>
      <c r="AL180" s="46" t="str" cm="1">
        <f t="array" aca="1" ref="AL180" ca="1">IF(ISERROR(_xlfn.SINGLE(_xll.BDP(AL179, $E180))*1), "-", _xll.BDP(AL179, $E180))</f>
        <v>-</v>
      </c>
      <c r="AM180" s="46" t="str" cm="1">
        <f t="array" aca="1" ref="AM180" ca="1">IF(ISERROR(_xlfn.SINGLE(_xll.BDP(AM179, $E180))*1), "-", _xll.BDP(AM179, $E180))</f>
        <v>-</v>
      </c>
      <c r="AN180" s="46" t="str" cm="1">
        <f t="array" aca="1" ref="AN180" ca="1">IF(ISERROR(_xlfn.SINGLE(_xll.BDP(AN179, $E180))*1), "-", _xll.BDP(AN179, $E180))</f>
        <v>-</v>
      </c>
      <c r="AO180" s="46" t="str" cm="1">
        <f t="array" aca="1" ref="AO180" ca="1">IF(ISERROR(_xlfn.SINGLE(_xll.BDP(AO179, $E180))*1), "-", _xll.BDP(AO179, $E180))</f>
        <v>-</v>
      </c>
      <c r="AP180" s="46" t="str" cm="1">
        <f t="array" aca="1" ref="AP180" ca="1">IF(ISERROR(_xlfn.SINGLE(_xll.BDP(AP179, $E180))*1), "-", _xll.BDP(AP179, $E180))</f>
        <v>-</v>
      </c>
      <c r="AQ180" s="46" t="str" cm="1">
        <f t="array" aca="1" ref="AQ180" ca="1">IF(ISERROR(_xlfn.SINGLE(_xll.BDP(AQ179, $E180))*1), "-", _xll.BDP(AQ179, $E180))</f>
        <v>-</v>
      </c>
      <c r="AR180" s="46" t="str" cm="1">
        <f t="array" aca="1" ref="AR180" ca="1">IF(ISERROR(_xlfn.SINGLE(_xll.BDP(AR179, $E180))*1), "-", _xll.BDP(AR179, $E180))</f>
        <v>-</v>
      </c>
      <c r="AS180" s="46" t="str" cm="1">
        <f t="array" aca="1" ref="AS180" ca="1">IF(ISERROR(_xlfn.SINGLE(_xll.BDP(AS179, $E180))*1), "-", _xll.BDP(AS179, $E180))</f>
        <v>-</v>
      </c>
      <c r="AT180" s="46" t="str" cm="1">
        <f t="array" aca="1" ref="AT180" ca="1">IF(ISERROR(_xlfn.SINGLE(_xll.BDP(AT179, $E180))*1), "-", _xll.BDP(AT179, $E180))</f>
        <v>-</v>
      </c>
      <c r="AU180" s="46" t="str" cm="1">
        <f t="array" aca="1" ref="AU180" ca="1">IF(ISERROR(_xlfn.SINGLE(_xll.BDP(AU179, $E180))*1), "-", _xll.BDP(AU179, $E180))</f>
        <v>-</v>
      </c>
      <c r="AV180" s="46" t="str" cm="1">
        <f t="array" aca="1" ref="AV180" ca="1">IF(ISERROR(_xlfn.SINGLE(_xll.BDP(AV179, $E180))*1), "-", _xll.BDP(AV179, $E180))</f>
        <v>-</v>
      </c>
      <c r="AW180" s="46" t="str" cm="1">
        <f t="array" aca="1" ref="AW180" ca="1">IF(ISERROR(_xlfn.SINGLE(_xll.BDP(AW179, $E180))*1), "-", _xll.BDP(AW179, $E180))</f>
        <v>-</v>
      </c>
      <c r="AX180" s="46" t="str" cm="1">
        <f t="array" aca="1" ref="AX180" ca="1">IF(ISERROR(_xlfn.SINGLE(_xll.BDP(AX179, $E180))*1), "-", _xll.BDP(AX179, $E180))</f>
        <v>-</v>
      </c>
      <c r="AY180" s="46" t="str" cm="1">
        <f t="array" aca="1" ref="AY180" ca="1">IF(ISERROR(_xlfn.SINGLE(_xll.BDP(AY179, $E180))*1), "-", _xll.BDP(AY179, $E180))</f>
        <v>-</v>
      </c>
      <c r="AZ180" s="46" t="str" cm="1">
        <f t="array" aca="1" ref="AZ180" ca="1">IF(ISERROR(_xlfn.SINGLE(_xll.BDP(AZ179, $E180))*1), "-", _xll.BDP(AZ179, $E180))</f>
        <v>-</v>
      </c>
      <c r="BA180" s="47" t="str" cm="1">
        <f t="array" aca="1" ref="BA180" ca="1">IF(ISERROR(_xlfn.SINGLE(_xll.BDP(BA179, $E180))*1), "-", _xll.BDP(BA179, $E180))</f>
        <v>-</v>
      </c>
    </row>
    <row r="181" spans="2:53" ht="15" hidden="1" customHeight="1"/>
    <row r="182" spans="2:53" ht="5.15" customHeight="1"/>
    <row r="183" spans="2:53" ht="15" customHeight="1">
      <c r="B183" s="38" t="s">
        <v>89</v>
      </c>
      <c r="C183" s="140" t="str">
        <f>trans_getMessage("","Curve Number",,LANG_ID)</f>
        <v>Curve Number</v>
      </c>
      <c r="D183" s="141"/>
      <c r="E183" s="142">
        <f>VLOOKUP(B183, 'Currency-Curve List'!$C$9:$E$103, 2, FALSE)</f>
        <v>188</v>
      </c>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4"/>
    </row>
    <row r="184" spans="2:53" ht="15" customHeight="1">
      <c r="C184" s="145" t="str">
        <f>trans_getMessage("","Curve Index",,LANG_ID)</f>
        <v>Curve Index</v>
      </c>
      <c r="D184" s="146"/>
      <c r="E184" s="147" t="str">
        <f>VLOOKUP(B183, 'Currency-Curve List'!$C$9:$E$103, 3, FALSE)</f>
        <v>YCSW0188 Index</v>
      </c>
      <c r="F184" s="148"/>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9"/>
    </row>
    <row r="185" spans="2:53" ht="15" customHeight="1">
      <c r="C185" s="145" t="str">
        <f>trans_getMessage("","Curve Name",,LANG_ID)</f>
        <v>Curve Name</v>
      </c>
      <c r="D185" s="146"/>
      <c r="E185" s="150" t="e" cm="1">
        <f t="array" aca="1" ref="E185" ca="1">_xll.BDP(E184, "NAME")</f>
        <v>#NAME?</v>
      </c>
      <c r="F185" s="151"/>
      <c r="G185" s="151"/>
      <c r="H185" s="151"/>
      <c r="I185" s="151"/>
      <c r="J185" s="151"/>
      <c r="K185" s="151"/>
      <c r="L185" s="151"/>
      <c r="M185" s="151"/>
      <c r="N185" s="151"/>
      <c r="O185" s="151"/>
      <c r="P185" s="151"/>
      <c r="Q185" s="151"/>
      <c r="R185" s="151"/>
      <c r="S185" s="151"/>
      <c r="T185" s="151"/>
      <c r="U185" s="151"/>
      <c r="V185" s="151"/>
      <c r="W185" s="151"/>
      <c r="X185" s="151"/>
      <c r="Y185" s="151"/>
      <c r="Z185" s="151"/>
      <c r="AA185" s="151"/>
      <c r="AB185" s="151"/>
      <c r="AC185" s="151"/>
      <c r="AD185" s="151"/>
      <c r="AE185" s="151"/>
      <c r="AF185" s="151"/>
      <c r="AG185" s="151"/>
      <c r="AH185" s="151"/>
      <c r="AI185" s="151"/>
      <c r="AJ185" s="151"/>
      <c r="AK185" s="151"/>
      <c r="AL185" s="151"/>
      <c r="AM185" s="151"/>
      <c r="AN185" s="151"/>
      <c r="AO185" s="151"/>
      <c r="AP185" s="151"/>
      <c r="AQ185" s="151"/>
      <c r="AR185" s="151"/>
      <c r="AS185" s="151"/>
      <c r="AT185" s="151"/>
      <c r="AU185" s="151"/>
      <c r="AV185" s="151"/>
      <c r="AW185" s="151"/>
      <c r="AX185" s="151"/>
      <c r="AY185" s="151"/>
      <c r="AZ185" s="151"/>
      <c r="BA185" s="152"/>
    </row>
    <row r="186" spans="2:53" ht="15" customHeight="1">
      <c r="C186" s="145" t="str">
        <f>trans_getMessage("","Tenors",,LANG_ID)</f>
        <v>Tenors</v>
      </c>
      <c r="D186" s="146"/>
      <c r="E186" s="48" t="s">
        <v>50</v>
      </c>
      <c r="F186" s="42" t="e" cm="1">
        <f t="array" aca="1" ref="F186" ca="1">_xll.BDS(E184,E186,"Dir=H",)</f>
        <v>#NAME?</v>
      </c>
      <c r="G186" s="42"/>
      <c r="H186" s="42"/>
      <c r="I186" s="42"/>
      <c r="J186" s="42"/>
      <c r="K186" s="42"/>
      <c r="L186" s="42"/>
      <c r="M186" s="42"/>
      <c r="N186" s="42"/>
      <c r="O186" s="42"/>
      <c r="P186" s="42"/>
      <c r="Q186" s="42"/>
      <c r="R186" s="42"/>
      <c r="S186" s="42"/>
      <c r="T186" s="42"/>
      <c r="U186" s="42"/>
      <c r="V186" s="42"/>
      <c r="W186" s="42"/>
      <c r="X186" s="42"/>
      <c r="Y186" s="42"/>
      <c r="Z186" s="42"/>
      <c r="AA186" s="42"/>
      <c r="AB186" s="42"/>
      <c r="AC186" s="42"/>
      <c r="AD186" s="42"/>
      <c r="AE186" s="42"/>
      <c r="AF186" s="42"/>
      <c r="AG186" s="42"/>
      <c r="AH186" s="42"/>
      <c r="AI186" s="42"/>
      <c r="AJ186" s="42"/>
      <c r="AK186" s="42"/>
      <c r="AL186" s="42"/>
      <c r="AM186" s="42"/>
      <c r="AN186" s="42"/>
      <c r="AO186" s="42"/>
      <c r="AP186" s="42"/>
      <c r="AQ186" s="42"/>
      <c r="AR186" s="42"/>
      <c r="AS186" s="42"/>
      <c r="AT186" s="42"/>
      <c r="AU186" s="42"/>
      <c r="AV186" s="42"/>
      <c r="AW186" s="42"/>
      <c r="AX186" s="42"/>
      <c r="AY186" s="42"/>
      <c r="AZ186" s="42"/>
      <c r="BA186" s="44"/>
    </row>
    <row r="187" spans="2:53" ht="15" hidden="1" customHeight="1">
      <c r="C187" s="145" t="s">
        <v>2211</v>
      </c>
      <c r="D187" s="146"/>
      <c r="E187" s="48"/>
      <c r="F187" s="42" t="e">
        <f ca="1">IF(F186="","",IF(F186="12M","1Y",IF(F186="24M","2Y",F186)))</f>
        <v>#NAME?</v>
      </c>
      <c r="G187" s="42" t="str">
        <f t="shared" ref="G187" si="753">IF(G186="","",IF(G186="12M","1Y",IF(G186="24M","2Y",G186)))</f>
        <v/>
      </c>
      <c r="H187" s="42" t="str">
        <f t="shared" ref="H187" si="754">IF(H186="","",IF(H186="12M","1Y",IF(H186="24M","2Y",H186)))</f>
        <v/>
      </c>
      <c r="I187" s="42" t="str">
        <f t="shared" ref="I187" si="755">IF(I186="","",IF(I186="12M","1Y",IF(I186="24M","2Y",I186)))</f>
        <v/>
      </c>
      <c r="J187" s="42" t="str">
        <f t="shared" ref="J187" si="756">IF(J186="","",IF(J186="12M","1Y",IF(J186="24M","2Y",J186)))</f>
        <v/>
      </c>
      <c r="K187" s="42" t="str">
        <f t="shared" ref="K187" si="757">IF(K186="","",IF(K186="12M","1Y",IF(K186="24M","2Y",K186)))</f>
        <v/>
      </c>
      <c r="L187" s="42" t="str">
        <f t="shared" ref="L187" si="758">IF(L186="","",IF(L186="12M","1Y",IF(L186="24M","2Y",L186)))</f>
        <v/>
      </c>
      <c r="M187" s="42" t="str">
        <f t="shared" ref="M187" si="759">IF(M186="","",IF(M186="12M","1Y",IF(M186="24M","2Y",M186)))</f>
        <v/>
      </c>
      <c r="N187" s="42" t="str">
        <f t="shared" ref="N187" si="760">IF(N186="","",IF(N186="12M","1Y",IF(N186="24M","2Y",N186)))</f>
        <v/>
      </c>
      <c r="O187" s="42" t="str">
        <f t="shared" ref="O187" si="761">IF(O186="","",IF(O186="12M","1Y",IF(O186="24M","2Y",O186)))</f>
        <v/>
      </c>
      <c r="P187" s="42" t="str">
        <f t="shared" ref="P187" si="762">IF(P186="","",IF(P186="12M","1Y",IF(P186="24M","2Y",P186)))</f>
        <v/>
      </c>
      <c r="Q187" s="42" t="str">
        <f t="shared" ref="Q187" si="763">IF(Q186="","",IF(Q186="12M","1Y",IF(Q186="24M","2Y",Q186)))</f>
        <v/>
      </c>
      <c r="R187" s="42" t="str">
        <f t="shared" ref="R187" si="764">IF(R186="","",IF(R186="12M","1Y",IF(R186="24M","2Y",R186)))</f>
        <v/>
      </c>
      <c r="S187" s="42" t="str">
        <f t="shared" ref="S187" si="765">IF(S186="","",IF(S186="12M","1Y",IF(S186="24M","2Y",S186)))</f>
        <v/>
      </c>
      <c r="T187" s="42" t="str">
        <f t="shared" ref="T187" si="766">IF(T186="","",IF(T186="12M","1Y",IF(T186="24M","2Y",T186)))</f>
        <v/>
      </c>
      <c r="U187" s="42" t="str">
        <f t="shared" ref="U187" si="767">IF(U186="","",IF(U186="12M","1Y",IF(U186="24M","2Y",U186)))</f>
        <v/>
      </c>
      <c r="V187" s="42" t="str">
        <f t="shared" ref="V187" si="768">IF(V186="","",IF(V186="12M","1Y",IF(V186="24M","2Y",V186)))</f>
        <v/>
      </c>
      <c r="W187" s="42" t="str">
        <f t="shared" ref="W187" si="769">IF(W186="","",IF(W186="12M","1Y",IF(W186="24M","2Y",W186)))</f>
        <v/>
      </c>
      <c r="X187" s="42" t="str">
        <f t="shared" ref="X187" si="770">IF(X186="","",IF(X186="12M","1Y",IF(X186="24M","2Y",X186)))</f>
        <v/>
      </c>
      <c r="Y187" s="42" t="str">
        <f t="shared" ref="Y187" si="771">IF(Y186="","",IF(Y186="12M","1Y",IF(Y186="24M","2Y",Y186)))</f>
        <v/>
      </c>
      <c r="Z187" s="42" t="str">
        <f t="shared" ref="Z187" si="772">IF(Z186="","",IF(Z186="12M","1Y",IF(Z186="24M","2Y",Z186)))</f>
        <v/>
      </c>
      <c r="AA187" s="42" t="str">
        <f t="shared" ref="AA187" si="773">IF(AA186="","",IF(AA186="12M","1Y",IF(AA186="24M","2Y",AA186)))</f>
        <v/>
      </c>
      <c r="AB187" s="42" t="str">
        <f t="shared" ref="AB187" si="774">IF(AB186="","",IF(AB186="12M","1Y",IF(AB186="24M","2Y",AB186)))</f>
        <v/>
      </c>
      <c r="AC187" s="42" t="str">
        <f t="shared" ref="AC187" si="775">IF(AC186="","",IF(AC186="12M","1Y",IF(AC186="24M","2Y",AC186)))</f>
        <v/>
      </c>
      <c r="AD187" s="42" t="str">
        <f t="shared" ref="AD187" si="776">IF(AD186="","",IF(AD186="12M","1Y",IF(AD186="24M","2Y",AD186)))</f>
        <v/>
      </c>
      <c r="AE187" s="42" t="str">
        <f t="shared" ref="AE187" si="777">IF(AE186="","",IF(AE186="12M","1Y",IF(AE186="24M","2Y",AE186)))</f>
        <v/>
      </c>
      <c r="AF187" s="42" t="str">
        <f t="shared" ref="AF187" si="778">IF(AF186="","",IF(AF186="12M","1Y",IF(AF186="24M","2Y",AF186)))</f>
        <v/>
      </c>
      <c r="AG187" s="42" t="str">
        <f t="shared" ref="AG187" si="779">IF(AG186="","",IF(AG186="12M","1Y",IF(AG186="24M","2Y",AG186)))</f>
        <v/>
      </c>
      <c r="AH187" s="42" t="str">
        <f t="shared" ref="AH187" si="780">IF(AH186="","",IF(AH186="12M","1Y",IF(AH186="24M","2Y",AH186)))</f>
        <v/>
      </c>
      <c r="AI187" s="42" t="str">
        <f t="shared" ref="AI187" si="781">IF(AI186="","",IF(AI186="12M","1Y",IF(AI186="24M","2Y",AI186)))</f>
        <v/>
      </c>
      <c r="AJ187" s="42" t="str">
        <f t="shared" ref="AJ187" si="782">IF(AJ186="","",IF(AJ186="12M","1Y",IF(AJ186="24M","2Y",AJ186)))</f>
        <v/>
      </c>
      <c r="AK187" s="42" t="str">
        <f t="shared" ref="AK187" si="783">IF(AK186="","",IF(AK186="12M","1Y",IF(AK186="24M","2Y",AK186)))</f>
        <v/>
      </c>
      <c r="AL187" s="42" t="str">
        <f t="shared" ref="AL187" si="784">IF(AL186="","",IF(AL186="12M","1Y",IF(AL186="24M","2Y",AL186)))</f>
        <v/>
      </c>
      <c r="AM187" s="42" t="str">
        <f t="shared" ref="AM187" si="785">IF(AM186="","",IF(AM186="12M","1Y",IF(AM186="24M","2Y",AM186)))</f>
        <v/>
      </c>
      <c r="AN187" s="42" t="str">
        <f t="shared" ref="AN187" si="786">IF(AN186="","",IF(AN186="12M","1Y",IF(AN186="24M","2Y",AN186)))</f>
        <v/>
      </c>
      <c r="AO187" s="42" t="str">
        <f t="shared" ref="AO187" si="787">IF(AO186="","",IF(AO186="12M","1Y",IF(AO186="24M","2Y",AO186)))</f>
        <v/>
      </c>
      <c r="AP187" s="42" t="str">
        <f t="shared" ref="AP187" si="788">IF(AP186="","",IF(AP186="12M","1Y",IF(AP186="24M","2Y",AP186)))</f>
        <v/>
      </c>
      <c r="AQ187" s="42" t="str">
        <f t="shared" ref="AQ187" si="789">IF(AQ186="","",IF(AQ186="12M","1Y",IF(AQ186="24M","2Y",AQ186)))</f>
        <v/>
      </c>
      <c r="AR187" s="42" t="str">
        <f t="shared" ref="AR187" si="790">IF(AR186="","",IF(AR186="12M","1Y",IF(AR186="24M","2Y",AR186)))</f>
        <v/>
      </c>
      <c r="AS187" s="42" t="str">
        <f t="shared" ref="AS187" si="791">IF(AS186="","",IF(AS186="12M","1Y",IF(AS186="24M","2Y",AS186)))</f>
        <v/>
      </c>
      <c r="AT187" s="42" t="str">
        <f t="shared" ref="AT187" si="792">IF(AT186="","",IF(AT186="12M","1Y",IF(AT186="24M","2Y",AT186)))</f>
        <v/>
      </c>
      <c r="AU187" s="42" t="str">
        <f t="shared" ref="AU187" si="793">IF(AU186="","",IF(AU186="12M","1Y",IF(AU186="24M","2Y",AU186)))</f>
        <v/>
      </c>
      <c r="AV187" s="42" t="str">
        <f t="shared" ref="AV187" si="794">IF(AV186="","",IF(AV186="12M","1Y",IF(AV186="24M","2Y",AV186)))</f>
        <v/>
      </c>
      <c r="AW187" s="42" t="str">
        <f t="shared" ref="AW187" si="795">IF(AW186="","",IF(AW186="12M","1Y",IF(AW186="24M","2Y",AW186)))</f>
        <v/>
      </c>
      <c r="AX187" s="42" t="str">
        <f t="shared" ref="AX187" si="796">IF(AX186="","",IF(AX186="12M","1Y",IF(AX186="24M","2Y",AX186)))</f>
        <v/>
      </c>
      <c r="AY187" s="42" t="str">
        <f t="shared" ref="AY187" si="797">IF(AY186="","",IF(AY186="12M","1Y",IF(AY186="24M","2Y",AY186)))</f>
        <v/>
      </c>
      <c r="AZ187" s="42" t="str">
        <f t="shared" ref="AZ187" si="798">IF(AZ186="","",IF(AZ186="12M","1Y",IF(AZ186="24M","2Y",AZ186)))</f>
        <v/>
      </c>
      <c r="BA187" s="42" t="str">
        <f t="shared" ref="BA187" si="799">IF(BA186="","",IF(BA186="12M","1Y",IF(BA186="24M","2Y",BA186)))</f>
        <v/>
      </c>
    </row>
    <row r="188" spans="2:53" s="41" customFormat="1" ht="15" customHeight="1">
      <c r="B188" s="7"/>
      <c r="C188" s="153" t="str">
        <f>trans_getMessage("","Name",,LANG_ID)</f>
        <v>Name</v>
      </c>
      <c r="D188" s="154"/>
      <c r="E188" s="49" t="s">
        <v>49</v>
      </c>
      <c r="F188" s="43" t="e" cm="1">
        <f t="array" aca="1" ref="F188" ca="1">IF(LEFT(_xlfn.SINGLE(_xll.BDP(F189, $E188)),1)="#", "-", _xll.BDP(F189, $E188))</f>
        <v>#NAME?</v>
      </c>
      <c r="G188" s="43" t="e" cm="1">
        <f t="array" aca="1" ref="G188" ca="1">IF(LEFT(_xlfn.SINGLE(_xll.BDP(G189, $E188)),1)="#", "-", _xll.BDP(G189, $E188))</f>
        <v>#NAME?</v>
      </c>
      <c r="H188" s="43" t="e" cm="1">
        <f t="array" aca="1" ref="H188" ca="1">IF(LEFT(_xlfn.SINGLE(_xll.BDP(H189, $E188)),1)="#", "-", _xll.BDP(H189, $E188))</f>
        <v>#NAME?</v>
      </c>
      <c r="I188" s="43" t="e" cm="1">
        <f t="array" aca="1" ref="I188" ca="1">IF(LEFT(_xlfn.SINGLE(_xll.BDP(I189, $E188)),1)="#", "-", _xll.BDP(I189, $E188))</f>
        <v>#NAME?</v>
      </c>
      <c r="J188" s="43" t="e" cm="1">
        <f t="array" aca="1" ref="J188" ca="1">IF(LEFT(_xlfn.SINGLE(_xll.BDP(J189, $E188)),1)="#", "-", _xll.BDP(J189, $E188))</f>
        <v>#NAME?</v>
      </c>
      <c r="K188" s="43" t="e" cm="1">
        <f t="array" aca="1" ref="K188" ca="1">IF(LEFT(_xlfn.SINGLE(_xll.BDP(K189, $E188)),1)="#", "-", _xll.BDP(K189, $E188))</f>
        <v>#NAME?</v>
      </c>
      <c r="L188" s="43" t="e" cm="1">
        <f t="array" aca="1" ref="L188" ca="1">IF(LEFT(_xlfn.SINGLE(_xll.BDP(L189, $E188)),1)="#", "-", _xll.BDP(L189, $E188))</f>
        <v>#NAME?</v>
      </c>
      <c r="M188" s="43" t="e" cm="1">
        <f t="array" aca="1" ref="M188" ca="1">IF(LEFT(_xlfn.SINGLE(_xll.BDP(M189, $E188)),1)="#", "-", _xll.BDP(M189, $E188))</f>
        <v>#NAME?</v>
      </c>
      <c r="N188" s="43" t="e" cm="1">
        <f t="array" aca="1" ref="N188" ca="1">IF(LEFT(_xlfn.SINGLE(_xll.BDP(N189, $E188)),1)="#", "-", _xll.BDP(N189, $E188))</f>
        <v>#NAME?</v>
      </c>
      <c r="O188" s="43" t="e" cm="1">
        <f t="array" aca="1" ref="O188" ca="1">IF(LEFT(_xlfn.SINGLE(_xll.BDP(O189, $E188)),1)="#", "-", _xll.BDP(O189, $E188))</f>
        <v>#NAME?</v>
      </c>
      <c r="P188" s="43" t="e" cm="1">
        <f t="array" aca="1" ref="P188" ca="1">IF(LEFT(_xlfn.SINGLE(_xll.BDP(P189, $E188)),1)="#", "-", _xll.BDP(P189, $E188))</f>
        <v>#NAME?</v>
      </c>
      <c r="Q188" s="43" t="e" cm="1">
        <f t="array" aca="1" ref="Q188" ca="1">IF(LEFT(_xlfn.SINGLE(_xll.BDP(Q189, $E188)),1)="#", "-", _xll.BDP(Q189, $E188))</f>
        <v>#NAME?</v>
      </c>
      <c r="R188" s="43" t="e" cm="1">
        <f t="array" aca="1" ref="R188" ca="1">IF(LEFT(_xlfn.SINGLE(_xll.BDP(R189, $E188)),1)="#", "-", _xll.BDP(R189, $E188))</f>
        <v>#NAME?</v>
      </c>
      <c r="S188" s="43" t="e" cm="1">
        <f t="array" aca="1" ref="S188" ca="1">IF(LEFT(_xlfn.SINGLE(_xll.BDP(S189, $E188)),1)="#", "-", _xll.BDP(S189, $E188))</f>
        <v>#NAME?</v>
      </c>
      <c r="T188" s="43" t="e" cm="1">
        <f t="array" aca="1" ref="T188" ca="1">IF(LEFT(_xlfn.SINGLE(_xll.BDP(T189, $E188)),1)="#", "-", _xll.BDP(T189, $E188))</f>
        <v>#NAME?</v>
      </c>
      <c r="U188" s="43" t="e" cm="1">
        <f t="array" aca="1" ref="U188" ca="1">IF(LEFT(_xlfn.SINGLE(_xll.BDP(U189, $E188)),1)="#", "-", _xll.BDP(U189, $E188))</f>
        <v>#NAME?</v>
      </c>
      <c r="V188" s="43" t="e" cm="1">
        <f t="array" aca="1" ref="V188" ca="1">IF(LEFT(_xlfn.SINGLE(_xll.BDP(V189, $E188)),1)="#", "-", _xll.BDP(V189, $E188))</f>
        <v>#NAME?</v>
      </c>
      <c r="W188" s="43" t="e" cm="1">
        <f t="array" aca="1" ref="W188" ca="1">IF(LEFT(_xlfn.SINGLE(_xll.BDP(W189, $E188)),1)="#", "-", _xll.BDP(W189, $E188))</f>
        <v>#NAME?</v>
      </c>
      <c r="X188" s="43" t="e" cm="1">
        <f t="array" aca="1" ref="X188" ca="1">IF(LEFT(_xlfn.SINGLE(_xll.BDP(X189, $E188)),1)="#", "-", _xll.BDP(X189, $E188))</f>
        <v>#NAME?</v>
      </c>
      <c r="Y188" s="43" t="e" cm="1">
        <f t="array" aca="1" ref="Y188" ca="1">IF(LEFT(_xlfn.SINGLE(_xll.BDP(Y189, $E188)),1)="#", "-", _xll.BDP(Y189, $E188))</f>
        <v>#NAME?</v>
      </c>
      <c r="Z188" s="43" t="e" cm="1">
        <f t="array" aca="1" ref="Z188" ca="1">IF(LEFT(_xlfn.SINGLE(_xll.BDP(Z189, $E188)),1)="#", "-", _xll.BDP(Z189, $E188))</f>
        <v>#NAME?</v>
      </c>
      <c r="AA188" s="43" t="e" cm="1">
        <f t="array" aca="1" ref="AA188" ca="1">IF(LEFT(_xlfn.SINGLE(_xll.BDP(AA189, $E188)),1)="#", "-", _xll.BDP(AA189, $E188))</f>
        <v>#NAME?</v>
      </c>
      <c r="AB188" s="43" t="e" cm="1">
        <f t="array" aca="1" ref="AB188" ca="1">IF(LEFT(_xlfn.SINGLE(_xll.BDP(AB189, $E188)),1)="#", "-", _xll.BDP(AB189, $E188))</f>
        <v>#NAME?</v>
      </c>
      <c r="AC188" s="43" t="e" cm="1">
        <f t="array" aca="1" ref="AC188" ca="1">IF(LEFT(_xlfn.SINGLE(_xll.BDP(AC189, $E188)),1)="#", "-", _xll.BDP(AC189, $E188))</f>
        <v>#NAME?</v>
      </c>
      <c r="AD188" s="43" t="e" cm="1">
        <f t="array" aca="1" ref="AD188" ca="1">IF(LEFT(_xlfn.SINGLE(_xll.BDP(AD189, $E188)),1)="#", "-", _xll.BDP(AD189, $E188))</f>
        <v>#NAME?</v>
      </c>
      <c r="AE188" s="43" t="e" cm="1">
        <f t="array" aca="1" ref="AE188" ca="1">IF(LEFT(_xlfn.SINGLE(_xll.BDP(AE189, $E188)),1)="#", "-", _xll.BDP(AE189, $E188))</f>
        <v>#NAME?</v>
      </c>
      <c r="AF188" s="43" t="e" cm="1">
        <f t="array" aca="1" ref="AF188" ca="1">IF(LEFT(_xlfn.SINGLE(_xll.BDP(AF189, $E188)),1)="#", "-", _xll.BDP(AF189, $E188))</f>
        <v>#NAME?</v>
      </c>
      <c r="AG188" s="43" t="e" cm="1">
        <f t="array" aca="1" ref="AG188" ca="1">IF(LEFT(_xlfn.SINGLE(_xll.BDP(AG189, $E188)),1)="#", "-", _xll.BDP(AG189, $E188))</f>
        <v>#NAME?</v>
      </c>
      <c r="AH188" s="43" t="e" cm="1">
        <f t="array" aca="1" ref="AH188" ca="1">IF(LEFT(_xlfn.SINGLE(_xll.BDP(AH189, $E188)),1)="#", "-", _xll.BDP(AH189, $E188))</f>
        <v>#NAME?</v>
      </c>
      <c r="AI188" s="43" t="e" cm="1">
        <f t="array" aca="1" ref="AI188" ca="1">IF(LEFT(_xlfn.SINGLE(_xll.BDP(AI189, $E188)),1)="#", "-", _xll.BDP(AI189, $E188))</f>
        <v>#NAME?</v>
      </c>
      <c r="AJ188" s="43" t="e" cm="1">
        <f t="array" aca="1" ref="AJ188" ca="1">IF(LEFT(_xlfn.SINGLE(_xll.BDP(AJ189, $E188)),1)="#", "-", _xll.BDP(AJ189, $E188))</f>
        <v>#NAME?</v>
      </c>
      <c r="AK188" s="43" t="e" cm="1">
        <f t="array" aca="1" ref="AK188" ca="1">IF(LEFT(_xlfn.SINGLE(_xll.BDP(AK189, $E188)),1)="#", "-", _xll.BDP(AK189, $E188))</f>
        <v>#NAME?</v>
      </c>
      <c r="AL188" s="43" t="e" cm="1">
        <f t="array" aca="1" ref="AL188" ca="1">IF(LEFT(_xlfn.SINGLE(_xll.BDP(AL189, $E188)),1)="#", "-", _xll.BDP(AL189, $E188))</f>
        <v>#NAME?</v>
      </c>
      <c r="AM188" s="43" t="e" cm="1">
        <f t="array" aca="1" ref="AM188" ca="1">IF(LEFT(_xlfn.SINGLE(_xll.BDP(AM189, $E188)),1)="#", "-", _xll.BDP(AM189, $E188))</f>
        <v>#NAME?</v>
      </c>
      <c r="AN188" s="43" t="e" cm="1">
        <f t="array" aca="1" ref="AN188" ca="1">IF(LEFT(_xlfn.SINGLE(_xll.BDP(AN189, $E188)),1)="#", "-", _xll.BDP(AN189, $E188))</f>
        <v>#NAME?</v>
      </c>
      <c r="AO188" s="43" t="e" cm="1">
        <f t="array" aca="1" ref="AO188" ca="1">IF(LEFT(_xlfn.SINGLE(_xll.BDP(AO189, $E188)),1)="#", "-", _xll.BDP(AO189, $E188))</f>
        <v>#NAME?</v>
      </c>
      <c r="AP188" s="43" t="e" cm="1">
        <f t="array" aca="1" ref="AP188" ca="1">IF(LEFT(_xlfn.SINGLE(_xll.BDP(AP189, $E188)),1)="#", "-", _xll.BDP(AP189, $E188))</f>
        <v>#NAME?</v>
      </c>
      <c r="AQ188" s="43" t="e" cm="1">
        <f t="array" aca="1" ref="AQ188" ca="1">IF(LEFT(_xlfn.SINGLE(_xll.BDP(AQ189, $E188)),1)="#", "-", _xll.BDP(AQ189, $E188))</f>
        <v>#NAME?</v>
      </c>
      <c r="AR188" s="43" t="e" cm="1">
        <f t="array" aca="1" ref="AR188" ca="1">IF(LEFT(_xlfn.SINGLE(_xll.BDP(AR189, $E188)),1)="#", "-", _xll.BDP(AR189, $E188))</f>
        <v>#NAME?</v>
      </c>
      <c r="AS188" s="43" t="e" cm="1">
        <f t="array" aca="1" ref="AS188" ca="1">IF(LEFT(_xlfn.SINGLE(_xll.BDP(AS189, $E188)),1)="#", "-", _xll.BDP(AS189, $E188))</f>
        <v>#NAME?</v>
      </c>
      <c r="AT188" s="43" t="e" cm="1">
        <f t="array" aca="1" ref="AT188" ca="1">IF(LEFT(_xlfn.SINGLE(_xll.BDP(AT189, $E188)),1)="#", "-", _xll.BDP(AT189, $E188))</f>
        <v>#NAME?</v>
      </c>
      <c r="AU188" s="43" t="e" cm="1">
        <f t="array" aca="1" ref="AU188" ca="1">IF(LEFT(_xlfn.SINGLE(_xll.BDP(AU189, $E188)),1)="#", "-", _xll.BDP(AU189, $E188))</f>
        <v>#NAME?</v>
      </c>
      <c r="AV188" s="43" t="e" cm="1">
        <f t="array" aca="1" ref="AV188" ca="1">IF(LEFT(_xlfn.SINGLE(_xll.BDP(AV189, $E188)),1)="#", "-", _xll.BDP(AV189, $E188))</f>
        <v>#NAME?</v>
      </c>
      <c r="AW188" s="43" t="e" cm="1">
        <f t="array" aca="1" ref="AW188" ca="1">IF(LEFT(_xlfn.SINGLE(_xll.BDP(AW189, $E188)),1)="#", "-", _xll.BDP(AW189, $E188))</f>
        <v>#NAME?</v>
      </c>
      <c r="AX188" s="43" t="e" cm="1">
        <f t="array" aca="1" ref="AX188" ca="1">IF(LEFT(_xlfn.SINGLE(_xll.BDP(AX189, $E188)),1)="#", "-", _xll.BDP(AX189, $E188))</f>
        <v>#NAME?</v>
      </c>
      <c r="AY188" s="43" t="e" cm="1">
        <f t="array" aca="1" ref="AY188" ca="1">IF(LEFT(_xlfn.SINGLE(_xll.BDP(AY189, $E188)),1)="#", "-", _xll.BDP(AY189, $E188))</f>
        <v>#NAME?</v>
      </c>
      <c r="AZ188" s="43" t="e" cm="1">
        <f t="array" aca="1" ref="AZ188" ca="1">IF(LEFT(_xlfn.SINGLE(_xll.BDP(AZ189, $E188)),1)="#", "-", _xll.BDP(AZ189, $E188))</f>
        <v>#NAME?</v>
      </c>
      <c r="BA188" s="45" t="e" cm="1">
        <f t="array" aca="1" ref="BA188" ca="1">IF(LEFT(_xlfn.SINGLE(_xll.BDP(BA189, $E188)),1)="#", "-", _xll.BDP(BA189, $E188))</f>
        <v>#NAME?</v>
      </c>
    </row>
    <row r="189" spans="2:53" ht="15" customHeight="1">
      <c r="B189" s="40"/>
      <c r="C189" s="145" t="str">
        <f>trans_getMessage("","Curve Tickers",,LANG_ID)</f>
        <v>Curve Tickers</v>
      </c>
      <c r="D189" s="146"/>
      <c r="E189" s="50" t="s">
        <v>46</v>
      </c>
      <c r="F189" s="42" t="e" cm="1">
        <f t="array" aca="1" ref="F189" ca="1">_xll.BDS(E184,E189,"Dir=H",)</f>
        <v>#NAME?</v>
      </c>
      <c r="G189" s="42"/>
      <c r="H189" s="42"/>
      <c r="I189" s="42"/>
      <c r="J189" s="42"/>
      <c r="K189" s="42"/>
      <c r="L189" s="42"/>
      <c r="M189" s="42"/>
      <c r="N189" s="42"/>
      <c r="O189" s="42"/>
      <c r="P189" s="42"/>
      <c r="Q189" s="42"/>
      <c r="R189" s="42"/>
      <c r="S189" s="42"/>
      <c r="T189" s="42"/>
      <c r="U189" s="42"/>
      <c r="V189" s="42"/>
      <c r="W189" s="42"/>
      <c r="X189" s="42"/>
      <c r="Y189" s="42"/>
      <c r="Z189" s="42"/>
      <c r="AA189" s="42"/>
      <c r="AB189" s="42"/>
      <c r="AC189" s="42"/>
      <c r="AD189" s="42"/>
      <c r="AE189" s="42"/>
      <c r="AF189" s="42"/>
      <c r="AG189" s="42"/>
      <c r="AH189" s="42"/>
      <c r="AI189" s="42"/>
      <c r="AJ189" s="42"/>
      <c r="AK189" s="42"/>
      <c r="AL189" s="42"/>
      <c r="AM189" s="42"/>
      <c r="AN189" s="42"/>
      <c r="AO189" s="42"/>
      <c r="AP189" s="42"/>
      <c r="AQ189" s="42"/>
      <c r="AR189" s="42"/>
      <c r="AS189" s="42"/>
      <c r="AT189" s="42"/>
      <c r="AU189" s="42"/>
      <c r="AV189" s="42"/>
      <c r="AW189" s="42"/>
      <c r="AX189" s="42"/>
      <c r="AY189" s="42"/>
      <c r="AZ189" s="42"/>
      <c r="BA189" s="44"/>
    </row>
    <row r="190" spans="2:53" ht="15" customHeight="1">
      <c r="C190" s="138" t="str">
        <f>trans_getMessage("","Rate",,LANG_ID)</f>
        <v>Rate</v>
      </c>
      <c r="D190" s="139"/>
      <c r="E190" s="51" t="s">
        <v>44</v>
      </c>
      <c r="F190" s="46" t="str" cm="1">
        <f t="array" aca="1" ref="F190" ca="1">IF(ISERROR(_xlfn.SINGLE(_xll.BDP(F189, $E190))*1), "-", _xll.BDP(F189, $E190))</f>
        <v>-</v>
      </c>
      <c r="G190" s="46" t="str" cm="1">
        <f t="array" aca="1" ref="G190" ca="1">IF(ISERROR(_xlfn.SINGLE(_xll.BDP(G189, $E190))*1), "-", _xll.BDP(G189, $E190))</f>
        <v>-</v>
      </c>
      <c r="H190" s="46" t="str" cm="1">
        <f t="array" aca="1" ref="H190" ca="1">IF(ISERROR(_xlfn.SINGLE(_xll.BDP(H189, $E190))*1), "-", _xll.BDP(H189, $E190))</f>
        <v>-</v>
      </c>
      <c r="I190" s="46" t="str" cm="1">
        <f t="array" aca="1" ref="I190" ca="1">IF(ISERROR(_xlfn.SINGLE(_xll.BDP(I189, $E190))*1), "-", _xll.BDP(I189, $E190))</f>
        <v>-</v>
      </c>
      <c r="J190" s="46" t="str" cm="1">
        <f t="array" aca="1" ref="J190" ca="1">IF(ISERROR(_xlfn.SINGLE(_xll.BDP(J189, $E190))*1), "-", _xll.BDP(J189, $E190))</f>
        <v>-</v>
      </c>
      <c r="K190" s="46" t="str" cm="1">
        <f t="array" aca="1" ref="K190" ca="1">IF(ISERROR(_xlfn.SINGLE(_xll.BDP(K189, $E190))*1), "-", _xll.BDP(K189, $E190))</f>
        <v>-</v>
      </c>
      <c r="L190" s="46" t="str" cm="1">
        <f t="array" aca="1" ref="L190" ca="1">IF(ISERROR(_xlfn.SINGLE(_xll.BDP(L189, $E190))*1), "-", _xll.BDP(L189, $E190))</f>
        <v>-</v>
      </c>
      <c r="M190" s="46" t="str" cm="1">
        <f t="array" aca="1" ref="M190" ca="1">IF(ISERROR(_xlfn.SINGLE(_xll.BDP(M189, $E190))*1), "-", _xll.BDP(M189, $E190))</f>
        <v>-</v>
      </c>
      <c r="N190" s="46" t="str" cm="1">
        <f t="array" aca="1" ref="N190" ca="1">IF(ISERROR(_xlfn.SINGLE(_xll.BDP(N189, $E190))*1), "-", _xll.BDP(N189, $E190))</f>
        <v>-</v>
      </c>
      <c r="O190" s="46" t="str" cm="1">
        <f t="array" aca="1" ref="O190" ca="1">IF(ISERROR(_xlfn.SINGLE(_xll.BDP(O189, $E190))*1), "-", _xll.BDP(O189, $E190))</f>
        <v>-</v>
      </c>
      <c r="P190" s="46" t="str" cm="1">
        <f t="array" aca="1" ref="P190" ca="1">IF(ISERROR(_xlfn.SINGLE(_xll.BDP(P189, $E190))*1), "-", _xll.BDP(P189, $E190))</f>
        <v>-</v>
      </c>
      <c r="Q190" s="46" t="str" cm="1">
        <f t="array" aca="1" ref="Q190" ca="1">IF(ISERROR(_xlfn.SINGLE(_xll.BDP(Q189, $E190))*1), "-", _xll.BDP(Q189, $E190))</f>
        <v>-</v>
      </c>
      <c r="R190" s="46" t="str" cm="1">
        <f t="array" aca="1" ref="R190" ca="1">IF(ISERROR(_xlfn.SINGLE(_xll.BDP(R189, $E190))*1), "-", _xll.BDP(R189, $E190))</f>
        <v>-</v>
      </c>
      <c r="S190" s="46" t="str" cm="1">
        <f t="array" aca="1" ref="S190" ca="1">IF(ISERROR(_xlfn.SINGLE(_xll.BDP(S189, $E190))*1), "-", _xll.BDP(S189, $E190))</f>
        <v>-</v>
      </c>
      <c r="T190" s="46" t="str" cm="1">
        <f t="array" aca="1" ref="T190" ca="1">IF(ISERROR(_xlfn.SINGLE(_xll.BDP(T189, $E190))*1), "-", _xll.BDP(T189, $E190))</f>
        <v>-</v>
      </c>
      <c r="U190" s="46" t="str" cm="1">
        <f t="array" aca="1" ref="U190" ca="1">IF(ISERROR(_xlfn.SINGLE(_xll.BDP(U189, $E190))*1), "-", _xll.BDP(U189, $E190))</f>
        <v>-</v>
      </c>
      <c r="V190" s="46" t="str" cm="1">
        <f t="array" aca="1" ref="V190" ca="1">IF(ISERROR(_xlfn.SINGLE(_xll.BDP(V189, $E190))*1), "-", _xll.BDP(V189, $E190))</f>
        <v>-</v>
      </c>
      <c r="W190" s="46" t="str" cm="1">
        <f t="array" aca="1" ref="W190" ca="1">IF(ISERROR(_xlfn.SINGLE(_xll.BDP(W189, $E190))*1), "-", _xll.BDP(W189, $E190))</f>
        <v>-</v>
      </c>
      <c r="X190" s="46" t="str" cm="1">
        <f t="array" aca="1" ref="X190" ca="1">IF(ISERROR(_xlfn.SINGLE(_xll.BDP(X189, $E190))*1), "-", _xll.BDP(X189, $E190))</f>
        <v>-</v>
      </c>
      <c r="Y190" s="46" t="str" cm="1">
        <f t="array" aca="1" ref="Y190" ca="1">IF(ISERROR(_xlfn.SINGLE(_xll.BDP(Y189, $E190))*1), "-", _xll.BDP(Y189, $E190))</f>
        <v>-</v>
      </c>
      <c r="Z190" s="46" t="str" cm="1">
        <f t="array" aca="1" ref="Z190" ca="1">IF(ISERROR(_xlfn.SINGLE(_xll.BDP(Z189, $E190))*1), "-", _xll.BDP(Z189, $E190))</f>
        <v>-</v>
      </c>
      <c r="AA190" s="46" t="str" cm="1">
        <f t="array" aca="1" ref="AA190" ca="1">IF(ISERROR(_xlfn.SINGLE(_xll.BDP(AA189, $E190))*1), "-", _xll.BDP(AA189, $E190))</f>
        <v>-</v>
      </c>
      <c r="AB190" s="46" t="str" cm="1">
        <f t="array" aca="1" ref="AB190" ca="1">IF(ISERROR(_xlfn.SINGLE(_xll.BDP(AB189, $E190))*1), "-", _xll.BDP(AB189, $E190))</f>
        <v>-</v>
      </c>
      <c r="AC190" s="46" t="str" cm="1">
        <f t="array" aca="1" ref="AC190" ca="1">IF(ISERROR(_xlfn.SINGLE(_xll.BDP(AC189, $E190))*1), "-", _xll.BDP(AC189, $E190))</f>
        <v>-</v>
      </c>
      <c r="AD190" s="46" t="str" cm="1">
        <f t="array" aca="1" ref="AD190" ca="1">IF(ISERROR(_xlfn.SINGLE(_xll.BDP(AD189, $E190))*1), "-", _xll.BDP(AD189, $E190))</f>
        <v>-</v>
      </c>
      <c r="AE190" s="46" t="str" cm="1">
        <f t="array" aca="1" ref="AE190" ca="1">IF(ISERROR(_xlfn.SINGLE(_xll.BDP(AE189, $E190))*1), "-", _xll.BDP(AE189, $E190))</f>
        <v>-</v>
      </c>
      <c r="AF190" s="46" t="str" cm="1">
        <f t="array" aca="1" ref="AF190" ca="1">IF(ISERROR(_xlfn.SINGLE(_xll.BDP(AF189, $E190))*1), "-", _xll.BDP(AF189, $E190))</f>
        <v>-</v>
      </c>
      <c r="AG190" s="46" t="str" cm="1">
        <f t="array" aca="1" ref="AG190" ca="1">IF(ISERROR(_xlfn.SINGLE(_xll.BDP(AG189, $E190))*1), "-", _xll.BDP(AG189, $E190))</f>
        <v>-</v>
      </c>
      <c r="AH190" s="46" t="str" cm="1">
        <f t="array" aca="1" ref="AH190" ca="1">IF(ISERROR(_xlfn.SINGLE(_xll.BDP(AH189, $E190))*1), "-", _xll.BDP(AH189, $E190))</f>
        <v>-</v>
      </c>
      <c r="AI190" s="46" t="str" cm="1">
        <f t="array" aca="1" ref="AI190" ca="1">IF(ISERROR(_xlfn.SINGLE(_xll.BDP(AI189, $E190))*1), "-", _xll.BDP(AI189, $E190))</f>
        <v>-</v>
      </c>
      <c r="AJ190" s="46" t="str" cm="1">
        <f t="array" aca="1" ref="AJ190" ca="1">IF(ISERROR(_xlfn.SINGLE(_xll.BDP(AJ189, $E190))*1), "-", _xll.BDP(AJ189, $E190))</f>
        <v>-</v>
      </c>
      <c r="AK190" s="46" t="str" cm="1">
        <f t="array" aca="1" ref="AK190" ca="1">IF(ISERROR(_xlfn.SINGLE(_xll.BDP(AK189, $E190))*1), "-", _xll.BDP(AK189, $E190))</f>
        <v>-</v>
      </c>
      <c r="AL190" s="46" t="str" cm="1">
        <f t="array" aca="1" ref="AL190" ca="1">IF(ISERROR(_xlfn.SINGLE(_xll.BDP(AL189, $E190))*1), "-", _xll.BDP(AL189, $E190))</f>
        <v>-</v>
      </c>
      <c r="AM190" s="46" t="str" cm="1">
        <f t="array" aca="1" ref="AM190" ca="1">IF(ISERROR(_xlfn.SINGLE(_xll.BDP(AM189, $E190))*1), "-", _xll.BDP(AM189, $E190))</f>
        <v>-</v>
      </c>
      <c r="AN190" s="46" t="str" cm="1">
        <f t="array" aca="1" ref="AN190" ca="1">IF(ISERROR(_xlfn.SINGLE(_xll.BDP(AN189, $E190))*1), "-", _xll.BDP(AN189, $E190))</f>
        <v>-</v>
      </c>
      <c r="AO190" s="46" t="str" cm="1">
        <f t="array" aca="1" ref="AO190" ca="1">IF(ISERROR(_xlfn.SINGLE(_xll.BDP(AO189, $E190))*1), "-", _xll.BDP(AO189, $E190))</f>
        <v>-</v>
      </c>
      <c r="AP190" s="46" t="str" cm="1">
        <f t="array" aca="1" ref="AP190" ca="1">IF(ISERROR(_xlfn.SINGLE(_xll.BDP(AP189, $E190))*1), "-", _xll.BDP(AP189, $E190))</f>
        <v>-</v>
      </c>
      <c r="AQ190" s="46" t="str" cm="1">
        <f t="array" aca="1" ref="AQ190" ca="1">IF(ISERROR(_xlfn.SINGLE(_xll.BDP(AQ189, $E190))*1), "-", _xll.BDP(AQ189, $E190))</f>
        <v>-</v>
      </c>
      <c r="AR190" s="46" t="str" cm="1">
        <f t="array" aca="1" ref="AR190" ca="1">IF(ISERROR(_xlfn.SINGLE(_xll.BDP(AR189, $E190))*1), "-", _xll.BDP(AR189, $E190))</f>
        <v>-</v>
      </c>
      <c r="AS190" s="46" t="str" cm="1">
        <f t="array" aca="1" ref="AS190" ca="1">IF(ISERROR(_xlfn.SINGLE(_xll.BDP(AS189, $E190))*1), "-", _xll.BDP(AS189, $E190))</f>
        <v>-</v>
      </c>
      <c r="AT190" s="46" t="str" cm="1">
        <f t="array" aca="1" ref="AT190" ca="1">IF(ISERROR(_xlfn.SINGLE(_xll.BDP(AT189, $E190))*1), "-", _xll.BDP(AT189, $E190))</f>
        <v>-</v>
      </c>
      <c r="AU190" s="46" t="str" cm="1">
        <f t="array" aca="1" ref="AU190" ca="1">IF(ISERROR(_xlfn.SINGLE(_xll.BDP(AU189, $E190))*1), "-", _xll.BDP(AU189, $E190))</f>
        <v>-</v>
      </c>
      <c r="AV190" s="46" t="str" cm="1">
        <f t="array" aca="1" ref="AV190" ca="1">IF(ISERROR(_xlfn.SINGLE(_xll.BDP(AV189, $E190))*1), "-", _xll.BDP(AV189, $E190))</f>
        <v>-</v>
      </c>
      <c r="AW190" s="46" t="str" cm="1">
        <f t="array" aca="1" ref="AW190" ca="1">IF(ISERROR(_xlfn.SINGLE(_xll.BDP(AW189, $E190))*1), "-", _xll.BDP(AW189, $E190))</f>
        <v>-</v>
      </c>
      <c r="AX190" s="46" t="str" cm="1">
        <f t="array" aca="1" ref="AX190" ca="1">IF(ISERROR(_xlfn.SINGLE(_xll.BDP(AX189, $E190))*1), "-", _xll.BDP(AX189, $E190))</f>
        <v>-</v>
      </c>
      <c r="AY190" s="46" t="str" cm="1">
        <f t="array" aca="1" ref="AY190" ca="1">IF(ISERROR(_xlfn.SINGLE(_xll.BDP(AY189, $E190))*1), "-", _xll.BDP(AY189, $E190))</f>
        <v>-</v>
      </c>
      <c r="AZ190" s="46" t="str" cm="1">
        <f t="array" aca="1" ref="AZ190" ca="1">IF(ISERROR(_xlfn.SINGLE(_xll.BDP(AZ189, $E190))*1), "-", _xll.BDP(AZ189, $E190))</f>
        <v>-</v>
      </c>
      <c r="BA190" s="47" t="str" cm="1">
        <f t="array" aca="1" ref="BA190" ca="1">IF(ISERROR(_xlfn.SINGLE(_xll.BDP(BA189, $E190))*1), "-", _xll.BDP(BA189, $E190))</f>
        <v>-</v>
      </c>
    </row>
    <row r="191" spans="2:53" ht="15" hidden="1" customHeight="1"/>
    <row r="192" spans="2:53" ht="5.15" customHeight="1"/>
    <row r="193" spans="2:53" ht="15" customHeight="1">
      <c r="B193" s="38" t="s">
        <v>31</v>
      </c>
      <c r="C193" s="140" t="str">
        <f>trans_getMessage("","Curve Number",,LANG_ID)</f>
        <v>Curve Number</v>
      </c>
      <c r="D193" s="141"/>
      <c r="E193" s="142">
        <f>VLOOKUP(B193, 'Currency-Curve List'!$C$9:$E$103, 2, FALSE)</f>
        <v>195</v>
      </c>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4"/>
    </row>
    <row r="194" spans="2:53" ht="15" customHeight="1">
      <c r="C194" s="145" t="str">
        <f>trans_getMessage("","Curve Index",,LANG_ID)</f>
        <v>Curve Index</v>
      </c>
      <c r="D194" s="146"/>
      <c r="E194" s="147" t="str">
        <f>VLOOKUP(B193, 'Currency-Curve List'!$C$9:$E$103, 3, FALSE)</f>
        <v>YCSW0195 Index</v>
      </c>
      <c r="F194" s="148"/>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9"/>
    </row>
    <row r="195" spans="2:53" ht="15" customHeight="1">
      <c r="C195" s="145" t="str">
        <f>trans_getMessage("","Curve Name",,LANG_ID)</f>
        <v>Curve Name</v>
      </c>
      <c r="D195" s="146"/>
      <c r="E195" s="150" t="e" cm="1">
        <f t="array" aca="1" ref="E195" ca="1">_xll.BDP(E194, "NAME")</f>
        <v>#NAME?</v>
      </c>
      <c r="F195" s="151"/>
      <c r="G195" s="151"/>
      <c r="H195" s="151"/>
      <c r="I195" s="151"/>
      <c r="J195" s="151"/>
      <c r="K195" s="151"/>
      <c r="L195" s="151"/>
      <c r="M195" s="151"/>
      <c r="N195" s="151"/>
      <c r="O195" s="151"/>
      <c r="P195" s="151"/>
      <c r="Q195" s="151"/>
      <c r="R195" s="151"/>
      <c r="S195" s="151"/>
      <c r="T195" s="151"/>
      <c r="U195" s="151"/>
      <c r="V195" s="151"/>
      <c r="W195" s="151"/>
      <c r="X195" s="151"/>
      <c r="Y195" s="151"/>
      <c r="Z195" s="151"/>
      <c r="AA195" s="151"/>
      <c r="AB195" s="151"/>
      <c r="AC195" s="151"/>
      <c r="AD195" s="151"/>
      <c r="AE195" s="151"/>
      <c r="AF195" s="151"/>
      <c r="AG195" s="151"/>
      <c r="AH195" s="151"/>
      <c r="AI195" s="151"/>
      <c r="AJ195" s="151"/>
      <c r="AK195" s="151"/>
      <c r="AL195" s="151"/>
      <c r="AM195" s="151"/>
      <c r="AN195" s="151"/>
      <c r="AO195" s="151"/>
      <c r="AP195" s="151"/>
      <c r="AQ195" s="151"/>
      <c r="AR195" s="151"/>
      <c r="AS195" s="151"/>
      <c r="AT195" s="151"/>
      <c r="AU195" s="151"/>
      <c r="AV195" s="151"/>
      <c r="AW195" s="151"/>
      <c r="AX195" s="151"/>
      <c r="AY195" s="151"/>
      <c r="AZ195" s="151"/>
      <c r="BA195" s="152"/>
    </row>
    <row r="196" spans="2:53" ht="15" customHeight="1">
      <c r="C196" s="145" t="str">
        <f>trans_getMessage("","Tenors",,LANG_ID)</f>
        <v>Tenors</v>
      </c>
      <c r="D196" s="146"/>
      <c r="E196" s="48" t="s">
        <v>50</v>
      </c>
      <c r="F196" s="42" t="e" cm="1">
        <f t="array" aca="1" ref="F196" ca="1">_xll.BDS(E194,E196,"Dir=H",)</f>
        <v>#NAME?</v>
      </c>
      <c r="G196" s="42"/>
      <c r="H196" s="42"/>
      <c r="I196" s="42"/>
      <c r="J196" s="42"/>
      <c r="K196" s="42"/>
      <c r="L196" s="42"/>
      <c r="M196" s="42"/>
      <c r="N196" s="42"/>
      <c r="O196" s="42"/>
      <c r="P196" s="42"/>
      <c r="Q196" s="42"/>
      <c r="R196" s="42"/>
      <c r="S196" s="42"/>
      <c r="T196" s="42"/>
      <c r="U196" s="42"/>
      <c r="V196" s="42"/>
      <c r="W196" s="42"/>
      <c r="X196" s="42"/>
      <c r="Y196" s="42"/>
      <c r="Z196" s="42"/>
      <c r="AA196" s="42"/>
      <c r="AB196" s="42"/>
      <c r="AC196" s="42"/>
      <c r="AD196" s="42"/>
      <c r="AE196" s="42"/>
      <c r="AF196" s="42"/>
      <c r="AG196" s="42"/>
      <c r="AH196" s="42"/>
      <c r="AI196" s="42"/>
      <c r="AJ196" s="42"/>
      <c r="AK196" s="42"/>
      <c r="AL196" s="42"/>
      <c r="AM196" s="42"/>
      <c r="AN196" s="42"/>
      <c r="AO196" s="42"/>
      <c r="AP196" s="42"/>
      <c r="AQ196" s="42"/>
      <c r="AR196" s="42"/>
      <c r="AS196" s="42"/>
      <c r="AT196" s="42"/>
      <c r="AU196" s="42"/>
      <c r="AV196" s="42"/>
      <c r="AW196" s="42"/>
      <c r="AX196" s="42"/>
      <c r="AY196" s="42"/>
      <c r="AZ196" s="42"/>
      <c r="BA196" s="44"/>
    </row>
    <row r="197" spans="2:53" ht="15" hidden="1" customHeight="1">
      <c r="C197" s="145" t="s">
        <v>2211</v>
      </c>
      <c r="D197" s="146"/>
      <c r="E197" s="48"/>
      <c r="F197" s="42" t="e">
        <f ca="1">IF(F196="","",IF(F196="12M","1Y",IF(F196="24M","2Y",F196)))</f>
        <v>#NAME?</v>
      </c>
      <c r="G197" s="42" t="str">
        <f t="shared" ref="G197" si="800">IF(G196="","",IF(G196="12M","1Y",IF(G196="24M","2Y",G196)))</f>
        <v/>
      </c>
      <c r="H197" s="42" t="str">
        <f t="shared" ref="H197" si="801">IF(H196="","",IF(H196="12M","1Y",IF(H196="24M","2Y",H196)))</f>
        <v/>
      </c>
      <c r="I197" s="42" t="str">
        <f t="shared" ref="I197" si="802">IF(I196="","",IF(I196="12M","1Y",IF(I196="24M","2Y",I196)))</f>
        <v/>
      </c>
      <c r="J197" s="42" t="str">
        <f t="shared" ref="J197" si="803">IF(J196="","",IF(J196="12M","1Y",IF(J196="24M","2Y",J196)))</f>
        <v/>
      </c>
      <c r="K197" s="42" t="str">
        <f t="shared" ref="K197" si="804">IF(K196="","",IF(K196="12M","1Y",IF(K196="24M","2Y",K196)))</f>
        <v/>
      </c>
      <c r="L197" s="42" t="str">
        <f t="shared" ref="L197" si="805">IF(L196="","",IF(L196="12M","1Y",IF(L196="24M","2Y",L196)))</f>
        <v/>
      </c>
      <c r="M197" s="42" t="str">
        <f t="shared" ref="M197" si="806">IF(M196="","",IF(M196="12M","1Y",IF(M196="24M","2Y",M196)))</f>
        <v/>
      </c>
      <c r="N197" s="42" t="str">
        <f t="shared" ref="N197" si="807">IF(N196="","",IF(N196="12M","1Y",IF(N196="24M","2Y",N196)))</f>
        <v/>
      </c>
      <c r="O197" s="42" t="str">
        <f t="shared" ref="O197" si="808">IF(O196="","",IF(O196="12M","1Y",IF(O196="24M","2Y",O196)))</f>
        <v/>
      </c>
      <c r="P197" s="42" t="str">
        <f t="shared" ref="P197" si="809">IF(P196="","",IF(P196="12M","1Y",IF(P196="24M","2Y",P196)))</f>
        <v/>
      </c>
      <c r="Q197" s="42" t="str">
        <f t="shared" ref="Q197" si="810">IF(Q196="","",IF(Q196="12M","1Y",IF(Q196="24M","2Y",Q196)))</f>
        <v/>
      </c>
      <c r="R197" s="42" t="str">
        <f t="shared" ref="R197" si="811">IF(R196="","",IF(R196="12M","1Y",IF(R196="24M","2Y",R196)))</f>
        <v/>
      </c>
      <c r="S197" s="42" t="str">
        <f t="shared" ref="S197" si="812">IF(S196="","",IF(S196="12M","1Y",IF(S196="24M","2Y",S196)))</f>
        <v/>
      </c>
      <c r="T197" s="42" t="str">
        <f t="shared" ref="T197" si="813">IF(T196="","",IF(T196="12M","1Y",IF(T196="24M","2Y",T196)))</f>
        <v/>
      </c>
      <c r="U197" s="42" t="str">
        <f t="shared" ref="U197" si="814">IF(U196="","",IF(U196="12M","1Y",IF(U196="24M","2Y",U196)))</f>
        <v/>
      </c>
      <c r="V197" s="42" t="str">
        <f t="shared" ref="V197" si="815">IF(V196="","",IF(V196="12M","1Y",IF(V196="24M","2Y",V196)))</f>
        <v/>
      </c>
      <c r="W197" s="42" t="str">
        <f t="shared" ref="W197" si="816">IF(W196="","",IF(W196="12M","1Y",IF(W196="24M","2Y",W196)))</f>
        <v/>
      </c>
      <c r="X197" s="42" t="str">
        <f t="shared" ref="X197" si="817">IF(X196="","",IF(X196="12M","1Y",IF(X196="24M","2Y",X196)))</f>
        <v/>
      </c>
      <c r="Y197" s="42" t="str">
        <f t="shared" ref="Y197" si="818">IF(Y196="","",IF(Y196="12M","1Y",IF(Y196="24M","2Y",Y196)))</f>
        <v/>
      </c>
      <c r="Z197" s="42" t="str">
        <f t="shared" ref="Z197" si="819">IF(Z196="","",IF(Z196="12M","1Y",IF(Z196="24M","2Y",Z196)))</f>
        <v/>
      </c>
      <c r="AA197" s="42" t="str">
        <f t="shared" ref="AA197" si="820">IF(AA196="","",IF(AA196="12M","1Y",IF(AA196="24M","2Y",AA196)))</f>
        <v/>
      </c>
      <c r="AB197" s="42" t="str">
        <f t="shared" ref="AB197" si="821">IF(AB196="","",IF(AB196="12M","1Y",IF(AB196="24M","2Y",AB196)))</f>
        <v/>
      </c>
      <c r="AC197" s="42" t="str">
        <f t="shared" ref="AC197" si="822">IF(AC196="","",IF(AC196="12M","1Y",IF(AC196="24M","2Y",AC196)))</f>
        <v/>
      </c>
      <c r="AD197" s="42" t="str">
        <f t="shared" ref="AD197" si="823">IF(AD196="","",IF(AD196="12M","1Y",IF(AD196="24M","2Y",AD196)))</f>
        <v/>
      </c>
      <c r="AE197" s="42" t="str">
        <f t="shared" ref="AE197" si="824">IF(AE196="","",IF(AE196="12M","1Y",IF(AE196="24M","2Y",AE196)))</f>
        <v/>
      </c>
      <c r="AF197" s="42" t="str">
        <f t="shared" ref="AF197" si="825">IF(AF196="","",IF(AF196="12M","1Y",IF(AF196="24M","2Y",AF196)))</f>
        <v/>
      </c>
      <c r="AG197" s="42" t="str">
        <f t="shared" ref="AG197" si="826">IF(AG196="","",IF(AG196="12M","1Y",IF(AG196="24M","2Y",AG196)))</f>
        <v/>
      </c>
      <c r="AH197" s="42" t="str">
        <f t="shared" ref="AH197" si="827">IF(AH196="","",IF(AH196="12M","1Y",IF(AH196="24M","2Y",AH196)))</f>
        <v/>
      </c>
      <c r="AI197" s="42" t="str">
        <f t="shared" ref="AI197" si="828">IF(AI196="","",IF(AI196="12M","1Y",IF(AI196="24M","2Y",AI196)))</f>
        <v/>
      </c>
      <c r="AJ197" s="42" t="str">
        <f t="shared" ref="AJ197" si="829">IF(AJ196="","",IF(AJ196="12M","1Y",IF(AJ196="24M","2Y",AJ196)))</f>
        <v/>
      </c>
      <c r="AK197" s="42" t="str">
        <f t="shared" ref="AK197" si="830">IF(AK196="","",IF(AK196="12M","1Y",IF(AK196="24M","2Y",AK196)))</f>
        <v/>
      </c>
      <c r="AL197" s="42" t="str">
        <f t="shared" ref="AL197" si="831">IF(AL196="","",IF(AL196="12M","1Y",IF(AL196="24M","2Y",AL196)))</f>
        <v/>
      </c>
      <c r="AM197" s="42" t="str">
        <f t="shared" ref="AM197" si="832">IF(AM196="","",IF(AM196="12M","1Y",IF(AM196="24M","2Y",AM196)))</f>
        <v/>
      </c>
      <c r="AN197" s="42" t="str">
        <f t="shared" ref="AN197" si="833">IF(AN196="","",IF(AN196="12M","1Y",IF(AN196="24M","2Y",AN196)))</f>
        <v/>
      </c>
      <c r="AO197" s="42" t="str">
        <f t="shared" ref="AO197" si="834">IF(AO196="","",IF(AO196="12M","1Y",IF(AO196="24M","2Y",AO196)))</f>
        <v/>
      </c>
      <c r="AP197" s="42" t="str">
        <f t="shared" ref="AP197" si="835">IF(AP196="","",IF(AP196="12M","1Y",IF(AP196="24M","2Y",AP196)))</f>
        <v/>
      </c>
      <c r="AQ197" s="42" t="str">
        <f t="shared" ref="AQ197" si="836">IF(AQ196="","",IF(AQ196="12M","1Y",IF(AQ196="24M","2Y",AQ196)))</f>
        <v/>
      </c>
      <c r="AR197" s="42" t="str">
        <f t="shared" ref="AR197" si="837">IF(AR196="","",IF(AR196="12M","1Y",IF(AR196="24M","2Y",AR196)))</f>
        <v/>
      </c>
      <c r="AS197" s="42" t="str">
        <f t="shared" ref="AS197" si="838">IF(AS196="","",IF(AS196="12M","1Y",IF(AS196="24M","2Y",AS196)))</f>
        <v/>
      </c>
      <c r="AT197" s="42" t="str">
        <f t="shared" ref="AT197" si="839">IF(AT196="","",IF(AT196="12M","1Y",IF(AT196="24M","2Y",AT196)))</f>
        <v/>
      </c>
      <c r="AU197" s="42" t="str">
        <f t="shared" ref="AU197" si="840">IF(AU196="","",IF(AU196="12M","1Y",IF(AU196="24M","2Y",AU196)))</f>
        <v/>
      </c>
      <c r="AV197" s="42" t="str">
        <f t="shared" ref="AV197" si="841">IF(AV196="","",IF(AV196="12M","1Y",IF(AV196="24M","2Y",AV196)))</f>
        <v/>
      </c>
      <c r="AW197" s="42" t="str">
        <f t="shared" ref="AW197" si="842">IF(AW196="","",IF(AW196="12M","1Y",IF(AW196="24M","2Y",AW196)))</f>
        <v/>
      </c>
      <c r="AX197" s="42" t="str">
        <f t="shared" ref="AX197" si="843">IF(AX196="","",IF(AX196="12M","1Y",IF(AX196="24M","2Y",AX196)))</f>
        <v/>
      </c>
      <c r="AY197" s="42" t="str">
        <f t="shared" ref="AY197" si="844">IF(AY196="","",IF(AY196="12M","1Y",IF(AY196="24M","2Y",AY196)))</f>
        <v/>
      </c>
      <c r="AZ197" s="42" t="str">
        <f t="shared" ref="AZ197" si="845">IF(AZ196="","",IF(AZ196="12M","1Y",IF(AZ196="24M","2Y",AZ196)))</f>
        <v/>
      </c>
      <c r="BA197" s="42" t="str">
        <f t="shared" ref="BA197" si="846">IF(BA196="","",IF(BA196="12M","1Y",IF(BA196="24M","2Y",BA196)))</f>
        <v/>
      </c>
    </row>
    <row r="198" spans="2:53" s="41" customFormat="1" ht="15" customHeight="1">
      <c r="B198" s="7"/>
      <c r="C198" s="153" t="str">
        <f>trans_getMessage("","Name",,LANG_ID)</f>
        <v>Name</v>
      </c>
      <c r="D198" s="154"/>
      <c r="E198" s="49" t="s">
        <v>49</v>
      </c>
      <c r="F198" s="43" t="e" cm="1">
        <f t="array" aca="1" ref="F198" ca="1">IF(LEFT(_xlfn.SINGLE(_xll.BDP(F199, $E198)),1)="#", "-", _xll.BDP(F199, $E198))</f>
        <v>#NAME?</v>
      </c>
      <c r="G198" s="43" t="e" cm="1">
        <f t="array" aca="1" ref="G198" ca="1">IF(LEFT(_xlfn.SINGLE(_xll.BDP(G199, $E198)),1)="#", "-", _xll.BDP(G199, $E198))</f>
        <v>#NAME?</v>
      </c>
      <c r="H198" s="43" t="e" cm="1">
        <f t="array" aca="1" ref="H198" ca="1">IF(LEFT(_xlfn.SINGLE(_xll.BDP(H199, $E198)),1)="#", "-", _xll.BDP(H199, $E198))</f>
        <v>#NAME?</v>
      </c>
      <c r="I198" s="43" t="e" cm="1">
        <f t="array" aca="1" ref="I198" ca="1">IF(LEFT(_xlfn.SINGLE(_xll.BDP(I199, $E198)),1)="#", "-", _xll.BDP(I199, $E198))</f>
        <v>#NAME?</v>
      </c>
      <c r="J198" s="43" t="e" cm="1">
        <f t="array" aca="1" ref="J198" ca="1">IF(LEFT(_xlfn.SINGLE(_xll.BDP(J199, $E198)),1)="#", "-", _xll.BDP(J199, $E198))</f>
        <v>#NAME?</v>
      </c>
      <c r="K198" s="43" t="e" cm="1">
        <f t="array" aca="1" ref="K198" ca="1">IF(LEFT(_xlfn.SINGLE(_xll.BDP(K199, $E198)),1)="#", "-", _xll.BDP(K199, $E198))</f>
        <v>#NAME?</v>
      </c>
      <c r="L198" s="43" t="e" cm="1">
        <f t="array" aca="1" ref="L198" ca="1">IF(LEFT(_xlfn.SINGLE(_xll.BDP(L199, $E198)),1)="#", "-", _xll.BDP(L199, $E198))</f>
        <v>#NAME?</v>
      </c>
      <c r="M198" s="43" t="e" cm="1">
        <f t="array" aca="1" ref="M198" ca="1">IF(LEFT(_xlfn.SINGLE(_xll.BDP(M199, $E198)),1)="#", "-", _xll.BDP(M199, $E198))</f>
        <v>#NAME?</v>
      </c>
      <c r="N198" s="43" t="e" cm="1">
        <f t="array" aca="1" ref="N198" ca="1">IF(LEFT(_xlfn.SINGLE(_xll.BDP(N199, $E198)),1)="#", "-", _xll.BDP(N199, $E198))</f>
        <v>#NAME?</v>
      </c>
      <c r="O198" s="43" t="e" cm="1">
        <f t="array" aca="1" ref="O198" ca="1">IF(LEFT(_xlfn.SINGLE(_xll.BDP(O199, $E198)),1)="#", "-", _xll.BDP(O199, $E198))</f>
        <v>#NAME?</v>
      </c>
      <c r="P198" s="43" t="e" cm="1">
        <f t="array" aca="1" ref="P198" ca="1">IF(LEFT(_xlfn.SINGLE(_xll.BDP(P199, $E198)),1)="#", "-", _xll.BDP(P199, $E198))</f>
        <v>#NAME?</v>
      </c>
      <c r="Q198" s="43" t="e" cm="1">
        <f t="array" aca="1" ref="Q198" ca="1">IF(LEFT(_xlfn.SINGLE(_xll.BDP(Q199, $E198)),1)="#", "-", _xll.BDP(Q199, $E198))</f>
        <v>#NAME?</v>
      </c>
      <c r="R198" s="43" t="e" cm="1">
        <f t="array" aca="1" ref="R198" ca="1">IF(LEFT(_xlfn.SINGLE(_xll.BDP(R199, $E198)),1)="#", "-", _xll.BDP(R199, $E198))</f>
        <v>#NAME?</v>
      </c>
      <c r="S198" s="43" t="e" cm="1">
        <f t="array" aca="1" ref="S198" ca="1">IF(LEFT(_xlfn.SINGLE(_xll.BDP(S199, $E198)),1)="#", "-", _xll.BDP(S199, $E198))</f>
        <v>#NAME?</v>
      </c>
      <c r="T198" s="43" t="e" cm="1">
        <f t="array" aca="1" ref="T198" ca="1">IF(LEFT(_xlfn.SINGLE(_xll.BDP(T199, $E198)),1)="#", "-", _xll.BDP(T199, $E198))</f>
        <v>#NAME?</v>
      </c>
      <c r="U198" s="43" t="e" cm="1">
        <f t="array" aca="1" ref="U198" ca="1">IF(LEFT(_xlfn.SINGLE(_xll.BDP(U199, $E198)),1)="#", "-", _xll.BDP(U199, $E198))</f>
        <v>#NAME?</v>
      </c>
      <c r="V198" s="43" t="e" cm="1">
        <f t="array" aca="1" ref="V198" ca="1">IF(LEFT(_xlfn.SINGLE(_xll.BDP(V199, $E198)),1)="#", "-", _xll.BDP(V199, $E198))</f>
        <v>#NAME?</v>
      </c>
      <c r="W198" s="43" t="e" cm="1">
        <f t="array" aca="1" ref="W198" ca="1">IF(LEFT(_xlfn.SINGLE(_xll.BDP(W199, $E198)),1)="#", "-", _xll.BDP(W199, $E198))</f>
        <v>#NAME?</v>
      </c>
      <c r="X198" s="43" t="e" cm="1">
        <f t="array" aca="1" ref="X198" ca="1">IF(LEFT(_xlfn.SINGLE(_xll.BDP(X199, $E198)),1)="#", "-", _xll.BDP(X199, $E198))</f>
        <v>#NAME?</v>
      </c>
      <c r="Y198" s="43" t="e" cm="1">
        <f t="array" aca="1" ref="Y198" ca="1">IF(LEFT(_xlfn.SINGLE(_xll.BDP(Y199, $E198)),1)="#", "-", _xll.BDP(Y199, $E198))</f>
        <v>#NAME?</v>
      </c>
      <c r="Z198" s="43" t="e" cm="1">
        <f t="array" aca="1" ref="Z198" ca="1">IF(LEFT(_xlfn.SINGLE(_xll.BDP(Z199, $E198)),1)="#", "-", _xll.BDP(Z199, $E198))</f>
        <v>#NAME?</v>
      </c>
      <c r="AA198" s="43" t="e" cm="1">
        <f t="array" aca="1" ref="AA198" ca="1">IF(LEFT(_xlfn.SINGLE(_xll.BDP(AA199, $E198)),1)="#", "-", _xll.BDP(AA199, $E198))</f>
        <v>#NAME?</v>
      </c>
      <c r="AB198" s="43" t="e" cm="1">
        <f t="array" aca="1" ref="AB198" ca="1">IF(LEFT(_xlfn.SINGLE(_xll.BDP(AB199, $E198)),1)="#", "-", _xll.BDP(AB199, $E198))</f>
        <v>#NAME?</v>
      </c>
      <c r="AC198" s="43" t="e" cm="1">
        <f t="array" aca="1" ref="AC198" ca="1">IF(LEFT(_xlfn.SINGLE(_xll.BDP(AC199, $E198)),1)="#", "-", _xll.BDP(AC199, $E198))</f>
        <v>#NAME?</v>
      </c>
      <c r="AD198" s="43" t="e" cm="1">
        <f t="array" aca="1" ref="AD198" ca="1">IF(LEFT(_xlfn.SINGLE(_xll.BDP(AD199, $E198)),1)="#", "-", _xll.BDP(AD199, $E198))</f>
        <v>#NAME?</v>
      </c>
      <c r="AE198" s="43" t="e" cm="1">
        <f t="array" aca="1" ref="AE198" ca="1">IF(LEFT(_xlfn.SINGLE(_xll.BDP(AE199, $E198)),1)="#", "-", _xll.BDP(AE199, $E198))</f>
        <v>#NAME?</v>
      </c>
      <c r="AF198" s="43" t="e" cm="1">
        <f t="array" aca="1" ref="AF198" ca="1">IF(LEFT(_xlfn.SINGLE(_xll.BDP(AF199, $E198)),1)="#", "-", _xll.BDP(AF199, $E198))</f>
        <v>#NAME?</v>
      </c>
      <c r="AG198" s="43" t="e" cm="1">
        <f t="array" aca="1" ref="AG198" ca="1">IF(LEFT(_xlfn.SINGLE(_xll.BDP(AG199, $E198)),1)="#", "-", _xll.BDP(AG199, $E198))</f>
        <v>#NAME?</v>
      </c>
      <c r="AH198" s="43" t="e" cm="1">
        <f t="array" aca="1" ref="AH198" ca="1">IF(LEFT(_xlfn.SINGLE(_xll.BDP(AH199, $E198)),1)="#", "-", _xll.BDP(AH199, $E198))</f>
        <v>#NAME?</v>
      </c>
      <c r="AI198" s="43" t="e" cm="1">
        <f t="array" aca="1" ref="AI198" ca="1">IF(LEFT(_xlfn.SINGLE(_xll.BDP(AI199, $E198)),1)="#", "-", _xll.BDP(AI199, $E198))</f>
        <v>#NAME?</v>
      </c>
      <c r="AJ198" s="43" t="e" cm="1">
        <f t="array" aca="1" ref="AJ198" ca="1">IF(LEFT(_xlfn.SINGLE(_xll.BDP(AJ199, $E198)),1)="#", "-", _xll.BDP(AJ199, $E198))</f>
        <v>#NAME?</v>
      </c>
      <c r="AK198" s="43" t="e" cm="1">
        <f t="array" aca="1" ref="AK198" ca="1">IF(LEFT(_xlfn.SINGLE(_xll.BDP(AK199, $E198)),1)="#", "-", _xll.BDP(AK199, $E198))</f>
        <v>#NAME?</v>
      </c>
      <c r="AL198" s="43" t="e" cm="1">
        <f t="array" aca="1" ref="AL198" ca="1">IF(LEFT(_xlfn.SINGLE(_xll.BDP(AL199, $E198)),1)="#", "-", _xll.BDP(AL199, $E198))</f>
        <v>#NAME?</v>
      </c>
      <c r="AM198" s="43" t="e" cm="1">
        <f t="array" aca="1" ref="AM198" ca="1">IF(LEFT(_xlfn.SINGLE(_xll.BDP(AM199, $E198)),1)="#", "-", _xll.BDP(AM199, $E198))</f>
        <v>#NAME?</v>
      </c>
      <c r="AN198" s="43" t="e" cm="1">
        <f t="array" aca="1" ref="AN198" ca="1">IF(LEFT(_xlfn.SINGLE(_xll.BDP(AN199, $E198)),1)="#", "-", _xll.BDP(AN199, $E198))</f>
        <v>#NAME?</v>
      </c>
      <c r="AO198" s="43" t="e" cm="1">
        <f t="array" aca="1" ref="AO198" ca="1">IF(LEFT(_xlfn.SINGLE(_xll.BDP(AO199, $E198)),1)="#", "-", _xll.BDP(AO199, $E198))</f>
        <v>#NAME?</v>
      </c>
      <c r="AP198" s="43" t="e" cm="1">
        <f t="array" aca="1" ref="AP198" ca="1">IF(LEFT(_xlfn.SINGLE(_xll.BDP(AP199, $E198)),1)="#", "-", _xll.BDP(AP199, $E198))</f>
        <v>#NAME?</v>
      </c>
      <c r="AQ198" s="43" t="e" cm="1">
        <f t="array" aca="1" ref="AQ198" ca="1">IF(LEFT(_xlfn.SINGLE(_xll.BDP(AQ199, $E198)),1)="#", "-", _xll.BDP(AQ199, $E198))</f>
        <v>#NAME?</v>
      </c>
      <c r="AR198" s="43" t="e" cm="1">
        <f t="array" aca="1" ref="AR198" ca="1">IF(LEFT(_xlfn.SINGLE(_xll.BDP(AR199, $E198)),1)="#", "-", _xll.BDP(AR199, $E198))</f>
        <v>#NAME?</v>
      </c>
      <c r="AS198" s="43" t="e" cm="1">
        <f t="array" aca="1" ref="AS198" ca="1">IF(LEFT(_xlfn.SINGLE(_xll.BDP(AS199, $E198)),1)="#", "-", _xll.BDP(AS199, $E198))</f>
        <v>#NAME?</v>
      </c>
      <c r="AT198" s="43" t="e" cm="1">
        <f t="array" aca="1" ref="AT198" ca="1">IF(LEFT(_xlfn.SINGLE(_xll.BDP(AT199, $E198)),1)="#", "-", _xll.BDP(AT199, $E198))</f>
        <v>#NAME?</v>
      </c>
      <c r="AU198" s="43" t="e" cm="1">
        <f t="array" aca="1" ref="AU198" ca="1">IF(LEFT(_xlfn.SINGLE(_xll.BDP(AU199, $E198)),1)="#", "-", _xll.BDP(AU199, $E198))</f>
        <v>#NAME?</v>
      </c>
      <c r="AV198" s="43" t="e" cm="1">
        <f t="array" aca="1" ref="AV198" ca="1">IF(LEFT(_xlfn.SINGLE(_xll.BDP(AV199, $E198)),1)="#", "-", _xll.BDP(AV199, $E198))</f>
        <v>#NAME?</v>
      </c>
      <c r="AW198" s="43" t="e" cm="1">
        <f t="array" aca="1" ref="AW198" ca="1">IF(LEFT(_xlfn.SINGLE(_xll.BDP(AW199, $E198)),1)="#", "-", _xll.BDP(AW199, $E198))</f>
        <v>#NAME?</v>
      </c>
      <c r="AX198" s="43" t="e" cm="1">
        <f t="array" aca="1" ref="AX198" ca="1">IF(LEFT(_xlfn.SINGLE(_xll.BDP(AX199, $E198)),1)="#", "-", _xll.BDP(AX199, $E198))</f>
        <v>#NAME?</v>
      </c>
      <c r="AY198" s="43" t="e" cm="1">
        <f t="array" aca="1" ref="AY198" ca="1">IF(LEFT(_xlfn.SINGLE(_xll.BDP(AY199, $E198)),1)="#", "-", _xll.BDP(AY199, $E198))</f>
        <v>#NAME?</v>
      </c>
      <c r="AZ198" s="43" t="e" cm="1">
        <f t="array" aca="1" ref="AZ198" ca="1">IF(LEFT(_xlfn.SINGLE(_xll.BDP(AZ199, $E198)),1)="#", "-", _xll.BDP(AZ199, $E198))</f>
        <v>#NAME?</v>
      </c>
      <c r="BA198" s="45" t="e" cm="1">
        <f t="array" aca="1" ref="BA198" ca="1">IF(LEFT(_xlfn.SINGLE(_xll.BDP(BA199, $E198)),1)="#", "-", _xll.BDP(BA199, $E198))</f>
        <v>#NAME?</v>
      </c>
    </row>
    <row r="199" spans="2:53" ht="15" customHeight="1">
      <c r="B199" s="40"/>
      <c r="C199" s="145" t="str">
        <f>trans_getMessage("","Curve Tickers",,LANG_ID)</f>
        <v>Curve Tickers</v>
      </c>
      <c r="D199" s="146"/>
      <c r="E199" s="50" t="s">
        <v>46</v>
      </c>
      <c r="F199" s="42" t="e" cm="1">
        <f t="array" aca="1" ref="F199" ca="1">_xll.BDS(E194,E199,"Dir=H",)</f>
        <v>#NAME?</v>
      </c>
      <c r="G199" s="42"/>
      <c r="H199" s="42"/>
      <c r="I199" s="42"/>
      <c r="J199" s="42"/>
      <c r="K199" s="42"/>
      <c r="L199" s="42"/>
      <c r="M199" s="42"/>
      <c r="N199" s="42"/>
      <c r="O199" s="42"/>
      <c r="P199" s="42"/>
      <c r="Q199" s="42"/>
      <c r="R199" s="42"/>
      <c r="S199" s="42"/>
      <c r="T199" s="42"/>
      <c r="U199" s="42"/>
      <c r="V199" s="42"/>
      <c r="W199" s="42"/>
      <c r="X199" s="42"/>
      <c r="Y199" s="42"/>
      <c r="Z199" s="42"/>
      <c r="AA199" s="42"/>
      <c r="AB199" s="42"/>
      <c r="AC199" s="42"/>
      <c r="AD199" s="42"/>
      <c r="AE199" s="42"/>
      <c r="AF199" s="42"/>
      <c r="AG199" s="42"/>
      <c r="AH199" s="42"/>
      <c r="AI199" s="42"/>
      <c r="AJ199" s="42"/>
      <c r="AK199" s="42"/>
      <c r="AL199" s="42"/>
      <c r="AM199" s="42"/>
      <c r="AN199" s="42"/>
      <c r="AO199" s="42"/>
      <c r="AP199" s="42"/>
      <c r="AQ199" s="42"/>
      <c r="AR199" s="42"/>
      <c r="AS199" s="42"/>
      <c r="AT199" s="42"/>
      <c r="AU199" s="42"/>
      <c r="AV199" s="42"/>
      <c r="AW199" s="42"/>
      <c r="AX199" s="42"/>
      <c r="AY199" s="42"/>
      <c r="AZ199" s="42"/>
      <c r="BA199" s="44"/>
    </row>
    <row r="200" spans="2:53" ht="15" customHeight="1">
      <c r="C200" s="138" t="str">
        <f>trans_getMessage("","Rate",,LANG_ID)</f>
        <v>Rate</v>
      </c>
      <c r="D200" s="139"/>
      <c r="E200" s="51" t="s">
        <v>44</v>
      </c>
      <c r="F200" s="46" t="str" cm="1">
        <f t="array" aca="1" ref="F200" ca="1">IF(ISERROR(_xlfn.SINGLE(_xll.BDP(F199, $E200))*1), "-", _xll.BDP(F199, $E200))</f>
        <v>-</v>
      </c>
      <c r="G200" s="46" t="str" cm="1">
        <f t="array" aca="1" ref="G200" ca="1">IF(ISERROR(_xlfn.SINGLE(_xll.BDP(G199, $E200))*1), "-", _xll.BDP(G199, $E200))</f>
        <v>-</v>
      </c>
      <c r="H200" s="46" t="str" cm="1">
        <f t="array" aca="1" ref="H200" ca="1">IF(ISERROR(_xlfn.SINGLE(_xll.BDP(H199, $E200))*1), "-", _xll.BDP(H199, $E200))</f>
        <v>-</v>
      </c>
      <c r="I200" s="46" t="str" cm="1">
        <f t="array" aca="1" ref="I200" ca="1">IF(ISERROR(_xlfn.SINGLE(_xll.BDP(I199, $E200))*1), "-", _xll.BDP(I199, $E200))</f>
        <v>-</v>
      </c>
      <c r="J200" s="46" t="str" cm="1">
        <f t="array" aca="1" ref="J200" ca="1">IF(ISERROR(_xlfn.SINGLE(_xll.BDP(J199, $E200))*1), "-", _xll.BDP(J199, $E200))</f>
        <v>-</v>
      </c>
      <c r="K200" s="46" t="str" cm="1">
        <f t="array" aca="1" ref="K200" ca="1">IF(ISERROR(_xlfn.SINGLE(_xll.BDP(K199, $E200))*1), "-", _xll.BDP(K199, $E200))</f>
        <v>-</v>
      </c>
      <c r="L200" s="46" t="str" cm="1">
        <f t="array" aca="1" ref="L200" ca="1">IF(ISERROR(_xlfn.SINGLE(_xll.BDP(L199, $E200))*1), "-", _xll.BDP(L199, $E200))</f>
        <v>-</v>
      </c>
      <c r="M200" s="46" t="str" cm="1">
        <f t="array" aca="1" ref="M200" ca="1">IF(ISERROR(_xlfn.SINGLE(_xll.BDP(M199, $E200))*1), "-", _xll.BDP(M199, $E200))</f>
        <v>-</v>
      </c>
      <c r="N200" s="46" t="str" cm="1">
        <f t="array" aca="1" ref="N200" ca="1">IF(ISERROR(_xlfn.SINGLE(_xll.BDP(N199, $E200))*1), "-", _xll.BDP(N199, $E200))</f>
        <v>-</v>
      </c>
      <c r="O200" s="46" t="str" cm="1">
        <f t="array" aca="1" ref="O200" ca="1">IF(ISERROR(_xlfn.SINGLE(_xll.BDP(O199, $E200))*1), "-", _xll.BDP(O199, $E200))</f>
        <v>-</v>
      </c>
      <c r="P200" s="46" t="str" cm="1">
        <f t="array" aca="1" ref="P200" ca="1">IF(ISERROR(_xlfn.SINGLE(_xll.BDP(P199, $E200))*1), "-", _xll.BDP(P199, $E200))</f>
        <v>-</v>
      </c>
      <c r="Q200" s="46" t="str" cm="1">
        <f t="array" aca="1" ref="Q200" ca="1">IF(ISERROR(_xlfn.SINGLE(_xll.BDP(Q199, $E200))*1), "-", _xll.BDP(Q199, $E200))</f>
        <v>-</v>
      </c>
      <c r="R200" s="46" t="str" cm="1">
        <f t="array" aca="1" ref="R200" ca="1">IF(ISERROR(_xlfn.SINGLE(_xll.BDP(R199, $E200))*1), "-", _xll.BDP(R199, $E200))</f>
        <v>-</v>
      </c>
      <c r="S200" s="46" t="str" cm="1">
        <f t="array" aca="1" ref="S200" ca="1">IF(ISERROR(_xlfn.SINGLE(_xll.BDP(S199, $E200))*1), "-", _xll.BDP(S199, $E200))</f>
        <v>-</v>
      </c>
      <c r="T200" s="46" t="str" cm="1">
        <f t="array" aca="1" ref="T200" ca="1">IF(ISERROR(_xlfn.SINGLE(_xll.BDP(T199, $E200))*1), "-", _xll.BDP(T199, $E200))</f>
        <v>-</v>
      </c>
      <c r="U200" s="46" t="str" cm="1">
        <f t="array" aca="1" ref="U200" ca="1">IF(ISERROR(_xlfn.SINGLE(_xll.BDP(U199, $E200))*1), "-", _xll.BDP(U199, $E200))</f>
        <v>-</v>
      </c>
      <c r="V200" s="46" t="str" cm="1">
        <f t="array" aca="1" ref="V200" ca="1">IF(ISERROR(_xlfn.SINGLE(_xll.BDP(V199, $E200))*1), "-", _xll.BDP(V199, $E200))</f>
        <v>-</v>
      </c>
      <c r="W200" s="46" t="str" cm="1">
        <f t="array" aca="1" ref="W200" ca="1">IF(ISERROR(_xlfn.SINGLE(_xll.BDP(W199, $E200))*1), "-", _xll.BDP(W199, $E200))</f>
        <v>-</v>
      </c>
      <c r="X200" s="46" t="str" cm="1">
        <f t="array" aca="1" ref="X200" ca="1">IF(ISERROR(_xlfn.SINGLE(_xll.BDP(X199, $E200))*1), "-", _xll.BDP(X199, $E200))</f>
        <v>-</v>
      </c>
      <c r="Y200" s="46" t="str" cm="1">
        <f t="array" aca="1" ref="Y200" ca="1">IF(ISERROR(_xlfn.SINGLE(_xll.BDP(Y199, $E200))*1), "-", _xll.BDP(Y199, $E200))</f>
        <v>-</v>
      </c>
      <c r="Z200" s="46" t="str" cm="1">
        <f t="array" aca="1" ref="Z200" ca="1">IF(ISERROR(_xlfn.SINGLE(_xll.BDP(Z199, $E200))*1), "-", _xll.BDP(Z199, $E200))</f>
        <v>-</v>
      </c>
      <c r="AA200" s="46" t="str" cm="1">
        <f t="array" aca="1" ref="AA200" ca="1">IF(ISERROR(_xlfn.SINGLE(_xll.BDP(AA199, $E200))*1), "-", _xll.BDP(AA199, $E200))</f>
        <v>-</v>
      </c>
      <c r="AB200" s="46" t="str" cm="1">
        <f t="array" aca="1" ref="AB200" ca="1">IF(ISERROR(_xlfn.SINGLE(_xll.BDP(AB199, $E200))*1), "-", _xll.BDP(AB199, $E200))</f>
        <v>-</v>
      </c>
      <c r="AC200" s="46" t="str" cm="1">
        <f t="array" aca="1" ref="AC200" ca="1">IF(ISERROR(_xlfn.SINGLE(_xll.BDP(AC199, $E200))*1), "-", _xll.BDP(AC199, $E200))</f>
        <v>-</v>
      </c>
      <c r="AD200" s="46" t="str" cm="1">
        <f t="array" aca="1" ref="AD200" ca="1">IF(ISERROR(_xlfn.SINGLE(_xll.BDP(AD199, $E200))*1), "-", _xll.BDP(AD199, $E200))</f>
        <v>-</v>
      </c>
      <c r="AE200" s="46" t="str" cm="1">
        <f t="array" aca="1" ref="AE200" ca="1">IF(ISERROR(_xlfn.SINGLE(_xll.BDP(AE199, $E200))*1), "-", _xll.BDP(AE199, $E200))</f>
        <v>-</v>
      </c>
      <c r="AF200" s="46" t="str" cm="1">
        <f t="array" aca="1" ref="AF200" ca="1">IF(ISERROR(_xlfn.SINGLE(_xll.BDP(AF199, $E200))*1), "-", _xll.BDP(AF199, $E200))</f>
        <v>-</v>
      </c>
      <c r="AG200" s="46" t="str" cm="1">
        <f t="array" aca="1" ref="AG200" ca="1">IF(ISERROR(_xlfn.SINGLE(_xll.BDP(AG199, $E200))*1), "-", _xll.BDP(AG199, $E200))</f>
        <v>-</v>
      </c>
      <c r="AH200" s="46" t="str" cm="1">
        <f t="array" aca="1" ref="AH200" ca="1">IF(ISERROR(_xlfn.SINGLE(_xll.BDP(AH199, $E200))*1), "-", _xll.BDP(AH199, $E200))</f>
        <v>-</v>
      </c>
      <c r="AI200" s="46" t="str" cm="1">
        <f t="array" aca="1" ref="AI200" ca="1">IF(ISERROR(_xlfn.SINGLE(_xll.BDP(AI199, $E200))*1), "-", _xll.BDP(AI199, $E200))</f>
        <v>-</v>
      </c>
      <c r="AJ200" s="46" t="str" cm="1">
        <f t="array" aca="1" ref="AJ200" ca="1">IF(ISERROR(_xlfn.SINGLE(_xll.BDP(AJ199, $E200))*1), "-", _xll.BDP(AJ199, $E200))</f>
        <v>-</v>
      </c>
      <c r="AK200" s="46" t="str" cm="1">
        <f t="array" aca="1" ref="AK200" ca="1">IF(ISERROR(_xlfn.SINGLE(_xll.BDP(AK199, $E200))*1), "-", _xll.BDP(AK199, $E200))</f>
        <v>-</v>
      </c>
      <c r="AL200" s="46" t="str" cm="1">
        <f t="array" aca="1" ref="AL200" ca="1">IF(ISERROR(_xlfn.SINGLE(_xll.BDP(AL199, $E200))*1), "-", _xll.BDP(AL199, $E200))</f>
        <v>-</v>
      </c>
      <c r="AM200" s="46" t="str" cm="1">
        <f t="array" aca="1" ref="AM200" ca="1">IF(ISERROR(_xlfn.SINGLE(_xll.BDP(AM199, $E200))*1), "-", _xll.BDP(AM199, $E200))</f>
        <v>-</v>
      </c>
      <c r="AN200" s="46" t="str" cm="1">
        <f t="array" aca="1" ref="AN200" ca="1">IF(ISERROR(_xlfn.SINGLE(_xll.BDP(AN199, $E200))*1), "-", _xll.BDP(AN199, $E200))</f>
        <v>-</v>
      </c>
      <c r="AO200" s="46" t="str" cm="1">
        <f t="array" aca="1" ref="AO200" ca="1">IF(ISERROR(_xlfn.SINGLE(_xll.BDP(AO199, $E200))*1), "-", _xll.BDP(AO199, $E200))</f>
        <v>-</v>
      </c>
      <c r="AP200" s="46" t="str" cm="1">
        <f t="array" aca="1" ref="AP200" ca="1">IF(ISERROR(_xlfn.SINGLE(_xll.BDP(AP199, $E200))*1), "-", _xll.BDP(AP199, $E200))</f>
        <v>-</v>
      </c>
      <c r="AQ200" s="46" t="str" cm="1">
        <f t="array" aca="1" ref="AQ200" ca="1">IF(ISERROR(_xlfn.SINGLE(_xll.BDP(AQ199, $E200))*1), "-", _xll.BDP(AQ199, $E200))</f>
        <v>-</v>
      </c>
      <c r="AR200" s="46" t="str" cm="1">
        <f t="array" aca="1" ref="AR200" ca="1">IF(ISERROR(_xlfn.SINGLE(_xll.BDP(AR199, $E200))*1), "-", _xll.BDP(AR199, $E200))</f>
        <v>-</v>
      </c>
      <c r="AS200" s="46" t="str" cm="1">
        <f t="array" aca="1" ref="AS200" ca="1">IF(ISERROR(_xlfn.SINGLE(_xll.BDP(AS199, $E200))*1), "-", _xll.BDP(AS199, $E200))</f>
        <v>-</v>
      </c>
      <c r="AT200" s="46" t="str" cm="1">
        <f t="array" aca="1" ref="AT200" ca="1">IF(ISERROR(_xlfn.SINGLE(_xll.BDP(AT199, $E200))*1), "-", _xll.BDP(AT199, $E200))</f>
        <v>-</v>
      </c>
      <c r="AU200" s="46" t="str" cm="1">
        <f t="array" aca="1" ref="AU200" ca="1">IF(ISERROR(_xlfn.SINGLE(_xll.BDP(AU199, $E200))*1), "-", _xll.BDP(AU199, $E200))</f>
        <v>-</v>
      </c>
      <c r="AV200" s="46" t="str" cm="1">
        <f t="array" aca="1" ref="AV200" ca="1">IF(ISERROR(_xlfn.SINGLE(_xll.BDP(AV199, $E200))*1), "-", _xll.BDP(AV199, $E200))</f>
        <v>-</v>
      </c>
      <c r="AW200" s="46" t="str" cm="1">
        <f t="array" aca="1" ref="AW200" ca="1">IF(ISERROR(_xlfn.SINGLE(_xll.BDP(AW199, $E200))*1), "-", _xll.BDP(AW199, $E200))</f>
        <v>-</v>
      </c>
      <c r="AX200" s="46" t="str" cm="1">
        <f t="array" aca="1" ref="AX200" ca="1">IF(ISERROR(_xlfn.SINGLE(_xll.BDP(AX199, $E200))*1), "-", _xll.BDP(AX199, $E200))</f>
        <v>-</v>
      </c>
      <c r="AY200" s="46" t="str" cm="1">
        <f t="array" aca="1" ref="AY200" ca="1">IF(ISERROR(_xlfn.SINGLE(_xll.BDP(AY199, $E200))*1), "-", _xll.BDP(AY199, $E200))</f>
        <v>-</v>
      </c>
      <c r="AZ200" s="46" t="str" cm="1">
        <f t="array" aca="1" ref="AZ200" ca="1">IF(ISERROR(_xlfn.SINGLE(_xll.BDP(AZ199, $E200))*1), "-", _xll.BDP(AZ199, $E200))</f>
        <v>-</v>
      </c>
      <c r="BA200" s="47" t="str" cm="1">
        <f t="array" aca="1" ref="BA200" ca="1">IF(ISERROR(_xlfn.SINGLE(_xll.BDP(BA199, $E200))*1), "-", _xll.BDP(BA199, $E200))</f>
        <v>-</v>
      </c>
    </row>
    <row r="201" spans="2:53" ht="15" hidden="1" customHeight="1"/>
    <row r="202" spans="2:53" ht="5.15" customHeight="1"/>
    <row r="203" spans="2:53" ht="15" customHeight="1">
      <c r="B203" s="38" t="s">
        <v>85</v>
      </c>
      <c r="C203" s="140" t="str">
        <f>trans_getMessage("","Curve Number",,LANG_ID)</f>
        <v>Curve Number</v>
      </c>
      <c r="D203" s="141"/>
      <c r="E203" s="142">
        <f>VLOOKUP(B203, 'Currency-Curve List'!$C$9:$E$103, 2, FALSE)</f>
        <v>205</v>
      </c>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4"/>
    </row>
    <row r="204" spans="2:53" ht="15" customHeight="1">
      <c r="C204" s="145" t="str">
        <f>trans_getMessage("","Curve Index",,LANG_ID)</f>
        <v>Curve Index</v>
      </c>
      <c r="D204" s="146"/>
      <c r="E204" s="147" t="str">
        <f>VLOOKUP(B203, 'Currency-Curve List'!$C$9:$E$103, 3, FALSE)</f>
        <v>YCSW0205 Index</v>
      </c>
      <c r="F204" s="148"/>
      <c r="G204" s="148" t="s">
        <v>11</v>
      </c>
      <c r="H204" s="148" t="s">
        <v>2</v>
      </c>
      <c r="I204" s="148" t="s">
        <v>12</v>
      </c>
      <c r="J204" s="148" t="s">
        <v>13</v>
      </c>
      <c r="K204" s="148" t="s">
        <v>3</v>
      </c>
      <c r="L204" s="148" t="s">
        <v>15</v>
      </c>
      <c r="M204" s="148" t="s">
        <v>5</v>
      </c>
      <c r="N204" s="148" t="s">
        <v>6</v>
      </c>
      <c r="O204" s="148" t="s">
        <v>7</v>
      </c>
      <c r="P204" s="148" t="s">
        <v>8</v>
      </c>
      <c r="Q204" s="148" t="s">
        <v>9</v>
      </c>
      <c r="R204" s="148" t="s">
        <v>17</v>
      </c>
      <c r="S204" s="148" t="s">
        <v>18</v>
      </c>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9"/>
    </row>
    <row r="205" spans="2:53" ht="15" customHeight="1">
      <c r="C205" s="145" t="str">
        <f>trans_getMessage("","Curve Name",,LANG_ID)</f>
        <v>Curve Name</v>
      </c>
      <c r="D205" s="146"/>
      <c r="E205" s="150" t="e" cm="1">
        <f t="array" aca="1" ref="E205" ca="1">_xll.BDP(E204, "NAME")</f>
        <v>#NAME?</v>
      </c>
      <c r="F205" s="151"/>
      <c r="G205" s="151"/>
      <c r="H205" s="151"/>
      <c r="I205" s="151"/>
      <c r="J205" s="151"/>
      <c r="K205" s="151"/>
      <c r="L205" s="151"/>
      <c r="M205" s="151"/>
      <c r="N205" s="151"/>
      <c r="O205" s="151"/>
      <c r="P205" s="151"/>
      <c r="Q205" s="151"/>
      <c r="R205" s="151"/>
      <c r="S205" s="151"/>
      <c r="T205" s="151"/>
      <c r="U205" s="151"/>
      <c r="V205" s="151"/>
      <c r="W205" s="151"/>
      <c r="X205" s="151"/>
      <c r="Y205" s="151"/>
      <c r="Z205" s="151"/>
      <c r="AA205" s="151"/>
      <c r="AB205" s="151"/>
      <c r="AC205" s="151"/>
      <c r="AD205" s="151"/>
      <c r="AE205" s="151"/>
      <c r="AF205" s="151"/>
      <c r="AG205" s="151"/>
      <c r="AH205" s="151"/>
      <c r="AI205" s="151"/>
      <c r="AJ205" s="151"/>
      <c r="AK205" s="151"/>
      <c r="AL205" s="151"/>
      <c r="AM205" s="151"/>
      <c r="AN205" s="151"/>
      <c r="AO205" s="151"/>
      <c r="AP205" s="151"/>
      <c r="AQ205" s="151"/>
      <c r="AR205" s="151"/>
      <c r="AS205" s="151"/>
      <c r="AT205" s="151"/>
      <c r="AU205" s="151"/>
      <c r="AV205" s="151"/>
      <c r="AW205" s="151"/>
      <c r="AX205" s="151"/>
      <c r="AY205" s="151"/>
      <c r="AZ205" s="151"/>
      <c r="BA205" s="152"/>
    </row>
    <row r="206" spans="2:53" ht="15" customHeight="1">
      <c r="C206" s="145" t="str">
        <f>trans_getMessage("","Tenors",,LANG_ID)</f>
        <v>Tenors</v>
      </c>
      <c r="D206" s="146"/>
      <c r="E206" s="48" t="s">
        <v>50</v>
      </c>
      <c r="F206" s="42" t="e" cm="1">
        <f t="array" aca="1" ref="F206" ca="1">_xll.BDS(E204,E206,"Dir=H",)</f>
        <v>#NAME?</v>
      </c>
      <c r="G206" s="42"/>
      <c r="H206" s="42"/>
      <c r="I206" s="42"/>
      <c r="J206" s="42"/>
      <c r="K206" s="42"/>
      <c r="L206" s="42"/>
      <c r="M206" s="42"/>
      <c r="N206" s="42"/>
      <c r="O206" s="42"/>
      <c r="P206" s="42"/>
      <c r="Q206" s="42"/>
      <c r="R206" s="42"/>
      <c r="S206" s="42"/>
      <c r="T206" s="42"/>
      <c r="U206" s="42"/>
      <c r="V206" s="42"/>
      <c r="W206" s="42"/>
      <c r="X206" s="42"/>
      <c r="Y206" s="42"/>
      <c r="Z206" s="42"/>
      <c r="AA206" s="42"/>
      <c r="AB206" s="42"/>
      <c r="AC206" s="42"/>
      <c r="AD206" s="42"/>
      <c r="AE206" s="42"/>
      <c r="AF206" s="42"/>
      <c r="AG206" s="42"/>
      <c r="AH206" s="42"/>
      <c r="AI206" s="42"/>
      <c r="AJ206" s="42"/>
      <c r="AK206" s="42"/>
      <c r="AL206" s="42"/>
      <c r="AM206" s="42"/>
      <c r="AN206" s="42"/>
      <c r="AO206" s="42"/>
      <c r="AP206" s="42"/>
      <c r="AQ206" s="42"/>
      <c r="AR206" s="42"/>
      <c r="AS206" s="42"/>
      <c r="AT206" s="42"/>
      <c r="AU206" s="42"/>
      <c r="AV206" s="42"/>
      <c r="AW206" s="42"/>
      <c r="AX206" s="42"/>
      <c r="AY206" s="42"/>
      <c r="AZ206" s="42"/>
      <c r="BA206" s="44"/>
    </row>
    <row r="207" spans="2:53" ht="15" hidden="1" customHeight="1">
      <c r="C207" s="145" t="s">
        <v>2211</v>
      </c>
      <c r="D207" s="146"/>
      <c r="E207" s="48"/>
      <c r="F207" s="42" t="e">
        <f ca="1">IF(F206="","",IF(F206="12M","1Y",IF(F206="24M","2Y",F206)))</f>
        <v>#NAME?</v>
      </c>
      <c r="G207" s="42" t="str">
        <f t="shared" ref="G207" si="847">IF(G206="","",IF(G206="12M","1Y",IF(G206="24M","2Y",G206)))</f>
        <v/>
      </c>
      <c r="H207" s="42" t="str">
        <f t="shared" ref="H207" si="848">IF(H206="","",IF(H206="12M","1Y",IF(H206="24M","2Y",H206)))</f>
        <v/>
      </c>
      <c r="I207" s="42" t="str">
        <f t="shared" ref="I207" si="849">IF(I206="","",IF(I206="12M","1Y",IF(I206="24M","2Y",I206)))</f>
        <v/>
      </c>
      <c r="J207" s="42" t="str">
        <f t="shared" ref="J207" si="850">IF(J206="","",IF(J206="12M","1Y",IF(J206="24M","2Y",J206)))</f>
        <v/>
      </c>
      <c r="K207" s="42" t="str">
        <f t="shared" ref="K207" si="851">IF(K206="","",IF(K206="12M","1Y",IF(K206="24M","2Y",K206)))</f>
        <v/>
      </c>
      <c r="L207" s="42" t="str">
        <f t="shared" ref="L207" si="852">IF(L206="","",IF(L206="12M","1Y",IF(L206="24M","2Y",L206)))</f>
        <v/>
      </c>
      <c r="M207" s="42" t="str">
        <f t="shared" ref="M207" si="853">IF(M206="","",IF(M206="12M","1Y",IF(M206="24M","2Y",M206)))</f>
        <v/>
      </c>
      <c r="N207" s="42" t="str">
        <f t="shared" ref="N207" si="854">IF(N206="","",IF(N206="12M","1Y",IF(N206="24M","2Y",N206)))</f>
        <v/>
      </c>
      <c r="O207" s="42" t="str">
        <f t="shared" ref="O207" si="855">IF(O206="","",IF(O206="12M","1Y",IF(O206="24M","2Y",O206)))</f>
        <v/>
      </c>
      <c r="P207" s="42" t="str">
        <f t="shared" ref="P207" si="856">IF(P206="","",IF(P206="12M","1Y",IF(P206="24M","2Y",P206)))</f>
        <v/>
      </c>
      <c r="Q207" s="42" t="str">
        <f t="shared" ref="Q207" si="857">IF(Q206="","",IF(Q206="12M","1Y",IF(Q206="24M","2Y",Q206)))</f>
        <v/>
      </c>
      <c r="R207" s="42" t="str">
        <f t="shared" ref="R207" si="858">IF(R206="","",IF(R206="12M","1Y",IF(R206="24M","2Y",R206)))</f>
        <v/>
      </c>
      <c r="S207" s="42" t="str">
        <f t="shared" ref="S207" si="859">IF(S206="","",IF(S206="12M","1Y",IF(S206="24M","2Y",S206)))</f>
        <v/>
      </c>
      <c r="T207" s="42" t="str">
        <f t="shared" ref="T207" si="860">IF(T206="","",IF(T206="12M","1Y",IF(T206="24M","2Y",T206)))</f>
        <v/>
      </c>
      <c r="U207" s="42" t="str">
        <f t="shared" ref="U207" si="861">IF(U206="","",IF(U206="12M","1Y",IF(U206="24M","2Y",U206)))</f>
        <v/>
      </c>
      <c r="V207" s="42" t="str">
        <f t="shared" ref="V207" si="862">IF(V206="","",IF(V206="12M","1Y",IF(V206="24M","2Y",V206)))</f>
        <v/>
      </c>
      <c r="W207" s="42" t="str">
        <f t="shared" ref="W207" si="863">IF(W206="","",IF(W206="12M","1Y",IF(W206="24M","2Y",W206)))</f>
        <v/>
      </c>
      <c r="X207" s="42" t="str">
        <f t="shared" ref="X207" si="864">IF(X206="","",IF(X206="12M","1Y",IF(X206="24M","2Y",X206)))</f>
        <v/>
      </c>
      <c r="Y207" s="42" t="str">
        <f t="shared" ref="Y207" si="865">IF(Y206="","",IF(Y206="12M","1Y",IF(Y206="24M","2Y",Y206)))</f>
        <v/>
      </c>
      <c r="Z207" s="42" t="str">
        <f t="shared" ref="Z207" si="866">IF(Z206="","",IF(Z206="12M","1Y",IF(Z206="24M","2Y",Z206)))</f>
        <v/>
      </c>
      <c r="AA207" s="42" t="str">
        <f t="shared" ref="AA207" si="867">IF(AA206="","",IF(AA206="12M","1Y",IF(AA206="24M","2Y",AA206)))</f>
        <v/>
      </c>
      <c r="AB207" s="42" t="str">
        <f t="shared" ref="AB207" si="868">IF(AB206="","",IF(AB206="12M","1Y",IF(AB206="24M","2Y",AB206)))</f>
        <v/>
      </c>
      <c r="AC207" s="42" t="str">
        <f t="shared" ref="AC207" si="869">IF(AC206="","",IF(AC206="12M","1Y",IF(AC206="24M","2Y",AC206)))</f>
        <v/>
      </c>
      <c r="AD207" s="42" t="str">
        <f t="shared" ref="AD207" si="870">IF(AD206="","",IF(AD206="12M","1Y",IF(AD206="24M","2Y",AD206)))</f>
        <v/>
      </c>
      <c r="AE207" s="42" t="str">
        <f t="shared" ref="AE207" si="871">IF(AE206="","",IF(AE206="12M","1Y",IF(AE206="24M","2Y",AE206)))</f>
        <v/>
      </c>
      <c r="AF207" s="42" t="str">
        <f t="shared" ref="AF207" si="872">IF(AF206="","",IF(AF206="12M","1Y",IF(AF206="24M","2Y",AF206)))</f>
        <v/>
      </c>
      <c r="AG207" s="42" t="str">
        <f t="shared" ref="AG207" si="873">IF(AG206="","",IF(AG206="12M","1Y",IF(AG206="24M","2Y",AG206)))</f>
        <v/>
      </c>
      <c r="AH207" s="42" t="str">
        <f t="shared" ref="AH207" si="874">IF(AH206="","",IF(AH206="12M","1Y",IF(AH206="24M","2Y",AH206)))</f>
        <v/>
      </c>
      <c r="AI207" s="42" t="str">
        <f t="shared" ref="AI207" si="875">IF(AI206="","",IF(AI206="12M","1Y",IF(AI206="24M","2Y",AI206)))</f>
        <v/>
      </c>
      <c r="AJ207" s="42" t="str">
        <f t="shared" ref="AJ207" si="876">IF(AJ206="","",IF(AJ206="12M","1Y",IF(AJ206="24M","2Y",AJ206)))</f>
        <v/>
      </c>
      <c r="AK207" s="42" t="str">
        <f t="shared" ref="AK207" si="877">IF(AK206="","",IF(AK206="12M","1Y",IF(AK206="24M","2Y",AK206)))</f>
        <v/>
      </c>
      <c r="AL207" s="42" t="str">
        <f t="shared" ref="AL207" si="878">IF(AL206="","",IF(AL206="12M","1Y",IF(AL206="24M","2Y",AL206)))</f>
        <v/>
      </c>
      <c r="AM207" s="42" t="str">
        <f t="shared" ref="AM207" si="879">IF(AM206="","",IF(AM206="12M","1Y",IF(AM206="24M","2Y",AM206)))</f>
        <v/>
      </c>
      <c r="AN207" s="42" t="str">
        <f t="shared" ref="AN207" si="880">IF(AN206="","",IF(AN206="12M","1Y",IF(AN206="24M","2Y",AN206)))</f>
        <v/>
      </c>
      <c r="AO207" s="42" t="str">
        <f t="shared" ref="AO207" si="881">IF(AO206="","",IF(AO206="12M","1Y",IF(AO206="24M","2Y",AO206)))</f>
        <v/>
      </c>
      <c r="AP207" s="42" t="str">
        <f t="shared" ref="AP207" si="882">IF(AP206="","",IF(AP206="12M","1Y",IF(AP206="24M","2Y",AP206)))</f>
        <v/>
      </c>
      <c r="AQ207" s="42" t="str">
        <f t="shared" ref="AQ207" si="883">IF(AQ206="","",IF(AQ206="12M","1Y",IF(AQ206="24M","2Y",AQ206)))</f>
        <v/>
      </c>
      <c r="AR207" s="42" t="str">
        <f t="shared" ref="AR207" si="884">IF(AR206="","",IF(AR206="12M","1Y",IF(AR206="24M","2Y",AR206)))</f>
        <v/>
      </c>
      <c r="AS207" s="42" t="str">
        <f t="shared" ref="AS207" si="885">IF(AS206="","",IF(AS206="12M","1Y",IF(AS206="24M","2Y",AS206)))</f>
        <v/>
      </c>
      <c r="AT207" s="42" t="str">
        <f t="shared" ref="AT207" si="886">IF(AT206="","",IF(AT206="12M","1Y",IF(AT206="24M","2Y",AT206)))</f>
        <v/>
      </c>
      <c r="AU207" s="42" t="str">
        <f t="shared" ref="AU207" si="887">IF(AU206="","",IF(AU206="12M","1Y",IF(AU206="24M","2Y",AU206)))</f>
        <v/>
      </c>
      <c r="AV207" s="42" t="str">
        <f t="shared" ref="AV207" si="888">IF(AV206="","",IF(AV206="12M","1Y",IF(AV206="24M","2Y",AV206)))</f>
        <v/>
      </c>
      <c r="AW207" s="42" t="str">
        <f t="shared" ref="AW207" si="889">IF(AW206="","",IF(AW206="12M","1Y",IF(AW206="24M","2Y",AW206)))</f>
        <v/>
      </c>
      <c r="AX207" s="42" t="str">
        <f t="shared" ref="AX207" si="890">IF(AX206="","",IF(AX206="12M","1Y",IF(AX206="24M","2Y",AX206)))</f>
        <v/>
      </c>
      <c r="AY207" s="42" t="str">
        <f t="shared" ref="AY207" si="891">IF(AY206="","",IF(AY206="12M","1Y",IF(AY206="24M","2Y",AY206)))</f>
        <v/>
      </c>
      <c r="AZ207" s="42" t="str">
        <f t="shared" ref="AZ207" si="892">IF(AZ206="","",IF(AZ206="12M","1Y",IF(AZ206="24M","2Y",AZ206)))</f>
        <v/>
      </c>
      <c r="BA207" s="42" t="str">
        <f t="shared" ref="BA207" si="893">IF(BA206="","",IF(BA206="12M","1Y",IF(BA206="24M","2Y",BA206)))</f>
        <v/>
      </c>
    </row>
    <row r="208" spans="2:53" s="41" customFormat="1" ht="15" customHeight="1">
      <c r="B208" s="7"/>
      <c r="C208" s="153" t="str">
        <f>trans_getMessage("","Name",,LANG_ID)</f>
        <v>Name</v>
      </c>
      <c r="D208" s="154"/>
      <c r="E208" s="49" t="s">
        <v>49</v>
      </c>
      <c r="F208" s="43" t="e" cm="1">
        <f t="array" aca="1" ref="F208" ca="1">IF(LEFT(_xlfn.SINGLE(_xll.BDP(F209, $E208)),1)="#", "-", _xll.BDP(F209, $E208))</f>
        <v>#NAME?</v>
      </c>
      <c r="G208" s="43" t="e" cm="1">
        <f t="array" aca="1" ref="G208" ca="1">IF(LEFT(_xlfn.SINGLE(_xll.BDP(G209, $E208)),1)="#", "-", _xll.BDP(G209, $E208))</f>
        <v>#NAME?</v>
      </c>
      <c r="H208" s="43" t="e" cm="1">
        <f t="array" aca="1" ref="H208" ca="1">IF(LEFT(_xlfn.SINGLE(_xll.BDP(H209, $E208)),1)="#", "-", _xll.BDP(H209, $E208))</f>
        <v>#NAME?</v>
      </c>
      <c r="I208" s="43" t="e" cm="1">
        <f t="array" aca="1" ref="I208" ca="1">IF(LEFT(_xlfn.SINGLE(_xll.BDP(I209, $E208)),1)="#", "-", _xll.BDP(I209, $E208))</f>
        <v>#NAME?</v>
      </c>
      <c r="J208" s="43" t="e" cm="1">
        <f t="array" aca="1" ref="J208" ca="1">IF(LEFT(_xlfn.SINGLE(_xll.BDP(J209, $E208)),1)="#", "-", _xll.BDP(J209, $E208))</f>
        <v>#NAME?</v>
      </c>
      <c r="K208" s="43" t="e" cm="1">
        <f t="array" aca="1" ref="K208" ca="1">IF(LEFT(_xlfn.SINGLE(_xll.BDP(K209, $E208)),1)="#", "-", _xll.BDP(K209, $E208))</f>
        <v>#NAME?</v>
      </c>
      <c r="L208" s="43" t="e" cm="1">
        <f t="array" aca="1" ref="L208" ca="1">IF(LEFT(_xlfn.SINGLE(_xll.BDP(L209, $E208)),1)="#", "-", _xll.BDP(L209, $E208))</f>
        <v>#NAME?</v>
      </c>
      <c r="M208" s="43" t="e" cm="1">
        <f t="array" aca="1" ref="M208" ca="1">IF(LEFT(_xlfn.SINGLE(_xll.BDP(M209, $E208)),1)="#", "-", _xll.BDP(M209, $E208))</f>
        <v>#NAME?</v>
      </c>
      <c r="N208" s="43" t="e" cm="1">
        <f t="array" aca="1" ref="N208" ca="1">IF(LEFT(_xlfn.SINGLE(_xll.BDP(N209, $E208)),1)="#", "-", _xll.BDP(N209, $E208))</f>
        <v>#NAME?</v>
      </c>
      <c r="O208" s="43" t="e" cm="1">
        <f t="array" aca="1" ref="O208" ca="1">IF(LEFT(_xlfn.SINGLE(_xll.BDP(O209, $E208)),1)="#", "-", _xll.BDP(O209, $E208))</f>
        <v>#NAME?</v>
      </c>
      <c r="P208" s="43" t="e" cm="1">
        <f t="array" aca="1" ref="P208" ca="1">IF(LEFT(_xlfn.SINGLE(_xll.BDP(P209, $E208)),1)="#", "-", _xll.BDP(P209, $E208))</f>
        <v>#NAME?</v>
      </c>
      <c r="Q208" s="43" t="e" cm="1">
        <f t="array" aca="1" ref="Q208" ca="1">IF(LEFT(_xlfn.SINGLE(_xll.BDP(Q209, $E208)),1)="#", "-", _xll.BDP(Q209, $E208))</f>
        <v>#NAME?</v>
      </c>
      <c r="R208" s="43" t="e" cm="1">
        <f t="array" aca="1" ref="R208" ca="1">IF(LEFT(_xlfn.SINGLE(_xll.BDP(R209, $E208)),1)="#", "-", _xll.BDP(R209, $E208))</f>
        <v>#NAME?</v>
      </c>
      <c r="S208" s="43" t="e" cm="1">
        <f t="array" aca="1" ref="S208" ca="1">IF(LEFT(_xlfn.SINGLE(_xll.BDP(S209, $E208)),1)="#", "-", _xll.BDP(S209, $E208))</f>
        <v>#NAME?</v>
      </c>
      <c r="T208" s="43" t="e" cm="1">
        <f t="array" aca="1" ref="T208" ca="1">IF(LEFT(_xlfn.SINGLE(_xll.BDP(T209, $E208)),1)="#", "-", _xll.BDP(T209, $E208))</f>
        <v>#NAME?</v>
      </c>
      <c r="U208" s="43" t="e" cm="1">
        <f t="array" aca="1" ref="U208" ca="1">IF(LEFT(_xlfn.SINGLE(_xll.BDP(U209, $E208)),1)="#", "-", _xll.BDP(U209, $E208))</f>
        <v>#NAME?</v>
      </c>
      <c r="V208" s="43" t="e" cm="1">
        <f t="array" aca="1" ref="V208" ca="1">IF(LEFT(_xlfn.SINGLE(_xll.BDP(V209, $E208)),1)="#", "-", _xll.BDP(V209, $E208))</f>
        <v>#NAME?</v>
      </c>
      <c r="W208" s="43" t="e" cm="1">
        <f t="array" aca="1" ref="W208" ca="1">IF(LEFT(_xlfn.SINGLE(_xll.BDP(W209, $E208)),1)="#", "-", _xll.BDP(W209, $E208))</f>
        <v>#NAME?</v>
      </c>
      <c r="X208" s="43" t="e" cm="1">
        <f t="array" aca="1" ref="X208" ca="1">IF(LEFT(_xlfn.SINGLE(_xll.BDP(X209, $E208)),1)="#", "-", _xll.BDP(X209, $E208))</f>
        <v>#NAME?</v>
      </c>
      <c r="Y208" s="43" t="e" cm="1">
        <f t="array" aca="1" ref="Y208" ca="1">IF(LEFT(_xlfn.SINGLE(_xll.BDP(Y209, $E208)),1)="#", "-", _xll.BDP(Y209, $E208))</f>
        <v>#NAME?</v>
      </c>
      <c r="Z208" s="43" t="e" cm="1">
        <f t="array" aca="1" ref="Z208" ca="1">IF(LEFT(_xlfn.SINGLE(_xll.BDP(Z209, $E208)),1)="#", "-", _xll.BDP(Z209, $E208))</f>
        <v>#NAME?</v>
      </c>
      <c r="AA208" s="43" t="e" cm="1">
        <f t="array" aca="1" ref="AA208" ca="1">IF(LEFT(_xlfn.SINGLE(_xll.BDP(AA209, $E208)),1)="#", "-", _xll.BDP(AA209, $E208))</f>
        <v>#NAME?</v>
      </c>
      <c r="AB208" s="43" t="e" cm="1">
        <f t="array" aca="1" ref="AB208" ca="1">IF(LEFT(_xlfn.SINGLE(_xll.BDP(AB209, $E208)),1)="#", "-", _xll.BDP(AB209, $E208))</f>
        <v>#NAME?</v>
      </c>
      <c r="AC208" s="43" t="e" cm="1">
        <f t="array" aca="1" ref="AC208" ca="1">IF(LEFT(_xlfn.SINGLE(_xll.BDP(AC209, $E208)),1)="#", "-", _xll.BDP(AC209, $E208))</f>
        <v>#NAME?</v>
      </c>
      <c r="AD208" s="43" t="e" cm="1">
        <f t="array" aca="1" ref="AD208" ca="1">IF(LEFT(_xlfn.SINGLE(_xll.BDP(AD209, $E208)),1)="#", "-", _xll.BDP(AD209, $E208))</f>
        <v>#NAME?</v>
      </c>
      <c r="AE208" s="43" t="e" cm="1">
        <f t="array" aca="1" ref="AE208" ca="1">IF(LEFT(_xlfn.SINGLE(_xll.BDP(AE209, $E208)),1)="#", "-", _xll.BDP(AE209, $E208))</f>
        <v>#NAME?</v>
      </c>
      <c r="AF208" s="43" t="e" cm="1">
        <f t="array" aca="1" ref="AF208" ca="1">IF(LEFT(_xlfn.SINGLE(_xll.BDP(AF209, $E208)),1)="#", "-", _xll.BDP(AF209, $E208))</f>
        <v>#NAME?</v>
      </c>
      <c r="AG208" s="43" t="e" cm="1">
        <f t="array" aca="1" ref="AG208" ca="1">IF(LEFT(_xlfn.SINGLE(_xll.BDP(AG209, $E208)),1)="#", "-", _xll.BDP(AG209, $E208))</f>
        <v>#NAME?</v>
      </c>
      <c r="AH208" s="43" t="e" cm="1">
        <f t="array" aca="1" ref="AH208" ca="1">IF(LEFT(_xlfn.SINGLE(_xll.BDP(AH209, $E208)),1)="#", "-", _xll.BDP(AH209, $E208))</f>
        <v>#NAME?</v>
      </c>
      <c r="AI208" s="43" t="e" cm="1">
        <f t="array" aca="1" ref="AI208" ca="1">IF(LEFT(_xlfn.SINGLE(_xll.BDP(AI209, $E208)),1)="#", "-", _xll.BDP(AI209, $E208))</f>
        <v>#NAME?</v>
      </c>
      <c r="AJ208" s="43" t="e" cm="1">
        <f t="array" aca="1" ref="AJ208" ca="1">IF(LEFT(_xlfn.SINGLE(_xll.BDP(AJ209, $E208)),1)="#", "-", _xll.BDP(AJ209, $E208))</f>
        <v>#NAME?</v>
      </c>
      <c r="AK208" s="43" t="e" cm="1">
        <f t="array" aca="1" ref="AK208" ca="1">IF(LEFT(_xlfn.SINGLE(_xll.BDP(AK209, $E208)),1)="#", "-", _xll.BDP(AK209, $E208))</f>
        <v>#NAME?</v>
      </c>
      <c r="AL208" s="43" t="e" cm="1">
        <f t="array" aca="1" ref="AL208" ca="1">IF(LEFT(_xlfn.SINGLE(_xll.BDP(AL209, $E208)),1)="#", "-", _xll.BDP(AL209, $E208))</f>
        <v>#NAME?</v>
      </c>
      <c r="AM208" s="43" t="e" cm="1">
        <f t="array" aca="1" ref="AM208" ca="1">IF(LEFT(_xlfn.SINGLE(_xll.BDP(AM209, $E208)),1)="#", "-", _xll.BDP(AM209, $E208))</f>
        <v>#NAME?</v>
      </c>
      <c r="AN208" s="43" t="e" cm="1">
        <f t="array" aca="1" ref="AN208" ca="1">IF(LEFT(_xlfn.SINGLE(_xll.BDP(AN209, $E208)),1)="#", "-", _xll.BDP(AN209, $E208))</f>
        <v>#NAME?</v>
      </c>
      <c r="AO208" s="43" t="e" cm="1">
        <f t="array" aca="1" ref="AO208" ca="1">IF(LEFT(_xlfn.SINGLE(_xll.BDP(AO209, $E208)),1)="#", "-", _xll.BDP(AO209, $E208))</f>
        <v>#NAME?</v>
      </c>
      <c r="AP208" s="43" t="e" cm="1">
        <f t="array" aca="1" ref="AP208" ca="1">IF(LEFT(_xlfn.SINGLE(_xll.BDP(AP209, $E208)),1)="#", "-", _xll.BDP(AP209, $E208))</f>
        <v>#NAME?</v>
      </c>
      <c r="AQ208" s="43" t="e" cm="1">
        <f t="array" aca="1" ref="AQ208" ca="1">IF(LEFT(_xlfn.SINGLE(_xll.BDP(AQ209, $E208)),1)="#", "-", _xll.BDP(AQ209, $E208))</f>
        <v>#NAME?</v>
      </c>
      <c r="AR208" s="43" t="e" cm="1">
        <f t="array" aca="1" ref="AR208" ca="1">IF(LEFT(_xlfn.SINGLE(_xll.BDP(AR209, $E208)),1)="#", "-", _xll.BDP(AR209, $E208))</f>
        <v>#NAME?</v>
      </c>
      <c r="AS208" s="43" t="e" cm="1">
        <f t="array" aca="1" ref="AS208" ca="1">IF(LEFT(_xlfn.SINGLE(_xll.BDP(AS209, $E208)),1)="#", "-", _xll.BDP(AS209, $E208))</f>
        <v>#NAME?</v>
      </c>
      <c r="AT208" s="43" t="e" cm="1">
        <f t="array" aca="1" ref="AT208" ca="1">IF(LEFT(_xlfn.SINGLE(_xll.BDP(AT209, $E208)),1)="#", "-", _xll.BDP(AT209, $E208))</f>
        <v>#NAME?</v>
      </c>
      <c r="AU208" s="43" t="e" cm="1">
        <f t="array" aca="1" ref="AU208" ca="1">IF(LEFT(_xlfn.SINGLE(_xll.BDP(AU209, $E208)),1)="#", "-", _xll.BDP(AU209, $E208))</f>
        <v>#NAME?</v>
      </c>
      <c r="AV208" s="43" t="e" cm="1">
        <f t="array" aca="1" ref="AV208" ca="1">IF(LEFT(_xlfn.SINGLE(_xll.BDP(AV209, $E208)),1)="#", "-", _xll.BDP(AV209, $E208))</f>
        <v>#NAME?</v>
      </c>
      <c r="AW208" s="43" t="e" cm="1">
        <f t="array" aca="1" ref="AW208" ca="1">IF(LEFT(_xlfn.SINGLE(_xll.BDP(AW209, $E208)),1)="#", "-", _xll.BDP(AW209, $E208))</f>
        <v>#NAME?</v>
      </c>
      <c r="AX208" s="43" t="e" cm="1">
        <f t="array" aca="1" ref="AX208" ca="1">IF(LEFT(_xlfn.SINGLE(_xll.BDP(AX209, $E208)),1)="#", "-", _xll.BDP(AX209, $E208))</f>
        <v>#NAME?</v>
      </c>
      <c r="AY208" s="43" t="e" cm="1">
        <f t="array" aca="1" ref="AY208" ca="1">IF(LEFT(_xlfn.SINGLE(_xll.BDP(AY209, $E208)),1)="#", "-", _xll.BDP(AY209, $E208))</f>
        <v>#NAME?</v>
      </c>
      <c r="AZ208" s="43" t="e" cm="1">
        <f t="array" aca="1" ref="AZ208" ca="1">IF(LEFT(_xlfn.SINGLE(_xll.BDP(AZ209, $E208)),1)="#", "-", _xll.BDP(AZ209, $E208))</f>
        <v>#NAME?</v>
      </c>
      <c r="BA208" s="45" t="e" cm="1">
        <f t="array" aca="1" ref="BA208" ca="1">IF(LEFT(_xlfn.SINGLE(_xll.BDP(BA209, $E208)),1)="#", "-", _xll.BDP(BA209, $E208))</f>
        <v>#NAME?</v>
      </c>
    </row>
    <row r="209" spans="2:53" ht="15" customHeight="1">
      <c r="B209" s="40"/>
      <c r="C209" s="145" t="str">
        <f>trans_getMessage("","Curve Tickers",,LANG_ID)</f>
        <v>Curve Tickers</v>
      </c>
      <c r="D209" s="146"/>
      <c r="E209" s="50" t="s">
        <v>46</v>
      </c>
      <c r="F209" s="42" t="e" cm="1">
        <f t="array" aca="1" ref="F209" ca="1">_xll.BDS(E204,E209,"Dir=H",)</f>
        <v>#NAME?</v>
      </c>
      <c r="G209" s="42"/>
      <c r="H209" s="42"/>
      <c r="I209" s="42"/>
      <c r="J209" s="42"/>
      <c r="K209" s="42"/>
      <c r="L209" s="42"/>
      <c r="M209" s="42"/>
      <c r="N209" s="42"/>
      <c r="O209" s="42"/>
      <c r="P209" s="42"/>
      <c r="Q209" s="42"/>
      <c r="R209" s="42"/>
      <c r="S209" s="42"/>
      <c r="T209" s="42"/>
      <c r="U209" s="42"/>
      <c r="V209" s="42"/>
      <c r="W209" s="42"/>
      <c r="X209" s="42"/>
      <c r="Y209" s="42"/>
      <c r="Z209" s="42"/>
      <c r="AA209" s="42"/>
      <c r="AB209" s="42"/>
      <c r="AC209" s="42"/>
      <c r="AD209" s="42"/>
      <c r="AE209" s="42"/>
      <c r="AF209" s="42"/>
      <c r="AG209" s="42"/>
      <c r="AH209" s="42"/>
      <c r="AI209" s="42"/>
      <c r="AJ209" s="42"/>
      <c r="AK209" s="42"/>
      <c r="AL209" s="42"/>
      <c r="AM209" s="42"/>
      <c r="AN209" s="42"/>
      <c r="AO209" s="42"/>
      <c r="AP209" s="42"/>
      <c r="AQ209" s="42"/>
      <c r="AR209" s="42"/>
      <c r="AS209" s="42"/>
      <c r="AT209" s="42"/>
      <c r="AU209" s="42"/>
      <c r="AV209" s="42"/>
      <c r="AW209" s="42"/>
      <c r="AX209" s="42"/>
      <c r="AY209" s="42"/>
      <c r="AZ209" s="42"/>
      <c r="BA209" s="44"/>
    </row>
    <row r="210" spans="2:53" ht="15" customHeight="1">
      <c r="C210" s="138" t="str">
        <f>trans_getMessage("","Rate",,LANG_ID)</f>
        <v>Rate</v>
      </c>
      <c r="D210" s="139"/>
      <c r="E210" s="51" t="s">
        <v>44</v>
      </c>
      <c r="F210" s="46" t="str" cm="1">
        <f t="array" aca="1" ref="F210" ca="1">IF(ISERROR(_xlfn.SINGLE(_xll.BDP(F209, $E210))*1), "-", _xll.BDP(F209, $E210))</f>
        <v>-</v>
      </c>
      <c r="G210" s="46" t="str" cm="1">
        <f t="array" aca="1" ref="G210" ca="1">IF(ISERROR(_xlfn.SINGLE(_xll.BDP(G209, $E210))*1), "-", _xll.BDP(G209, $E210))</f>
        <v>-</v>
      </c>
      <c r="H210" s="46" t="str" cm="1">
        <f t="array" aca="1" ref="H210" ca="1">IF(ISERROR(_xlfn.SINGLE(_xll.BDP(H209, $E210))*1), "-", _xll.BDP(H209, $E210))</f>
        <v>-</v>
      </c>
      <c r="I210" s="46" t="str" cm="1">
        <f t="array" aca="1" ref="I210" ca="1">IF(ISERROR(_xlfn.SINGLE(_xll.BDP(I209, $E210))*1), "-", _xll.BDP(I209, $E210))</f>
        <v>-</v>
      </c>
      <c r="J210" s="46" t="str" cm="1">
        <f t="array" aca="1" ref="J210" ca="1">IF(ISERROR(_xlfn.SINGLE(_xll.BDP(J209, $E210))*1), "-", _xll.BDP(J209, $E210))</f>
        <v>-</v>
      </c>
      <c r="K210" s="46" t="str" cm="1">
        <f t="array" aca="1" ref="K210" ca="1">IF(ISERROR(_xlfn.SINGLE(_xll.BDP(K209, $E210))*1), "-", _xll.BDP(K209, $E210))</f>
        <v>-</v>
      </c>
      <c r="L210" s="46" t="str" cm="1">
        <f t="array" aca="1" ref="L210" ca="1">IF(ISERROR(_xlfn.SINGLE(_xll.BDP(L209, $E210))*1), "-", _xll.BDP(L209, $E210))</f>
        <v>-</v>
      </c>
      <c r="M210" s="46" t="str" cm="1">
        <f t="array" aca="1" ref="M210" ca="1">IF(ISERROR(_xlfn.SINGLE(_xll.BDP(M209, $E210))*1), "-", _xll.BDP(M209, $E210))</f>
        <v>-</v>
      </c>
      <c r="N210" s="46" t="str" cm="1">
        <f t="array" aca="1" ref="N210" ca="1">IF(ISERROR(_xlfn.SINGLE(_xll.BDP(N209, $E210))*1), "-", _xll.BDP(N209, $E210))</f>
        <v>-</v>
      </c>
      <c r="O210" s="46" t="str" cm="1">
        <f t="array" aca="1" ref="O210" ca="1">IF(ISERROR(_xlfn.SINGLE(_xll.BDP(O209, $E210))*1), "-", _xll.BDP(O209, $E210))</f>
        <v>-</v>
      </c>
      <c r="P210" s="46" t="str" cm="1">
        <f t="array" aca="1" ref="P210" ca="1">IF(ISERROR(_xlfn.SINGLE(_xll.BDP(P209, $E210))*1), "-", _xll.BDP(P209, $E210))</f>
        <v>-</v>
      </c>
      <c r="Q210" s="46" t="str" cm="1">
        <f t="array" aca="1" ref="Q210" ca="1">IF(ISERROR(_xlfn.SINGLE(_xll.BDP(Q209, $E210))*1), "-", _xll.BDP(Q209, $E210))</f>
        <v>-</v>
      </c>
      <c r="R210" s="46" t="str" cm="1">
        <f t="array" aca="1" ref="R210" ca="1">IF(ISERROR(_xlfn.SINGLE(_xll.BDP(R209, $E210))*1), "-", _xll.BDP(R209, $E210))</f>
        <v>-</v>
      </c>
      <c r="S210" s="46" t="str" cm="1">
        <f t="array" aca="1" ref="S210" ca="1">IF(ISERROR(_xlfn.SINGLE(_xll.BDP(S209, $E210))*1), "-", _xll.BDP(S209, $E210))</f>
        <v>-</v>
      </c>
      <c r="T210" s="46" t="str" cm="1">
        <f t="array" aca="1" ref="T210" ca="1">IF(ISERROR(_xlfn.SINGLE(_xll.BDP(T209, $E210))*1), "-", _xll.BDP(T209, $E210))</f>
        <v>-</v>
      </c>
      <c r="U210" s="46" t="str" cm="1">
        <f t="array" aca="1" ref="U210" ca="1">IF(ISERROR(_xlfn.SINGLE(_xll.BDP(U209, $E210))*1), "-", _xll.BDP(U209, $E210))</f>
        <v>-</v>
      </c>
      <c r="V210" s="46" t="str" cm="1">
        <f t="array" aca="1" ref="V210" ca="1">IF(ISERROR(_xlfn.SINGLE(_xll.BDP(V209, $E210))*1), "-", _xll.BDP(V209, $E210))</f>
        <v>-</v>
      </c>
      <c r="W210" s="46" t="str" cm="1">
        <f t="array" aca="1" ref="W210" ca="1">IF(ISERROR(_xlfn.SINGLE(_xll.BDP(W209, $E210))*1), "-", _xll.BDP(W209, $E210))</f>
        <v>-</v>
      </c>
      <c r="X210" s="46" t="str" cm="1">
        <f t="array" aca="1" ref="X210" ca="1">IF(ISERROR(_xlfn.SINGLE(_xll.BDP(X209, $E210))*1), "-", _xll.BDP(X209, $E210))</f>
        <v>-</v>
      </c>
      <c r="Y210" s="46" t="str" cm="1">
        <f t="array" aca="1" ref="Y210" ca="1">IF(ISERROR(_xlfn.SINGLE(_xll.BDP(Y209, $E210))*1), "-", _xll.BDP(Y209, $E210))</f>
        <v>-</v>
      </c>
      <c r="Z210" s="46" t="str" cm="1">
        <f t="array" aca="1" ref="Z210" ca="1">IF(ISERROR(_xlfn.SINGLE(_xll.BDP(Z209, $E210))*1), "-", _xll.BDP(Z209, $E210))</f>
        <v>-</v>
      </c>
      <c r="AA210" s="46" t="str" cm="1">
        <f t="array" aca="1" ref="AA210" ca="1">IF(ISERROR(_xlfn.SINGLE(_xll.BDP(AA209, $E210))*1), "-", _xll.BDP(AA209, $E210))</f>
        <v>-</v>
      </c>
      <c r="AB210" s="46" t="str" cm="1">
        <f t="array" aca="1" ref="AB210" ca="1">IF(ISERROR(_xlfn.SINGLE(_xll.BDP(AB209, $E210))*1), "-", _xll.BDP(AB209, $E210))</f>
        <v>-</v>
      </c>
      <c r="AC210" s="46" t="str" cm="1">
        <f t="array" aca="1" ref="AC210" ca="1">IF(ISERROR(_xlfn.SINGLE(_xll.BDP(AC209, $E210))*1), "-", _xll.BDP(AC209, $E210))</f>
        <v>-</v>
      </c>
      <c r="AD210" s="46" t="str" cm="1">
        <f t="array" aca="1" ref="AD210" ca="1">IF(ISERROR(_xlfn.SINGLE(_xll.BDP(AD209, $E210))*1), "-", _xll.BDP(AD209, $E210))</f>
        <v>-</v>
      </c>
      <c r="AE210" s="46" t="str" cm="1">
        <f t="array" aca="1" ref="AE210" ca="1">IF(ISERROR(_xlfn.SINGLE(_xll.BDP(AE209, $E210))*1), "-", _xll.BDP(AE209, $E210))</f>
        <v>-</v>
      </c>
      <c r="AF210" s="46" t="str" cm="1">
        <f t="array" aca="1" ref="AF210" ca="1">IF(ISERROR(_xlfn.SINGLE(_xll.BDP(AF209, $E210))*1), "-", _xll.BDP(AF209, $E210))</f>
        <v>-</v>
      </c>
      <c r="AG210" s="46" t="str" cm="1">
        <f t="array" aca="1" ref="AG210" ca="1">IF(ISERROR(_xlfn.SINGLE(_xll.BDP(AG209, $E210))*1), "-", _xll.BDP(AG209, $E210))</f>
        <v>-</v>
      </c>
      <c r="AH210" s="46" t="str" cm="1">
        <f t="array" aca="1" ref="AH210" ca="1">IF(ISERROR(_xlfn.SINGLE(_xll.BDP(AH209, $E210))*1), "-", _xll.BDP(AH209, $E210))</f>
        <v>-</v>
      </c>
      <c r="AI210" s="46" t="str" cm="1">
        <f t="array" aca="1" ref="AI210" ca="1">IF(ISERROR(_xlfn.SINGLE(_xll.BDP(AI209, $E210))*1), "-", _xll.BDP(AI209, $E210))</f>
        <v>-</v>
      </c>
      <c r="AJ210" s="46" t="str" cm="1">
        <f t="array" aca="1" ref="AJ210" ca="1">IF(ISERROR(_xlfn.SINGLE(_xll.BDP(AJ209, $E210))*1), "-", _xll.BDP(AJ209, $E210))</f>
        <v>-</v>
      </c>
      <c r="AK210" s="46" t="str" cm="1">
        <f t="array" aca="1" ref="AK210" ca="1">IF(ISERROR(_xlfn.SINGLE(_xll.BDP(AK209, $E210))*1), "-", _xll.BDP(AK209, $E210))</f>
        <v>-</v>
      </c>
      <c r="AL210" s="46" t="str" cm="1">
        <f t="array" aca="1" ref="AL210" ca="1">IF(ISERROR(_xlfn.SINGLE(_xll.BDP(AL209, $E210))*1), "-", _xll.BDP(AL209, $E210))</f>
        <v>-</v>
      </c>
      <c r="AM210" s="46" t="str" cm="1">
        <f t="array" aca="1" ref="AM210" ca="1">IF(ISERROR(_xlfn.SINGLE(_xll.BDP(AM209, $E210))*1), "-", _xll.BDP(AM209, $E210))</f>
        <v>-</v>
      </c>
      <c r="AN210" s="46" t="str" cm="1">
        <f t="array" aca="1" ref="AN210" ca="1">IF(ISERROR(_xlfn.SINGLE(_xll.BDP(AN209, $E210))*1), "-", _xll.BDP(AN209, $E210))</f>
        <v>-</v>
      </c>
      <c r="AO210" s="46" t="str" cm="1">
        <f t="array" aca="1" ref="AO210" ca="1">IF(ISERROR(_xlfn.SINGLE(_xll.BDP(AO209, $E210))*1), "-", _xll.BDP(AO209, $E210))</f>
        <v>-</v>
      </c>
      <c r="AP210" s="46" t="str" cm="1">
        <f t="array" aca="1" ref="AP210" ca="1">IF(ISERROR(_xlfn.SINGLE(_xll.BDP(AP209, $E210))*1), "-", _xll.BDP(AP209, $E210))</f>
        <v>-</v>
      </c>
      <c r="AQ210" s="46" t="str" cm="1">
        <f t="array" aca="1" ref="AQ210" ca="1">IF(ISERROR(_xlfn.SINGLE(_xll.BDP(AQ209, $E210))*1), "-", _xll.BDP(AQ209, $E210))</f>
        <v>-</v>
      </c>
      <c r="AR210" s="46" t="str" cm="1">
        <f t="array" aca="1" ref="AR210" ca="1">IF(ISERROR(_xlfn.SINGLE(_xll.BDP(AR209, $E210))*1), "-", _xll.BDP(AR209, $E210))</f>
        <v>-</v>
      </c>
      <c r="AS210" s="46" t="str" cm="1">
        <f t="array" aca="1" ref="AS210" ca="1">IF(ISERROR(_xlfn.SINGLE(_xll.BDP(AS209, $E210))*1), "-", _xll.BDP(AS209, $E210))</f>
        <v>-</v>
      </c>
      <c r="AT210" s="46" t="str" cm="1">
        <f t="array" aca="1" ref="AT210" ca="1">IF(ISERROR(_xlfn.SINGLE(_xll.BDP(AT209, $E210))*1), "-", _xll.BDP(AT209, $E210))</f>
        <v>-</v>
      </c>
      <c r="AU210" s="46" t="str" cm="1">
        <f t="array" aca="1" ref="AU210" ca="1">IF(ISERROR(_xlfn.SINGLE(_xll.BDP(AU209, $E210))*1), "-", _xll.BDP(AU209, $E210))</f>
        <v>-</v>
      </c>
      <c r="AV210" s="46" t="str" cm="1">
        <f t="array" aca="1" ref="AV210" ca="1">IF(ISERROR(_xlfn.SINGLE(_xll.BDP(AV209, $E210))*1), "-", _xll.BDP(AV209, $E210))</f>
        <v>-</v>
      </c>
      <c r="AW210" s="46" t="str" cm="1">
        <f t="array" aca="1" ref="AW210" ca="1">IF(ISERROR(_xlfn.SINGLE(_xll.BDP(AW209, $E210))*1), "-", _xll.BDP(AW209, $E210))</f>
        <v>-</v>
      </c>
      <c r="AX210" s="46" t="str" cm="1">
        <f t="array" aca="1" ref="AX210" ca="1">IF(ISERROR(_xlfn.SINGLE(_xll.BDP(AX209, $E210))*1), "-", _xll.BDP(AX209, $E210))</f>
        <v>-</v>
      </c>
      <c r="AY210" s="46" t="str" cm="1">
        <f t="array" aca="1" ref="AY210" ca="1">IF(ISERROR(_xlfn.SINGLE(_xll.BDP(AY209, $E210))*1), "-", _xll.BDP(AY209, $E210))</f>
        <v>-</v>
      </c>
      <c r="AZ210" s="46" t="str" cm="1">
        <f t="array" aca="1" ref="AZ210" ca="1">IF(ISERROR(_xlfn.SINGLE(_xll.BDP(AZ209, $E210))*1), "-", _xll.BDP(AZ209, $E210))</f>
        <v>-</v>
      </c>
      <c r="BA210" s="47" t="str" cm="1">
        <f t="array" aca="1" ref="BA210" ca="1">IF(ISERROR(_xlfn.SINGLE(_xll.BDP(BA209, $E210))*1), "-", _xll.BDP(BA209, $E210))</f>
        <v>-</v>
      </c>
    </row>
    <row r="211" spans="2:53" ht="15" hidden="1" customHeight="1"/>
    <row r="212" spans="2:53" ht="5.15" customHeight="1"/>
    <row r="213" spans="2:53" ht="15" customHeight="1">
      <c r="B213" s="38" t="s">
        <v>94</v>
      </c>
      <c r="C213" s="140" t="str">
        <f>trans_getMessage("","Curve Number",,LANG_ID)</f>
        <v>Curve Number</v>
      </c>
      <c r="D213" s="141"/>
      <c r="E213" s="142">
        <f>VLOOKUP(B213, 'Currency-Curve List'!$C$9:$E$103, 2, FALSE)</f>
        <v>83</v>
      </c>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4"/>
    </row>
    <row r="214" spans="2:53" ht="15" customHeight="1">
      <c r="C214" s="145" t="str">
        <f>trans_getMessage("","Curve Index",,LANG_ID)</f>
        <v>Curve Index</v>
      </c>
      <c r="D214" s="146"/>
      <c r="E214" s="147" t="str">
        <f>VLOOKUP(B213, 'Currency-Curve List'!$C$9:$E$103, 3, FALSE)</f>
        <v>YCSW0083 Index</v>
      </c>
      <c r="F214" s="148"/>
      <c r="G214" s="148" t="s">
        <v>2</v>
      </c>
      <c r="H214" s="148" t="s">
        <v>3</v>
      </c>
      <c r="I214" s="148" t="s">
        <v>15</v>
      </c>
      <c r="J214" s="148" t="s">
        <v>5</v>
      </c>
      <c r="K214" s="148" t="s">
        <v>6</v>
      </c>
      <c r="L214" s="148" t="s">
        <v>7</v>
      </c>
      <c r="M214" s="148" t="s">
        <v>8</v>
      </c>
      <c r="N214" s="148" t="s">
        <v>9</v>
      </c>
      <c r="O214" s="148" t="s">
        <v>17</v>
      </c>
      <c r="P214" s="148" t="s">
        <v>18</v>
      </c>
      <c r="Q214" s="148" t="s">
        <v>19</v>
      </c>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9"/>
    </row>
    <row r="215" spans="2:53" ht="15" customHeight="1">
      <c r="C215" s="145" t="str">
        <f>trans_getMessage("","Curve Name",,LANG_ID)</f>
        <v>Curve Name</v>
      </c>
      <c r="D215" s="146"/>
      <c r="E215" s="150" t="e" cm="1">
        <f t="array" aca="1" ref="E215" ca="1">_xll.BDP(E214, "NAME")</f>
        <v>#NAME?</v>
      </c>
      <c r="F215" s="151"/>
      <c r="G215" s="151"/>
      <c r="H215" s="151"/>
      <c r="I215" s="151"/>
      <c r="J215" s="151"/>
      <c r="K215" s="151"/>
      <c r="L215" s="151"/>
      <c r="M215" s="151"/>
      <c r="N215" s="151"/>
      <c r="O215" s="151"/>
      <c r="P215" s="151"/>
      <c r="Q215" s="151"/>
      <c r="R215" s="151"/>
      <c r="S215" s="151"/>
      <c r="T215" s="151"/>
      <c r="U215" s="151"/>
      <c r="V215" s="151"/>
      <c r="W215" s="151"/>
      <c r="X215" s="151"/>
      <c r="Y215" s="151"/>
      <c r="Z215" s="151"/>
      <c r="AA215" s="151"/>
      <c r="AB215" s="151"/>
      <c r="AC215" s="151"/>
      <c r="AD215" s="151"/>
      <c r="AE215" s="151"/>
      <c r="AF215" s="151"/>
      <c r="AG215" s="151"/>
      <c r="AH215" s="151"/>
      <c r="AI215" s="151"/>
      <c r="AJ215" s="151"/>
      <c r="AK215" s="151"/>
      <c r="AL215" s="151"/>
      <c r="AM215" s="151"/>
      <c r="AN215" s="151"/>
      <c r="AO215" s="151"/>
      <c r="AP215" s="151"/>
      <c r="AQ215" s="151"/>
      <c r="AR215" s="151"/>
      <c r="AS215" s="151"/>
      <c r="AT215" s="151"/>
      <c r="AU215" s="151"/>
      <c r="AV215" s="151"/>
      <c r="AW215" s="151"/>
      <c r="AX215" s="151"/>
      <c r="AY215" s="151"/>
      <c r="AZ215" s="151"/>
      <c r="BA215" s="152"/>
    </row>
    <row r="216" spans="2:53" ht="15" customHeight="1">
      <c r="C216" s="145" t="str">
        <f>trans_getMessage("","Tenors",,LANG_ID)</f>
        <v>Tenors</v>
      </c>
      <c r="D216" s="146"/>
      <c r="E216" s="48" t="s">
        <v>50</v>
      </c>
      <c r="F216" s="42" t="e" cm="1">
        <f t="array" aca="1" ref="F216" ca="1">_xll.BDS(E214,E216,"Dir=H",)</f>
        <v>#NAME?</v>
      </c>
      <c r="G216" s="42"/>
      <c r="H216" s="42"/>
      <c r="I216" s="42"/>
      <c r="J216" s="42"/>
      <c r="K216" s="42"/>
      <c r="L216" s="42"/>
      <c r="M216" s="42"/>
      <c r="N216" s="42"/>
      <c r="O216" s="42"/>
      <c r="P216" s="42"/>
      <c r="Q216" s="42"/>
      <c r="R216" s="42"/>
      <c r="S216" s="42"/>
      <c r="T216" s="42"/>
      <c r="U216" s="42"/>
      <c r="V216" s="42"/>
      <c r="W216" s="42"/>
      <c r="X216" s="42"/>
      <c r="Y216" s="42"/>
      <c r="Z216" s="42"/>
      <c r="AA216" s="42"/>
      <c r="AB216" s="42"/>
      <c r="AC216" s="42"/>
      <c r="AD216" s="42"/>
      <c r="AE216" s="42"/>
      <c r="AF216" s="42"/>
      <c r="AG216" s="42"/>
      <c r="AH216" s="42"/>
      <c r="AI216" s="42"/>
      <c r="AJ216" s="42"/>
      <c r="AK216" s="42"/>
      <c r="AL216" s="42"/>
      <c r="AM216" s="42"/>
      <c r="AN216" s="42"/>
      <c r="AO216" s="42"/>
      <c r="AP216" s="42"/>
      <c r="AQ216" s="42"/>
      <c r="AR216" s="42"/>
      <c r="AS216" s="42"/>
      <c r="AT216" s="42"/>
      <c r="AU216" s="42"/>
      <c r="AV216" s="42"/>
      <c r="AW216" s="42"/>
      <c r="AX216" s="42"/>
      <c r="AY216" s="42"/>
      <c r="AZ216" s="42"/>
      <c r="BA216" s="44"/>
    </row>
    <row r="217" spans="2:53" ht="15" hidden="1" customHeight="1">
      <c r="C217" s="145" t="s">
        <v>2211</v>
      </c>
      <c r="D217" s="146"/>
      <c r="E217" s="48"/>
      <c r="F217" s="42" t="e">
        <f ca="1">IF(F216="","",IF(F216="12M","1Y",IF(F216="24M","2Y",F216)))</f>
        <v>#NAME?</v>
      </c>
      <c r="G217" s="42" t="str">
        <f t="shared" ref="G217" si="894">IF(G216="","",IF(G216="12M","1Y",IF(G216="24M","2Y",G216)))</f>
        <v/>
      </c>
      <c r="H217" s="42" t="str">
        <f t="shared" ref="H217" si="895">IF(H216="","",IF(H216="12M","1Y",IF(H216="24M","2Y",H216)))</f>
        <v/>
      </c>
      <c r="I217" s="42" t="str">
        <f t="shared" ref="I217" si="896">IF(I216="","",IF(I216="12M","1Y",IF(I216="24M","2Y",I216)))</f>
        <v/>
      </c>
      <c r="J217" s="42" t="str">
        <f t="shared" ref="J217" si="897">IF(J216="","",IF(J216="12M","1Y",IF(J216="24M","2Y",J216)))</f>
        <v/>
      </c>
      <c r="K217" s="42" t="str">
        <f t="shared" ref="K217" si="898">IF(K216="","",IF(K216="12M","1Y",IF(K216="24M","2Y",K216)))</f>
        <v/>
      </c>
      <c r="L217" s="42" t="str">
        <f t="shared" ref="L217" si="899">IF(L216="","",IF(L216="12M","1Y",IF(L216="24M","2Y",L216)))</f>
        <v/>
      </c>
      <c r="M217" s="42" t="str">
        <f t="shared" ref="M217" si="900">IF(M216="","",IF(M216="12M","1Y",IF(M216="24M","2Y",M216)))</f>
        <v/>
      </c>
      <c r="N217" s="42" t="str">
        <f t="shared" ref="N217" si="901">IF(N216="","",IF(N216="12M","1Y",IF(N216="24M","2Y",N216)))</f>
        <v/>
      </c>
      <c r="O217" s="42" t="str">
        <f t="shared" ref="O217" si="902">IF(O216="","",IF(O216="12M","1Y",IF(O216="24M","2Y",O216)))</f>
        <v/>
      </c>
      <c r="P217" s="42" t="str">
        <f t="shared" ref="P217" si="903">IF(P216="","",IF(P216="12M","1Y",IF(P216="24M","2Y",P216)))</f>
        <v/>
      </c>
      <c r="Q217" s="42" t="str">
        <f t="shared" ref="Q217" si="904">IF(Q216="","",IF(Q216="12M","1Y",IF(Q216="24M","2Y",Q216)))</f>
        <v/>
      </c>
      <c r="R217" s="42" t="str">
        <f t="shared" ref="R217" si="905">IF(R216="","",IF(R216="12M","1Y",IF(R216="24M","2Y",R216)))</f>
        <v/>
      </c>
      <c r="S217" s="42" t="str">
        <f t="shared" ref="S217" si="906">IF(S216="","",IF(S216="12M","1Y",IF(S216="24M","2Y",S216)))</f>
        <v/>
      </c>
      <c r="T217" s="42" t="str">
        <f t="shared" ref="T217" si="907">IF(T216="","",IF(T216="12M","1Y",IF(T216="24M","2Y",T216)))</f>
        <v/>
      </c>
      <c r="U217" s="42" t="str">
        <f t="shared" ref="U217" si="908">IF(U216="","",IF(U216="12M","1Y",IF(U216="24M","2Y",U216)))</f>
        <v/>
      </c>
      <c r="V217" s="42" t="str">
        <f t="shared" ref="V217" si="909">IF(V216="","",IF(V216="12M","1Y",IF(V216="24M","2Y",V216)))</f>
        <v/>
      </c>
      <c r="W217" s="42" t="str">
        <f t="shared" ref="W217" si="910">IF(W216="","",IF(W216="12M","1Y",IF(W216="24M","2Y",W216)))</f>
        <v/>
      </c>
      <c r="X217" s="42" t="str">
        <f t="shared" ref="X217" si="911">IF(X216="","",IF(X216="12M","1Y",IF(X216="24M","2Y",X216)))</f>
        <v/>
      </c>
      <c r="Y217" s="42" t="str">
        <f t="shared" ref="Y217" si="912">IF(Y216="","",IF(Y216="12M","1Y",IF(Y216="24M","2Y",Y216)))</f>
        <v/>
      </c>
      <c r="Z217" s="42" t="str">
        <f t="shared" ref="Z217" si="913">IF(Z216="","",IF(Z216="12M","1Y",IF(Z216="24M","2Y",Z216)))</f>
        <v/>
      </c>
      <c r="AA217" s="42" t="str">
        <f t="shared" ref="AA217" si="914">IF(AA216="","",IF(AA216="12M","1Y",IF(AA216="24M","2Y",AA216)))</f>
        <v/>
      </c>
      <c r="AB217" s="42" t="str">
        <f t="shared" ref="AB217" si="915">IF(AB216="","",IF(AB216="12M","1Y",IF(AB216="24M","2Y",AB216)))</f>
        <v/>
      </c>
      <c r="AC217" s="42" t="str">
        <f t="shared" ref="AC217" si="916">IF(AC216="","",IF(AC216="12M","1Y",IF(AC216="24M","2Y",AC216)))</f>
        <v/>
      </c>
      <c r="AD217" s="42" t="str">
        <f t="shared" ref="AD217" si="917">IF(AD216="","",IF(AD216="12M","1Y",IF(AD216="24M","2Y",AD216)))</f>
        <v/>
      </c>
      <c r="AE217" s="42" t="str">
        <f t="shared" ref="AE217" si="918">IF(AE216="","",IF(AE216="12M","1Y",IF(AE216="24M","2Y",AE216)))</f>
        <v/>
      </c>
      <c r="AF217" s="42" t="str">
        <f t="shared" ref="AF217" si="919">IF(AF216="","",IF(AF216="12M","1Y",IF(AF216="24M","2Y",AF216)))</f>
        <v/>
      </c>
      <c r="AG217" s="42" t="str">
        <f t="shared" ref="AG217" si="920">IF(AG216="","",IF(AG216="12M","1Y",IF(AG216="24M","2Y",AG216)))</f>
        <v/>
      </c>
      <c r="AH217" s="42" t="str">
        <f t="shared" ref="AH217" si="921">IF(AH216="","",IF(AH216="12M","1Y",IF(AH216="24M","2Y",AH216)))</f>
        <v/>
      </c>
      <c r="AI217" s="42" t="str">
        <f t="shared" ref="AI217" si="922">IF(AI216="","",IF(AI216="12M","1Y",IF(AI216="24M","2Y",AI216)))</f>
        <v/>
      </c>
      <c r="AJ217" s="42" t="str">
        <f t="shared" ref="AJ217" si="923">IF(AJ216="","",IF(AJ216="12M","1Y",IF(AJ216="24M","2Y",AJ216)))</f>
        <v/>
      </c>
      <c r="AK217" s="42" t="str">
        <f t="shared" ref="AK217" si="924">IF(AK216="","",IF(AK216="12M","1Y",IF(AK216="24M","2Y",AK216)))</f>
        <v/>
      </c>
      <c r="AL217" s="42" t="str">
        <f t="shared" ref="AL217" si="925">IF(AL216="","",IF(AL216="12M","1Y",IF(AL216="24M","2Y",AL216)))</f>
        <v/>
      </c>
      <c r="AM217" s="42" t="str">
        <f t="shared" ref="AM217" si="926">IF(AM216="","",IF(AM216="12M","1Y",IF(AM216="24M","2Y",AM216)))</f>
        <v/>
      </c>
      <c r="AN217" s="42" t="str">
        <f t="shared" ref="AN217" si="927">IF(AN216="","",IF(AN216="12M","1Y",IF(AN216="24M","2Y",AN216)))</f>
        <v/>
      </c>
      <c r="AO217" s="42" t="str">
        <f t="shared" ref="AO217" si="928">IF(AO216="","",IF(AO216="12M","1Y",IF(AO216="24M","2Y",AO216)))</f>
        <v/>
      </c>
      <c r="AP217" s="42" t="str">
        <f t="shared" ref="AP217" si="929">IF(AP216="","",IF(AP216="12M","1Y",IF(AP216="24M","2Y",AP216)))</f>
        <v/>
      </c>
      <c r="AQ217" s="42" t="str">
        <f t="shared" ref="AQ217" si="930">IF(AQ216="","",IF(AQ216="12M","1Y",IF(AQ216="24M","2Y",AQ216)))</f>
        <v/>
      </c>
      <c r="AR217" s="42" t="str">
        <f t="shared" ref="AR217" si="931">IF(AR216="","",IF(AR216="12M","1Y",IF(AR216="24M","2Y",AR216)))</f>
        <v/>
      </c>
      <c r="AS217" s="42" t="str">
        <f t="shared" ref="AS217" si="932">IF(AS216="","",IF(AS216="12M","1Y",IF(AS216="24M","2Y",AS216)))</f>
        <v/>
      </c>
      <c r="AT217" s="42" t="str">
        <f t="shared" ref="AT217" si="933">IF(AT216="","",IF(AT216="12M","1Y",IF(AT216="24M","2Y",AT216)))</f>
        <v/>
      </c>
      <c r="AU217" s="42" t="str">
        <f t="shared" ref="AU217" si="934">IF(AU216="","",IF(AU216="12M","1Y",IF(AU216="24M","2Y",AU216)))</f>
        <v/>
      </c>
      <c r="AV217" s="42" t="str">
        <f t="shared" ref="AV217" si="935">IF(AV216="","",IF(AV216="12M","1Y",IF(AV216="24M","2Y",AV216)))</f>
        <v/>
      </c>
      <c r="AW217" s="42" t="str">
        <f t="shared" ref="AW217" si="936">IF(AW216="","",IF(AW216="12M","1Y",IF(AW216="24M","2Y",AW216)))</f>
        <v/>
      </c>
      <c r="AX217" s="42" t="str">
        <f t="shared" ref="AX217" si="937">IF(AX216="","",IF(AX216="12M","1Y",IF(AX216="24M","2Y",AX216)))</f>
        <v/>
      </c>
      <c r="AY217" s="42" t="str">
        <f t="shared" ref="AY217" si="938">IF(AY216="","",IF(AY216="12M","1Y",IF(AY216="24M","2Y",AY216)))</f>
        <v/>
      </c>
      <c r="AZ217" s="42" t="str">
        <f t="shared" ref="AZ217" si="939">IF(AZ216="","",IF(AZ216="12M","1Y",IF(AZ216="24M","2Y",AZ216)))</f>
        <v/>
      </c>
      <c r="BA217" s="42" t="str">
        <f t="shared" ref="BA217" si="940">IF(BA216="","",IF(BA216="12M","1Y",IF(BA216="24M","2Y",BA216)))</f>
        <v/>
      </c>
    </row>
    <row r="218" spans="2:53" s="41" customFormat="1" ht="15" customHeight="1">
      <c r="B218" s="7"/>
      <c r="C218" s="153" t="str">
        <f>trans_getMessage("","Name",,LANG_ID)</f>
        <v>Name</v>
      </c>
      <c r="D218" s="154"/>
      <c r="E218" s="49" t="s">
        <v>49</v>
      </c>
      <c r="F218" s="43" t="e" cm="1">
        <f t="array" aca="1" ref="F218" ca="1">IF(LEFT(_xlfn.SINGLE(_xll.BDP(F219, $E218)),1)="#", "-", _xll.BDP(F219, $E218))</f>
        <v>#NAME?</v>
      </c>
      <c r="G218" s="43" t="e" cm="1">
        <f t="array" aca="1" ref="G218" ca="1">IF(LEFT(_xlfn.SINGLE(_xll.BDP(G219, $E218)),1)="#", "-", _xll.BDP(G219, $E218))</f>
        <v>#NAME?</v>
      </c>
      <c r="H218" s="43" t="e" cm="1">
        <f t="array" aca="1" ref="H218" ca="1">IF(LEFT(_xlfn.SINGLE(_xll.BDP(H219, $E218)),1)="#", "-", _xll.BDP(H219, $E218))</f>
        <v>#NAME?</v>
      </c>
      <c r="I218" s="43" t="e" cm="1">
        <f t="array" aca="1" ref="I218" ca="1">IF(LEFT(_xlfn.SINGLE(_xll.BDP(I219, $E218)),1)="#", "-", _xll.BDP(I219, $E218))</f>
        <v>#NAME?</v>
      </c>
      <c r="J218" s="43" t="e" cm="1">
        <f t="array" aca="1" ref="J218" ca="1">IF(LEFT(_xlfn.SINGLE(_xll.BDP(J219, $E218)),1)="#", "-", _xll.BDP(J219, $E218))</f>
        <v>#NAME?</v>
      </c>
      <c r="K218" s="43" t="e" cm="1">
        <f t="array" aca="1" ref="K218" ca="1">IF(LEFT(_xlfn.SINGLE(_xll.BDP(K219, $E218)),1)="#", "-", _xll.BDP(K219, $E218))</f>
        <v>#NAME?</v>
      </c>
      <c r="L218" s="43" t="e" cm="1">
        <f t="array" aca="1" ref="L218" ca="1">IF(LEFT(_xlfn.SINGLE(_xll.BDP(L219, $E218)),1)="#", "-", _xll.BDP(L219, $E218))</f>
        <v>#NAME?</v>
      </c>
      <c r="M218" s="43" t="e" cm="1">
        <f t="array" aca="1" ref="M218" ca="1">IF(LEFT(_xlfn.SINGLE(_xll.BDP(M219, $E218)),1)="#", "-", _xll.BDP(M219, $E218))</f>
        <v>#NAME?</v>
      </c>
      <c r="N218" s="43" t="e" cm="1">
        <f t="array" aca="1" ref="N218" ca="1">IF(LEFT(_xlfn.SINGLE(_xll.BDP(N219, $E218)),1)="#", "-", _xll.BDP(N219, $E218))</f>
        <v>#NAME?</v>
      </c>
      <c r="O218" s="43" t="e" cm="1">
        <f t="array" aca="1" ref="O218" ca="1">IF(LEFT(_xlfn.SINGLE(_xll.BDP(O219, $E218)),1)="#", "-", _xll.BDP(O219, $E218))</f>
        <v>#NAME?</v>
      </c>
      <c r="P218" s="43" t="e" cm="1">
        <f t="array" aca="1" ref="P218" ca="1">IF(LEFT(_xlfn.SINGLE(_xll.BDP(P219, $E218)),1)="#", "-", _xll.BDP(P219, $E218))</f>
        <v>#NAME?</v>
      </c>
      <c r="Q218" s="43" t="e" cm="1">
        <f t="array" aca="1" ref="Q218" ca="1">IF(LEFT(_xlfn.SINGLE(_xll.BDP(Q219, $E218)),1)="#", "-", _xll.BDP(Q219, $E218))</f>
        <v>#NAME?</v>
      </c>
      <c r="R218" s="43" t="e" cm="1">
        <f t="array" aca="1" ref="R218" ca="1">IF(LEFT(_xlfn.SINGLE(_xll.BDP(R219, $E218)),1)="#", "-", _xll.BDP(R219, $E218))</f>
        <v>#NAME?</v>
      </c>
      <c r="S218" s="43" t="e" cm="1">
        <f t="array" aca="1" ref="S218" ca="1">IF(LEFT(_xlfn.SINGLE(_xll.BDP(S219, $E218)),1)="#", "-", _xll.BDP(S219, $E218))</f>
        <v>#NAME?</v>
      </c>
      <c r="T218" s="43" t="e" cm="1">
        <f t="array" aca="1" ref="T218" ca="1">IF(LEFT(_xlfn.SINGLE(_xll.BDP(T219, $E218)),1)="#", "-", _xll.BDP(T219, $E218))</f>
        <v>#NAME?</v>
      </c>
      <c r="U218" s="43" t="e" cm="1">
        <f t="array" aca="1" ref="U218" ca="1">IF(LEFT(_xlfn.SINGLE(_xll.BDP(U219, $E218)),1)="#", "-", _xll.BDP(U219, $E218))</f>
        <v>#NAME?</v>
      </c>
      <c r="V218" s="43" t="e" cm="1">
        <f t="array" aca="1" ref="V218" ca="1">IF(LEFT(_xlfn.SINGLE(_xll.BDP(V219, $E218)),1)="#", "-", _xll.BDP(V219, $E218))</f>
        <v>#NAME?</v>
      </c>
      <c r="W218" s="43" t="e" cm="1">
        <f t="array" aca="1" ref="W218" ca="1">IF(LEFT(_xlfn.SINGLE(_xll.BDP(W219, $E218)),1)="#", "-", _xll.BDP(W219, $E218))</f>
        <v>#NAME?</v>
      </c>
      <c r="X218" s="43" t="e" cm="1">
        <f t="array" aca="1" ref="X218" ca="1">IF(LEFT(_xlfn.SINGLE(_xll.BDP(X219, $E218)),1)="#", "-", _xll.BDP(X219, $E218))</f>
        <v>#NAME?</v>
      </c>
      <c r="Y218" s="43" t="e" cm="1">
        <f t="array" aca="1" ref="Y218" ca="1">IF(LEFT(_xlfn.SINGLE(_xll.BDP(Y219, $E218)),1)="#", "-", _xll.BDP(Y219, $E218))</f>
        <v>#NAME?</v>
      </c>
      <c r="Z218" s="43" t="e" cm="1">
        <f t="array" aca="1" ref="Z218" ca="1">IF(LEFT(_xlfn.SINGLE(_xll.BDP(Z219, $E218)),1)="#", "-", _xll.BDP(Z219, $E218))</f>
        <v>#NAME?</v>
      </c>
      <c r="AA218" s="43" t="e" cm="1">
        <f t="array" aca="1" ref="AA218" ca="1">IF(LEFT(_xlfn.SINGLE(_xll.BDP(AA219, $E218)),1)="#", "-", _xll.BDP(AA219, $E218))</f>
        <v>#NAME?</v>
      </c>
      <c r="AB218" s="43" t="e" cm="1">
        <f t="array" aca="1" ref="AB218" ca="1">IF(LEFT(_xlfn.SINGLE(_xll.BDP(AB219, $E218)),1)="#", "-", _xll.BDP(AB219, $E218))</f>
        <v>#NAME?</v>
      </c>
      <c r="AC218" s="43" t="e" cm="1">
        <f t="array" aca="1" ref="AC218" ca="1">IF(LEFT(_xlfn.SINGLE(_xll.BDP(AC219, $E218)),1)="#", "-", _xll.BDP(AC219, $E218))</f>
        <v>#NAME?</v>
      </c>
      <c r="AD218" s="43" t="e" cm="1">
        <f t="array" aca="1" ref="AD218" ca="1">IF(LEFT(_xlfn.SINGLE(_xll.BDP(AD219, $E218)),1)="#", "-", _xll.BDP(AD219, $E218))</f>
        <v>#NAME?</v>
      </c>
      <c r="AE218" s="43" t="e" cm="1">
        <f t="array" aca="1" ref="AE218" ca="1">IF(LEFT(_xlfn.SINGLE(_xll.BDP(AE219, $E218)),1)="#", "-", _xll.BDP(AE219, $E218))</f>
        <v>#NAME?</v>
      </c>
      <c r="AF218" s="43" t="e" cm="1">
        <f t="array" aca="1" ref="AF218" ca="1">IF(LEFT(_xlfn.SINGLE(_xll.BDP(AF219, $E218)),1)="#", "-", _xll.BDP(AF219, $E218))</f>
        <v>#NAME?</v>
      </c>
      <c r="AG218" s="43" t="e" cm="1">
        <f t="array" aca="1" ref="AG218" ca="1">IF(LEFT(_xlfn.SINGLE(_xll.BDP(AG219, $E218)),1)="#", "-", _xll.BDP(AG219, $E218))</f>
        <v>#NAME?</v>
      </c>
      <c r="AH218" s="43" t="e" cm="1">
        <f t="array" aca="1" ref="AH218" ca="1">IF(LEFT(_xlfn.SINGLE(_xll.BDP(AH219, $E218)),1)="#", "-", _xll.BDP(AH219, $E218))</f>
        <v>#NAME?</v>
      </c>
      <c r="AI218" s="43" t="e" cm="1">
        <f t="array" aca="1" ref="AI218" ca="1">IF(LEFT(_xlfn.SINGLE(_xll.BDP(AI219, $E218)),1)="#", "-", _xll.BDP(AI219, $E218))</f>
        <v>#NAME?</v>
      </c>
      <c r="AJ218" s="43" t="e" cm="1">
        <f t="array" aca="1" ref="AJ218" ca="1">IF(LEFT(_xlfn.SINGLE(_xll.BDP(AJ219, $E218)),1)="#", "-", _xll.BDP(AJ219, $E218))</f>
        <v>#NAME?</v>
      </c>
      <c r="AK218" s="43" t="e" cm="1">
        <f t="array" aca="1" ref="AK218" ca="1">IF(LEFT(_xlfn.SINGLE(_xll.BDP(AK219, $E218)),1)="#", "-", _xll.BDP(AK219, $E218))</f>
        <v>#NAME?</v>
      </c>
      <c r="AL218" s="43" t="e" cm="1">
        <f t="array" aca="1" ref="AL218" ca="1">IF(LEFT(_xlfn.SINGLE(_xll.BDP(AL219, $E218)),1)="#", "-", _xll.BDP(AL219, $E218))</f>
        <v>#NAME?</v>
      </c>
      <c r="AM218" s="43" t="e" cm="1">
        <f t="array" aca="1" ref="AM218" ca="1">IF(LEFT(_xlfn.SINGLE(_xll.BDP(AM219, $E218)),1)="#", "-", _xll.BDP(AM219, $E218))</f>
        <v>#NAME?</v>
      </c>
      <c r="AN218" s="43" t="e" cm="1">
        <f t="array" aca="1" ref="AN218" ca="1">IF(LEFT(_xlfn.SINGLE(_xll.BDP(AN219, $E218)),1)="#", "-", _xll.BDP(AN219, $E218))</f>
        <v>#NAME?</v>
      </c>
      <c r="AO218" s="43" t="e" cm="1">
        <f t="array" aca="1" ref="AO218" ca="1">IF(LEFT(_xlfn.SINGLE(_xll.BDP(AO219, $E218)),1)="#", "-", _xll.BDP(AO219, $E218))</f>
        <v>#NAME?</v>
      </c>
      <c r="AP218" s="43" t="e" cm="1">
        <f t="array" aca="1" ref="AP218" ca="1">IF(LEFT(_xlfn.SINGLE(_xll.BDP(AP219, $E218)),1)="#", "-", _xll.BDP(AP219, $E218))</f>
        <v>#NAME?</v>
      </c>
      <c r="AQ218" s="43" t="e" cm="1">
        <f t="array" aca="1" ref="AQ218" ca="1">IF(LEFT(_xlfn.SINGLE(_xll.BDP(AQ219, $E218)),1)="#", "-", _xll.BDP(AQ219, $E218))</f>
        <v>#NAME?</v>
      </c>
      <c r="AR218" s="43" t="e" cm="1">
        <f t="array" aca="1" ref="AR218" ca="1">IF(LEFT(_xlfn.SINGLE(_xll.BDP(AR219, $E218)),1)="#", "-", _xll.BDP(AR219, $E218))</f>
        <v>#NAME?</v>
      </c>
      <c r="AS218" s="43" t="e" cm="1">
        <f t="array" aca="1" ref="AS218" ca="1">IF(LEFT(_xlfn.SINGLE(_xll.BDP(AS219, $E218)),1)="#", "-", _xll.BDP(AS219, $E218))</f>
        <v>#NAME?</v>
      </c>
      <c r="AT218" s="43" t="e" cm="1">
        <f t="array" aca="1" ref="AT218" ca="1">IF(LEFT(_xlfn.SINGLE(_xll.BDP(AT219, $E218)),1)="#", "-", _xll.BDP(AT219, $E218))</f>
        <v>#NAME?</v>
      </c>
      <c r="AU218" s="43" t="e" cm="1">
        <f t="array" aca="1" ref="AU218" ca="1">IF(LEFT(_xlfn.SINGLE(_xll.BDP(AU219, $E218)),1)="#", "-", _xll.BDP(AU219, $E218))</f>
        <v>#NAME?</v>
      </c>
      <c r="AV218" s="43" t="e" cm="1">
        <f t="array" aca="1" ref="AV218" ca="1">IF(LEFT(_xlfn.SINGLE(_xll.BDP(AV219, $E218)),1)="#", "-", _xll.BDP(AV219, $E218))</f>
        <v>#NAME?</v>
      </c>
      <c r="AW218" s="43" t="e" cm="1">
        <f t="array" aca="1" ref="AW218" ca="1">IF(LEFT(_xlfn.SINGLE(_xll.BDP(AW219, $E218)),1)="#", "-", _xll.BDP(AW219, $E218))</f>
        <v>#NAME?</v>
      </c>
      <c r="AX218" s="43" t="e" cm="1">
        <f t="array" aca="1" ref="AX218" ca="1">IF(LEFT(_xlfn.SINGLE(_xll.BDP(AX219, $E218)),1)="#", "-", _xll.BDP(AX219, $E218))</f>
        <v>#NAME?</v>
      </c>
      <c r="AY218" s="43" t="e" cm="1">
        <f t="array" aca="1" ref="AY218" ca="1">IF(LEFT(_xlfn.SINGLE(_xll.BDP(AY219, $E218)),1)="#", "-", _xll.BDP(AY219, $E218))</f>
        <v>#NAME?</v>
      </c>
      <c r="AZ218" s="43" t="e" cm="1">
        <f t="array" aca="1" ref="AZ218" ca="1">IF(LEFT(_xlfn.SINGLE(_xll.BDP(AZ219, $E218)),1)="#", "-", _xll.BDP(AZ219, $E218))</f>
        <v>#NAME?</v>
      </c>
      <c r="BA218" s="45" t="e" cm="1">
        <f t="array" aca="1" ref="BA218" ca="1">IF(LEFT(_xlfn.SINGLE(_xll.BDP(BA219, $E218)),1)="#", "-", _xll.BDP(BA219, $E218))</f>
        <v>#NAME?</v>
      </c>
    </row>
    <row r="219" spans="2:53" ht="15" customHeight="1">
      <c r="B219" s="40"/>
      <c r="C219" s="145" t="str">
        <f>trans_getMessage("","Curve Tickers",,LANG_ID)</f>
        <v>Curve Tickers</v>
      </c>
      <c r="D219" s="146"/>
      <c r="E219" s="50" t="s">
        <v>46</v>
      </c>
      <c r="F219" s="42" t="e" cm="1">
        <f t="array" aca="1" ref="F219" ca="1">_xll.BDS(E214,E219,"Dir=H",)</f>
        <v>#NAME?</v>
      </c>
      <c r="G219" s="42"/>
      <c r="H219" s="42"/>
      <c r="I219" s="42"/>
      <c r="J219" s="42"/>
      <c r="K219" s="42"/>
      <c r="L219" s="42"/>
      <c r="M219" s="42"/>
      <c r="N219" s="42"/>
      <c r="O219" s="42"/>
      <c r="P219" s="42"/>
      <c r="Q219" s="42"/>
      <c r="R219" s="42"/>
      <c r="S219" s="42"/>
      <c r="T219" s="42"/>
      <c r="U219" s="42"/>
      <c r="V219" s="42"/>
      <c r="W219" s="42"/>
      <c r="X219" s="42"/>
      <c r="Y219" s="42"/>
      <c r="Z219" s="42"/>
      <c r="AA219" s="42"/>
      <c r="AB219" s="42"/>
      <c r="AC219" s="42"/>
      <c r="AD219" s="42"/>
      <c r="AE219" s="42"/>
      <c r="AF219" s="42"/>
      <c r="AG219" s="42"/>
      <c r="AH219" s="42"/>
      <c r="AI219" s="42"/>
      <c r="AJ219" s="42"/>
      <c r="AK219" s="42"/>
      <c r="AL219" s="42"/>
      <c r="AM219" s="42"/>
      <c r="AN219" s="42"/>
      <c r="AO219" s="42"/>
      <c r="AP219" s="42"/>
      <c r="AQ219" s="42"/>
      <c r="AR219" s="42"/>
      <c r="AS219" s="42"/>
      <c r="AT219" s="42"/>
      <c r="AU219" s="42"/>
      <c r="AV219" s="42"/>
      <c r="AW219" s="42"/>
      <c r="AX219" s="42"/>
      <c r="AY219" s="42"/>
      <c r="AZ219" s="42"/>
      <c r="BA219" s="44"/>
    </row>
    <row r="220" spans="2:53" ht="15" customHeight="1">
      <c r="C220" s="138" t="str">
        <f>trans_getMessage("","Rate",,LANG_ID)</f>
        <v>Rate</v>
      </c>
      <c r="D220" s="139"/>
      <c r="E220" s="51" t="s">
        <v>44</v>
      </c>
      <c r="F220" s="46" t="str" cm="1">
        <f t="array" aca="1" ref="F220" ca="1">IF(ISERROR(_xlfn.SINGLE(_xll.BDP(F219, $E220))*1), "-", _xll.BDP(F219, $E220))</f>
        <v>-</v>
      </c>
      <c r="G220" s="46" t="str" cm="1">
        <f t="array" aca="1" ref="G220" ca="1">IF(ISERROR(_xlfn.SINGLE(_xll.BDP(G219, $E220))*1), "-", _xll.BDP(G219, $E220))</f>
        <v>-</v>
      </c>
      <c r="H220" s="46" t="str" cm="1">
        <f t="array" aca="1" ref="H220" ca="1">IF(ISERROR(_xlfn.SINGLE(_xll.BDP(H219, $E220))*1), "-", _xll.BDP(H219, $E220))</f>
        <v>-</v>
      </c>
      <c r="I220" s="46" t="str" cm="1">
        <f t="array" aca="1" ref="I220" ca="1">IF(ISERROR(_xlfn.SINGLE(_xll.BDP(I219, $E220))*1), "-", _xll.BDP(I219, $E220))</f>
        <v>-</v>
      </c>
      <c r="J220" s="46" t="str" cm="1">
        <f t="array" aca="1" ref="J220" ca="1">IF(ISERROR(_xlfn.SINGLE(_xll.BDP(J219, $E220))*1), "-", _xll.BDP(J219, $E220))</f>
        <v>-</v>
      </c>
      <c r="K220" s="46" t="str" cm="1">
        <f t="array" aca="1" ref="K220" ca="1">IF(ISERROR(_xlfn.SINGLE(_xll.BDP(K219, $E220))*1), "-", _xll.BDP(K219, $E220))</f>
        <v>-</v>
      </c>
      <c r="L220" s="46" t="str" cm="1">
        <f t="array" aca="1" ref="L220" ca="1">IF(ISERROR(_xlfn.SINGLE(_xll.BDP(L219, $E220))*1), "-", _xll.BDP(L219, $E220))</f>
        <v>-</v>
      </c>
      <c r="M220" s="46" t="str" cm="1">
        <f t="array" aca="1" ref="M220" ca="1">IF(ISERROR(_xlfn.SINGLE(_xll.BDP(M219, $E220))*1), "-", _xll.BDP(M219, $E220))</f>
        <v>-</v>
      </c>
      <c r="N220" s="46" t="str" cm="1">
        <f t="array" aca="1" ref="N220" ca="1">IF(ISERROR(_xlfn.SINGLE(_xll.BDP(N219, $E220))*1), "-", _xll.BDP(N219, $E220))</f>
        <v>-</v>
      </c>
      <c r="O220" s="46" t="str" cm="1">
        <f t="array" aca="1" ref="O220" ca="1">IF(ISERROR(_xlfn.SINGLE(_xll.BDP(O219, $E220))*1), "-", _xll.BDP(O219, $E220))</f>
        <v>-</v>
      </c>
      <c r="P220" s="46" t="str" cm="1">
        <f t="array" aca="1" ref="P220" ca="1">IF(ISERROR(_xlfn.SINGLE(_xll.BDP(P219, $E220))*1), "-", _xll.BDP(P219, $E220))</f>
        <v>-</v>
      </c>
      <c r="Q220" s="46" t="str" cm="1">
        <f t="array" aca="1" ref="Q220" ca="1">IF(ISERROR(_xlfn.SINGLE(_xll.BDP(Q219, $E220))*1), "-", _xll.BDP(Q219, $E220))</f>
        <v>-</v>
      </c>
      <c r="R220" s="46" t="str" cm="1">
        <f t="array" aca="1" ref="R220" ca="1">IF(ISERROR(_xlfn.SINGLE(_xll.BDP(R219, $E220))*1), "-", _xll.BDP(R219, $E220))</f>
        <v>-</v>
      </c>
      <c r="S220" s="46" t="str" cm="1">
        <f t="array" aca="1" ref="S220" ca="1">IF(ISERROR(_xlfn.SINGLE(_xll.BDP(S219, $E220))*1), "-", _xll.BDP(S219, $E220))</f>
        <v>-</v>
      </c>
      <c r="T220" s="46" t="str" cm="1">
        <f t="array" aca="1" ref="T220" ca="1">IF(ISERROR(_xlfn.SINGLE(_xll.BDP(T219, $E220))*1), "-", _xll.BDP(T219, $E220))</f>
        <v>-</v>
      </c>
      <c r="U220" s="46" t="str" cm="1">
        <f t="array" aca="1" ref="U220" ca="1">IF(ISERROR(_xlfn.SINGLE(_xll.BDP(U219, $E220))*1), "-", _xll.BDP(U219, $E220))</f>
        <v>-</v>
      </c>
      <c r="V220" s="46" t="str" cm="1">
        <f t="array" aca="1" ref="V220" ca="1">IF(ISERROR(_xlfn.SINGLE(_xll.BDP(V219, $E220))*1), "-", _xll.BDP(V219, $E220))</f>
        <v>-</v>
      </c>
      <c r="W220" s="46" t="str" cm="1">
        <f t="array" aca="1" ref="W220" ca="1">IF(ISERROR(_xlfn.SINGLE(_xll.BDP(W219, $E220))*1), "-", _xll.BDP(W219, $E220))</f>
        <v>-</v>
      </c>
      <c r="X220" s="46" t="str" cm="1">
        <f t="array" aca="1" ref="X220" ca="1">IF(ISERROR(_xlfn.SINGLE(_xll.BDP(X219, $E220))*1), "-", _xll.BDP(X219, $E220))</f>
        <v>-</v>
      </c>
      <c r="Y220" s="46" t="str" cm="1">
        <f t="array" aca="1" ref="Y220" ca="1">IF(ISERROR(_xlfn.SINGLE(_xll.BDP(Y219, $E220))*1), "-", _xll.BDP(Y219, $E220))</f>
        <v>-</v>
      </c>
      <c r="Z220" s="46" t="str" cm="1">
        <f t="array" aca="1" ref="Z220" ca="1">IF(ISERROR(_xlfn.SINGLE(_xll.BDP(Z219, $E220))*1), "-", _xll.BDP(Z219, $E220))</f>
        <v>-</v>
      </c>
      <c r="AA220" s="46" t="str" cm="1">
        <f t="array" aca="1" ref="AA220" ca="1">IF(ISERROR(_xlfn.SINGLE(_xll.BDP(AA219, $E220))*1), "-", _xll.BDP(AA219, $E220))</f>
        <v>-</v>
      </c>
      <c r="AB220" s="46" t="str" cm="1">
        <f t="array" aca="1" ref="AB220" ca="1">IF(ISERROR(_xlfn.SINGLE(_xll.BDP(AB219, $E220))*1), "-", _xll.BDP(AB219, $E220))</f>
        <v>-</v>
      </c>
      <c r="AC220" s="46" t="str" cm="1">
        <f t="array" aca="1" ref="AC220" ca="1">IF(ISERROR(_xlfn.SINGLE(_xll.BDP(AC219, $E220))*1), "-", _xll.BDP(AC219, $E220))</f>
        <v>-</v>
      </c>
      <c r="AD220" s="46" t="str" cm="1">
        <f t="array" aca="1" ref="AD220" ca="1">IF(ISERROR(_xlfn.SINGLE(_xll.BDP(AD219, $E220))*1), "-", _xll.BDP(AD219, $E220))</f>
        <v>-</v>
      </c>
      <c r="AE220" s="46" t="str" cm="1">
        <f t="array" aca="1" ref="AE220" ca="1">IF(ISERROR(_xlfn.SINGLE(_xll.BDP(AE219, $E220))*1), "-", _xll.BDP(AE219, $E220))</f>
        <v>-</v>
      </c>
      <c r="AF220" s="46" t="str" cm="1">
        <f t="array" aca="1" ref="AF220" ca="1">IF(ISERROR(_xlfn.SINGLE(_xll.BDP(AF219, $E220))*1), "-", _xll.BDP(AF219, $E220))</f>
        <v>-</v>
      </c>
      <c r="AG220" s="46" t="str" cm="1">
        <f t="array" aca="1" ref="AG220" ca="1">IF(ISERROR(_xlfn.SINGLE(_xll.BDP(AG219, $E220))*1), "-", _xll.BDP(AG219, $E220))</f>
        <v>-</v>
      </c>
      <c r="AH220" s="46" t="str" cm="1">
        <f t="array" aca="1" ref="AH220" ca="1">IF(ISERROR(_xlfn.SINGLE(_xll.BDP(AH219, $E220))*1), "-", _xll.BDP(AH219, $E220))</f>
        <v>-</v>
      </c>
      <c r="AI220" s="46" t="str" cm="1">
        <f t="array" aca="1" ref="AI220" ca="1">IF(ISERROR(_xlfn.SINGLE(_xll.BDP(AI219, $E220))*1), "-", _xll.BDP(AI219, $E220))</f>
        <v>-</v>
      </c>
      <c r="AJ220" s="46" t="str" cm="1">
        <f t="array" aca="1" ref="AJ220" ca="1">IF(ISERROR(_xlfn.SINGLE(_xll.BDP(AJ219, $E220))*1), "-", _xll.BDP(AJ219, $E220))</f>
        <v>-</v>
      </c>
      <c r="AK220" s="46" t="str" cm="1">
        <f t="array" aca="1" ref="AK220" ca="1">IF(ISERROR(_xlfn.SINGLE(_xll.BDP(AK219, $E220))*1), "-", _xll.BDP(AK219, $E220))</f>
        <v>-</v>
      </c>
      <c r="AL220" s="46" t="str" cm="1">
        <f t="array" aca="1" ref="AL220" ca="1">IF(ISERROR(_xlfn.SINGLE(_xll.BDP(AL219, $E220))*1), "-", _xll.BDP(AL219, $E220))</f>
        <v>-</v>
      </c>
      <c r="AM220" s="46" t="str" cm="1">
        <f t="array" aca="1" ref="AM220" ca="1">IF(ISERROR(_xlfn.SINGLE(_xll.BDP(AM219, $E220))*1), "-", _xll.BDP(AM219, $E220))</f>
        <v>-</v>
      </c>
      <c r="AN220" s="46" t="str" cm="1">
        <f t="array" aca="1" ref="AN220" ca="1">IF(ISERROR(_xlfn.SINGLE(_xll.BDP(AN219, $E220))*1), "-", _xll.BDP(AN219, $E220))</f>
        <v>-</v>
      </c>
      <c r="AO220" s="46" t="str" cm="1">
        <f t="array" aca="1" ref="AO220" ca="1">IF(ISERROR(_xlfn.SINGLE(_xll.BDP(AO219, $E220))*1), "-", _xll.BDP(AO219, $E220))</f>
        <v>-</v>
      </c>
      <c r="AP220" s="46" t="str" cm="1">
        <f t="array" aca="1" ref="AP220" ca="1">IF(ISERROR(_xlfn.SINGLE(_xll.BDP(AP219, $E220))*1), "-", _xll.BDP(AP219, $E220))</f>
        <v>-</v>
      </c>
      <c r="AQ220" s="46" t="str" cm="1">
        <f t="array" aca="1" ref="AQ220" ca="1">IF(ISERROR(_xlfn.SINGLE(_xll.BDP(AQ219, $E220))*1), "-", _xll.BDP(AQ219, $E220))</f>
        <v>-</v>
      </c>
      <c r="AR220" s="46" t="str" cm="1">
        <f t="array" aca="1" ref="AR220" ca="1">IF(ISERROR(_xlfn.SINGLE(_xll.BDP(AR219, $E220))*1), "-", _xll.BDP(AR219, $E220))</f>
        <v>-</v>
      </c>
      <c r="AS220" s="46" t="str" cm="1">
        <f t="array" aca="1" ref="AS220" ca="1">IF(ISERROR(_xlfn.SINGLE(_xll.BDP(AS219, $E220))*1), "-", _xll.BDP(AS219, $E220))</f>
        <v>-</v>
      </c>
      <c r="AT220" s="46" t="str" cm="1">
        <f t="array" aca="1" ref="AT220" ca="1">IF(ISERROR(_xlfn.SINGLE(_xll.BDP(AT219, $E220))*1), "-", _xll.BDP(AT219, $E220))</f>
        <v>-</v>
      </c>
      <c r="AU220" s="46" t="str" cm="1">
        <f t="array" aca="1" ref="AU220" ca="1">IF(ISERROR(_xlfn.SINGLE(_xll.BDP(AU219, $E220))*1), "-", _xll.BDP(AU219, $E220))</f>
        <v>-</v>
      </c>
      <c r="AV220" s="46" t="str" cm="1">
        <f t="array" aca="1" ref="AV220" ca="1">IF(ISERROR(_xlfn.SINGLE(_xll.BDP(AV219, $E220))*1), "-", _xll.BDP(AV219, $E220))</f>
        <v>-</v>
      </c>
      <c r="AW220" s="46" t="str" cm="1">
        <f t="array" aca="1" ref="AW220" ca="1">IF(ISERROR(_xlfn.SINGLE(_xll.BDP(AW219, $E220))*1), "-", _xll.BDP(AW219, $E220))</f>
        <v>-</v>
      </c>
      <c r="AX220" s="46" t="str" cm="1">
        <f t="array" aca="1" ref="AX220" ca="1">IF(ISERROR(_xlfn.SINGLE(_xll.BDP(AX219, $E220))*1), "-", _xll.BDP(AX219, $E220))</f>
        <v>-</v>
      </c>
      <c r="AY220" s="46" t="str" cm="1">
        <f t="array" aca="1" ref="AY220" ca="1">IF(ISERROR(_xlfn.SINGLE(_xll.BDP(AY219, $E220))*1), "-", _xll.BDP(AY219, $E220))</f>
        <v>-</v>
      </c>
      <c r="AZ220" s="46" t="str" cm="1">
        <f t="array" aca="1" ref="AZ220" ca="1">IF(ISERROR(_xlfn.SINGLE(_xll.BDP(AZ219, $E220))*1), "-", _xll.BDP(AZ219, $E220))</f>
        <v>-</v>
      </c>
      <c r="BA220" s="47" t="str" cm="1">
        <f t="array" aca="1" ref="BA220" ca="1">IF(ISERROR(_xlfn.SINGLE(_xll.BDP(BA219, $E220))*1), "-", _xll.BDP(BA219, $E220))</f>
        <v>-</v>
      </c>
    </row>
    <row r="221" spans="2:53" ht="15" hidden="1" customHeight="1"/>
    <row r="222" spans="2:53" ht="5.15" customHeight="1"/>
    <row r="223" spans="2:53" ht="15" customHeight="1">
      <c r="B223" s="38" t="s">
        <v>39</v>
      </c>
      <c r="C223" s="140" t="str">
        <f>trans_getMessage("","Curve Number",,LANG_ID)</f>
        <v>Curve Number</v>
      </c>
      <c r="D223" s="141"/>
      <c r="E223" s="142">
        <f>VLOOKUP(B223, 'Currency-Curve List'!$C$9:$E$103, 2, FALSE)</f>
        <v>209</v>
      </c>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4"/>
    </row>
    <row r="224" spans="2:53" ht="15" customHeight="1">
      <c r="C224" s="145" t="str">
        <f>trans_getMessage("","Curve Index",,LANG_ID)</f>
        <v>Curve Index</v>
      </c>
      <c r="D224" s="146"/>
      <c r="E224" s="147" t="str">
        <f>VLOOKUP(B223, 'Currency-Curve List'!$C$9:$E$103, 3, FALSE)</f>
        <v>YCSW0209 Index</v>
      </c>
      <c r="F224" s="148"/>
      <c r="G224" s="148" t="s">
        <v>11</v>
      </c>
      <c r="H224" s="148" t="s">
        <v>2</v>
      </c>
      <c r="I224" s="148" t="s">
        <v>3</v>
      </c>
      <c r="J224" s="148" t="s">
        <v>15</v>
      </c>
      <c r="K224" s="148" t="s">
        <v>5</v>
      </c>
      <c r="L224" s="148" t="s">
        <v>6</v>
      </c>
      <c r="M224" s="148" t="s">
        <v>7</v>
      </c>
      <c r="N224" s="148" t="s">
        <v>8</v>
      </c>
      <c r="O224" s="148" t="s">
        <v>9</v>
      </c>
      <c r="P224" s="148" t="s">
        <v>17</v>
      </c>
      <c r="Q224" s="148" t="s">
        <v>18</v>
      </c>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9"/>
    </row>
    <row r="225" spans="2:53" ht="15" customHeight="1">
      <c r="C225" s="145" t="str">
        <f>trans_getMessage("","Curve Name",,LANG_ID)</f>
        <v>Curve Name</v>
      </c>
      <c r="D225" s="146"/>
      <c r="E225" s="150" t="e" cm="1">
        <f t="array" aca="1" ref="E225" ca="1">_xll.BDP(E224, "NAME")</f>
        <v>#NAME?</v>
      </c>
      <c r="F225" s="151"/>
      <c r="G225" s="151"/>
      <c r="H225" s="151"/>
      <c r="I225" s="151"/>
      <c r="J225" s="151"/>
      <c r="K225" s="151"/>
      <c r="L225" s="151"/>
      <c r="M225" s="151"/>
      <c r="N225" s="151"/>
      <c r="O225" s="151"/>
      <c r="P225" s="151"/>
      <c r="Q225" s="151"/>
      <c r="R225" s="151"/>
      <c r="S225" s="151"/>
      <c r="T225" s="151"/>
      <c r="U225" s="151"/>
      <c r="V225" s="151"/>
      <c r="W225" s="151"/>
      <c r="X225" s="151"/>
      <c r="Y225" s="151"/>
      <c r="Z225" s="151"/>
      <c r="AA225" s="151"/>
      <c r="AB225" s="151"/>
      <c r="AC225" s="151"/>
      <c r="AD225" s="151"/>
      <c r="AE225" s="151"/>
      <c r="AF225" s="151"/>
      <c r="AG225" s="151"/>
      <c r="AH225" s="151"/>
      <c r="AI225" s="151"/>
      <c r="AJ225" s="151"/>
      <c r="AK225" s="151"/>
      <c r="AL225" s="151"/>
      <c r="AM225" s="151"/>
      <c r="AN225" s="151"/>
      <c r="AO225" s="151"/>
      <c r="AP225" s="151"/>
      <c r="AQ225" s="151"/>
      <c r="AR225" s="151"/>
      <c r="AS225" s="151"/>
      <c r="AT225" s="151"/>
      <c r="AU225" s="151"/>
      <c r="AV225" s="151"/>
      <c r="AW225" s="151"/>
      <c r="AX225" s="151"/>
      <c r="AY225" s="151"/>
      <c r="AZ225" s="151"/>
      <c r="BA225" s="152"/>
    </row>
    <row r="226" spans="2:53" ht="15" customHeight="1">
      <c r="C226" s="145" t="str">
        <f>trans_getMessage("","Tenors",,LANG_ID)</f>
        <v>Tenors</v>
      </c>
      <c r="D226" s="146"/>
      <c r="E226" s="48" t="s">
        <v>50</v>
      </c>
      <c r="F226" s="42" t="e" cm="1">
        <f t="array" aca="1" ref="F226" ca="1">_xll.BDS(E224,E226,"Dir=H",)</f>
        <v>#NAME?</v>
      </c>
      <c r="G226" s="42"/>
      <c r="H226" s="42"/>
      <c r="I226" s="42"/>
      <c r="J226" s="42"/>
      <c r="K226" s="42"/>
      <c r="L226" s="42"/>
      <c r="M226" s="42"/>
      <c r="N226" s="42"/>
      <c r="O226" s="42"/>
      <c r="P226" s="42"/>
      <c r="Q226" s="42"/>
      <c r="R226" s="42"/>
      <c r="S226" s="42"/>
      <c r="T226" s="42"/>
      <c r="U226" s="42"/>
      <c r="V226" s="42"/>
      <c r="W226" s="42"/>
      <c r="X226" s="42"/>
      <c r="Y226" s="42"/>
      <c r="Z226" s="42"/>
      <c r="AA226" s="42"/>
      <c r="AB226" s="42"/>
      <c r="AC226" s="42"/>
      <c r="AD226" s="42"/>
      <c r="AE226" s="42"/>
      <c r="AF226" s="42"/>
      <c r="AG226" s="42"/>
      <c r="AH226" s="42"/>
      <c r="AI226" s="42"/>
      <c r="AJ226" s="42"/>
      <c r="AK226" s="42"/>
      <c r="AL226" s="42"/>
      <c r="AM226" s="42"/>
      <c r="AN226" s="42"/>
      <c r="AO226" s="42"/>
      <c r="AP226" s="42"/>
      <c r="AQ226" s="42"/>
      <c r="AR226" s="42"/>
      <c r="AS226" s="42"/>
      <c r="AT226" s="42"/>
      <c r="AU226" s="42"/>
      <c r="AV226" s="42"/>
      <c r="AW226" s="42"/>
      <c r="AX226" s="42"/>
      <c r="AY226" s="42"/>
      <c r="AZ226" s="42"/>
      <c r="BA226" s="44"/>
    </row>
    <row r="227" spans="2:53" ht="15" hidden="1" customHeight="1">
      <c r="C227" s="145" t="s">
        <v>2211</v>
      </c>
      <c r="D227" s="146"/>
      <c r="E227" s="48"/>
      <c r="F227" s="42" t="e">
        <f ca="1">IF(F226="","",IF(F226="12M","1Y",IF(F226="24M","2Y",F226)))</f>
        <v>#NAME?</v>
      </c>
      <c r="G227" s="42" t="str">
        <f t="shared" ref="G227" si="941">IF(G226="","",IF(G226="12M","1Y",IF(G226="24M","2Y",G226)))</f>
        <v/>
      </c>
      <c r="H227" s="42" t="str">
        <f t="shared" ref="H227" si="942">IF(H226="","",IF(H226="12M","1Y",IF(H226="24M","2Y",H226)))</f>
        <v/>
      </c>
      <c r="I227" s="42" t="str">
        <f t="shared" ref="I227" si="943">IF(I226="","",IF(I226="12M","1Y",IF(I226="24M","2Y",I226)))</f>
        <v/>
      </c>
      <c r="J227" s="42" t="str">
        <f t="shared" ref="J227" si="944">IF(J226="","",IF(J226="12M","1Y",IF(J226="24M","2Y",J226)))</f>
        <v/>
      </c>
      <c r="K227" s="42" t="str">
        <f t="shared" ref="K227" si="945">IF(K226="","",IF(K226="12M","1Y",IF(K226="24M","2Y",K226)))</f>
        <v/>
      </c>
      <c r="L227" s="42" t="str">
        <f t="shared" ref="L227" si="946">IF(L226="","",IF(L226="12M","1Y",IF(L226="24M","2Y",L226)))</f>
        <v/>
      </c>
      <c r="M227" s="42" t="str">
        <f t="shared" ref="M227" si="947">IF(M226="","",IF(M226="12M","1Y",IF(M226="24M","2Y",M226)))</f>
        <v/>
      </c>
      <c r="N227" s="42" t="str">
        <f t="shared" ref="N227" si="948">IF(N226="","",IF(N226="12M","1Y",IF(N226="24M","2Y",N226)))</f>
        <v/>
      </c>
      <c r="O227" s="42" t="str">
        <f t="shared" ref="O227" si="949">IF(O226="","",IF(O226="12M","1Y",IF(O226="24M","2Y",O226)))</f>
        <v/>
      </c>
      <c r="P227" s="42" t="str">
        <f t="shared" ref="P227" si="950">IF(P226="","",IF(P226="12M","1Y",IF(P226="24M","2Y",P226)))</f>
        <v/>
      </c>
      <c r="Q227" s="42" t="str">
        <f t="shared" ref="Q227" si="951">IF(Q226="","",IF(Q226="12M","1Y",IF(Q226="24M","2Y",Q226)))</f>
        <v/>
      </c>
      <c r="R227" s="42" t="str">
        <f t="shared" ref="R227" si="952">IF(R226="","",IF(R226="12M","1Y",IF(R226="24M","2Y",R226)))</f>
        <v/>
      </c>
      <c r="S227" s="42" t="str">
        <f t="shared" ref="S227" si="953">IF(S226="","",IF(S226="12M","1Y",IF(S226="24M","2Y",S226)))</f>
        <v/>
      </c>
      <c r="T227" s="42" t="str">
        <f t="shared" ref="T227" si="954">IF(T226="","",IF(T226="12M","1Y",IF(T226="24M","2Y",T226)))</f>
        <v/>
      </c>
      <c r="U227" s="42" t="str">
        <f t="shared" ref="U227" si="955">IF(U226="","",IF(U226="12M","1Y",IF(U226="24M","2Y",U226)))</f>
        <v/>
      </c>
      <c r="V227" s="42" t="str">
        <f t="shared" ref="V227" si="956">IF(V226="","",IF(V226="12M","1Y",IF(V226="24M","2Y",V226)))</f>
        <v/>
      </c>
      <c r="W227" s="42" t="str">
        <f t="shared" ref="W227" si="957">IF(W226="","",IF(W226="12M","1Y",IF(W226="24M","2Y",W226)))</f>
        <v/>
      </c>
      <c r="X227" s="42" t="str">
        <f t="shared" ref="X227" si="958">IF(X226="","",IF(X226="12M","1Y",IF(X226="24M","2Y",X226)))</f>
        <v/>
      </c>
      <c r="Y227" s="42" t="str">
        <f t="shared" ref="Y227" si="959">IF(Y226="","",IF(Y226="12M","1Y",IF(Y226="24M","2Y",Y226)))</f>
        <v/>
      </c>
      <c r="Z227" s="42" t="str">
        <f t="shared" ref="Z227" si="960">IF(Z226="","",IF(Z226="12M","1Y",IF(Z226="24M","2Y",Z226)))</f>
        <v/>
      </c>
      <c r="AA227" s="42" t="str">
        <f t="shared" ref="AA227" si="961">IF(AA226="","",IF(AA226="12M","1Y",IF(AA226="24M","2Y",AA226)))</f>
        <v/>
      </c>
      <c r="AB227" s="42" t="str">
        <f t="shared" ref="AB227" si="962">IF(AB226="","",IF(AB226="12M","1Y",IF(AB226="24M","2Y",AB226)))</f>
        <v/>
      </c>
      <c r="AC227" s="42" t="str">
        <f t="shared" ref="AC227" si="963">IF(AC226="","",IF(AC226="12M","1Y",IF(AC226="24M","2Y",AC226)))</f>
        <v/>
      </c>
      <c r="AD227" s="42" t="str">
        <f t="shared" ref="AD227" si="964">IF(AD226="","",IF(AD226="12M","1Y",IF(AD226="24M","2Y",AD226)))</f>
        <v/>
      </c>
      <c r="AE227" s="42" t="str">
        <f t="shared" ref="AE227" si="965">IF(AE226="","",IF(AE226="12M","1Y",IF(AE226="24M","2Y",AE226)))</f>
        <v/>
      </c>
      <c r="AF227" s="42" t="str">
        <f t="shared" ref="AF227" si="966">IF(AF226="","",IF(AF226="12M","1Y",IF(AF226="24M","2Y",AF226)))</f>
        <v/>
      </c>
      <c r="AG227" s="42" t="str">
        <f t="shared" ref="AG227" si="967">IF(AG226="","",IF(AG226="12M","1Y",IF(AG226="24M","2Y",AG226)))</f>
        <v/>
      </c>
      <c r="AH227" s="42" t="str">
        <f t="shared" ref="AH227" si="968">IF(AH226="","",IF(AH226="12M","1Y",IF(AH226="24M","2Y",AH226)))</f>
        <v/>
      </c>
      <c r="AI227" s="42" t="str">
        <f t="shared" ref="AI227" si="969">IF(AI226="","",IF(AI226="12M","1Y",IF(AI226="24M","2Y",AI226)))</f>
        <v/>
      </c>
      <c r="AJ227" s="42" t="str">
        <f t="shared" ref="AJ227" si="970">IF(AJ226="","",IF(AJ226="12M","1Y",IF(AJ226="24M","2Y",AJ226)))</f>
        <v/>
      </c>
      <c r="AK227" s="42" t="str">
        <f t="shared" ref="AK227" si="971">IF(AK226="","",IF(AK226="12M","1Y",IF(AK226="24M","2Y",AK226)))</f>
        <v/>
      </c>
      <c r="AL227" s="42" t="str">
        <f t="shared" ref="AL227" si="972">IF(AL226="","",IF(AL226="12M","1Y",IF(AL226="24M","2Y",AL226)))</f>
        <v/>
      </c>
      <c r="AM227" s="42" t="str">
        <f t="shared" ref="AM227" si="973">IF(AM226="","",IF(AM226="12M","1Y",IF(AM226="24M","2Y",AM226)))</f>
        <v/>
      </c>
      <c r="AN227" s="42" t="str">
        <f t="shared" ref="AN227" si="974">IF(AN226="","",IF(AN226="12M","1Y",IF(AN226="24M","2Y",AN226)))</f>
        <v/>
      </c>
      <c r="AO227" s="42" t="str">
        <f t="shared" ref="AO227" si="975">IF(AO226="","",IF(AO226="12M","1Y",IF(AO226="24M","2Y",AO226)))</f>
        <v/>
      </c>
      <c r="AP227" s="42" t="str">
        <f t="shared" ref="AP227" si="976">IF(AP226="","",IF(AP226="12M","1Y",IF(AP226="24M","2Y",AP226)))</f>
        <v/>
      </c>
      <c r="AQ227" s="42" t="str">
        <f t="shared" ref="AQ227" si="977">IF(AQ226="","",IF(AQ226="12M","1Y",IF(AQ226="24M","2Y",AQ226)))</f>
        <v/>
      </c>
      <c r="AR227" s="42" t="str">
        <f t="shared" ref="AR227" si="978">IF(AR226="","",IF(AR226="12M","1Y",IF(AR226="24M","2Y",AR226)))</f>
        <v/>
      </c>
      <c r="AS227" s="42" t="str">
        <f t="shared" ref="AS227" si="979">IF(AS226="","",IF(AS226="12M","1Y",IF(AS226="24M","2Y",AS226)))</f>
        <v/>
      </c>
      <c r="AT227" s="42" t="str">
        <f t="shared" ref="AT227" si="980">IF(AT226="","",IF(AT226="12M","1Y",IF(AT226="24M","2Y",AT226)))</f>
        <v/>
      </c>
      <c r="AU227" s="42" t="str">
        <f t="shared" ref="AU227" si="981">IF(AU226="","",IF(AU226="12M","1Y",IF(AU226="24M","2Y",AU226)))</f>
        <v/>
      </c>
      <c r="AV227" s="42" t="str">
        <f t="shared" ref="AV227" si="982">IF(AV226="","",IF(AV226="12M","1Y",IF(AV226="24M","2Y",AV226)))</f>
        <v/>
      </c>
      <c r="AW227" s="42" t="str">
        <f t="shared" ref="AW227" si="983">IF(AW226="","",IF(AW226="12M","1Y",IF(AW226="24M","2Y",AW226)))</f>
        <v/>
      </c>
      <c r="AX227" s="42" t="str">
        <f t="shared" ref="AX227" si="984">IF(AX226="","",IF(AX226="12M","1Y",IF(AX226="24M","2Y",AX226)))</f>
        <v/>
      </c>
      <c r="AY227" s="42" t="str">
        <f t="shared" ref="AY227" si="985">IF(AY226="","",IF(AY226="12M","1Y",IF(AY226="24M","2Y",AY226)))</f>
        <v/>
      </c>
      <c r="AZ227" s="42" t="str">
        <f t="shared" ref="AZ227" si="986">IF(AZ226="","",IF(AZ226="12M","1Y",IF(AZ226="24M","2Y",AZ226)))</f>
        <v/>
      </c>
      <c r="BA227" s="42" t="str">
        <f t="shared" ref="BA227" si="987">IF(BA226="","",IF(BA226="12M","1Y",IF(BA226="24M","2Y",BA226)))</f>
        <v/>
      </c>
    </row>
    <row r="228" spans="2:53" s="41" customFormat="1" ht="15" customHeight="1">
      <c r="B228" s="7"/>
      <c r="C228" s="153" t="str">
        <f>trans_getMessage("","Name",,LANG_ID)</f>
        <v>Name</v>
      </c>
      <c r="D228" s="154"/>
      <c r="E228" s="49" t="s">
        <v>49</v>
      </c>
      <c r="F228" s="43" t="e" cm="1">
        <f t="array" aca="1" ref="F228" ca="1">IF(LEFT(_xlfn.SINGLE(_xll.BDP(F229, $E228)),1)="#", "-", _xll.BDP(F229, $E228))</f>
        <v>#NAME?</v>
      </c>
      <c r="G228" s="43" t="e" cm="1">
        <f t="array" aca="1" ref="G228" ca="1">IF(LEFT(_xlfn.SINGLE(_xll.BDP(G229, $E228)),1)="#", "-", _xll.BDP(G229, $E228))</f>
        <v>#NAME?</v>
      </c>
      <c r="H228" s="43" t="e" cm="1">
        <f t="array" aca="1" ref="H228" ca="1">IF(LEFT(_xlfn.SINGLE(_xll.BDP(H229, $E228)),1)="#", "-", _xll.BDP(H229, $E228))</f>
        <v>#NAME?</v>
      </c>
      <c r="I228" s="43" t="e" cm="1">
        <f t="array" aca="1" ref="I228" ca="1">IF(LEFT(_xlfn.SINGLE(_xll.BDP(I229, $E228)),1)="#", "-", _xll.BDP(I229, $E228))</f>
        <v>#NAME?</v>
      </c>
      <c r="J228" s="43" t="e" cm="1">
        <f t="array" aca="1" ref="J228" ca="1">IF(LEFT(_xlfn.SINGLE(_xll.BDP(J229, $E228)),1)="#", "-", _xll.BDP(J229, $E228))</f>
        <v>#NAME?</v>
      </c>
      <c r="K228" s="43" t="e" cm="1">
        <f t="array" aca="1" ref="K228" ca="1">IF(LEFT(_xlfn.SINGLE(_xll.BDP(K229, $E228)),1)="#", "-", _xll.BDP(K229, $E228))</f>
        <v>#NAME?</v>
      </c>
      <c r="L228" s="43" t="e" cm="1">
        <f t="array" aca="1" ref="L228" ca="1">IF(LEFT(_xlfn.SINGLE(_xll.BDP(L229, $E228)),1)="#", "-", _xll.BDP(L229, $E228))</f>
        <v>#NAME?</v>
      </c>
      <c r="M228" s="43" t="e" cm="1">
        <f t="array" aca="1" ref="M228" ca="1">IF(LEFT(_xlfn.SINGLE(_xll.BDP(M229, $E228)),1)="#", "-", _xll.BDP(M229, $E228))</f>
        <v>#NAME?</v>
      </c>
      <c r="N228" s="43" t="e" cm="1">
        <f t="array" aca="1" ref="N228" ca="1">IF(LEFT(_xlfn.SINGLE(_xll.BDP(N229, $E228)),1)="#", "-", _xll.BDP(N229, $E228))</f>
        <v>#NAME?</v>
      </c>
      <c r="O228" s="43" t="e" cm="1">
        <f t="array" aca="1" ref="O228" ca="1">IF(LEFT(_xlfn.SINGLE(_xll.BDP(O229, $E228)),1)="#", "-", _xll.BDP(O229, $E228))</f>
        <v>#NAME?</v>
      </c>
      <c r="P228" s="43" t="e" cm="1">
        <f t="array" aca="1" ref="P228" ca="1">IF(LEFT(_xlfn.SINGLE(_xll.BDP(P229, $E228)),1)="#", "-", _xll.BDP(P229, $E228))</f>
        <v>#NAME?</v>
      </c>
      <c r="Q228" s="43" t="e" cm="1">
        <f t="array" aca="1" ref="Q228" ca="1">IF(LEFT(_xlfn.SINGLE(_xll.BDP(Q229, $E228)),1)="#", "-", _xll.BDP(Q229, $E228))</f>
        <v>#NAME?</v>
      </c>
      <c r="R228" s="43" t="e" cm="1">
        <f t="array" aca="1" ref="R228" ca="1">IF(LEFT(_xlfn.SINGLE(_xll.BDP(R229, $E228)),1)="#", "-", _xll.BDP(R229, $E228))</f>
        <v>#NAME?</v>
      </c>
      <c r="S228" s="43" t="e" cm="1">
        <f t="array" aca="1" ref="S228" ca="1">IF(LEFT(_xlfn.SINGLE(_xll.BDP(S229, $E228)),1)="#", "-", _xll.BDP(S229, $E228))</f>
        <v>#NAME?</v>
      </c>
      <c r="T228" s="43" t="e" cm="1">
        <f t="array" aca="1" ref="T228" ca="1">IF(LEFT(_xlfn.SINGLE(_xll.BDP(T229, $E228)),1)="#", "-", _xll.BDP(T229, $E228))</f>
        <v>#NAME?</v>
      </c>
      <c r="U228" s="43" t="e" cm="1">
        <f t="array" aca="1" ref="U228" ca="1">IF(LEFT(_xlfn.SINGLE(_xll.BDP(U229, $E228)),1)="#", "-", _xll.BDP(U229, $E228))</f>
        <v>#NAME?</v>
      </c>
      <c r="V228" s="43" t="e" cm="1">
        <f t="array" aca="1" ref="V228" ca="1">IF(LEFT(_xlfn.SINGLE(_xll.BDP(V229, $E228)),1)="#", "-", _xll.BDP(V229, $E228))</f>
        <v>#NAME?</v>
      </c>
      <c r="W228" s="43" t="e" cm="1">
        <f t="array" aca="1" ref="W228" ca="1">IF(LEFT(_xlfn.SINGLE(_xll.BDP(W229, $E228)),1)="#", "-", _xll.BDP(W229, $E228))</f>
        <v>#NAME?</v>
      </c>
      <c r="X228" s="43" t="e" cm="1">
        <f t="array" aca="1" ref="X228" ca="1">IF(LEFT(_xlfn.SINGLE(_xll.BDP(X229, $E228)),1)="#", "-", _xll.BDP(X229, $E228))</f>
        <v>#NAME?</v>
      </c>
      <c r="Y228" s="43" t="e" cm="1">
        <f t="array" aca="1" ref="Y228" ca="1">IF(LEFT(_xlfn.SINGLE(_xll.BDP(Y229, $E228)),1)="#", "-", _xll.BDP(Y229, $E228))</f>
        <v>#NAME?</v>
      </c>
      <c r="Z228" s="43" t="e" cm="1">
        <f t="array" aca="1" ref="Z228" ca="1">IF(LEFT(_xlfn.SINGLE(_xll.BDP(Z229, $E228)),1)="#", "-", _xll.BDP(Z229, $E228))</f>
        <v>#NAME?</v>
      </c>
      <c r="AA228" s="43" t="e" cm="1">
        <f t="array" aca="1" ref="AA228" ca="1">IF(LEFT(_xlfn.SINGLE(_xll.BDP(AA229, $E228)),1)="#", "-", _xll.BDP(AA229, $E228))</f>
        <v>#NAME?</v>
      </c>
      <c r="AB228" s="43" t="e" cm="1">
        <f t="array" aca="1" ref="AB228" ca="1">IF(LEFT(_xlfn.SINGLE(_xll.BDP(AB229, $E228)),1)="#", "-", _xll.BDP(AB229, $E228))</f>
        <v>#NAME?</v>
      </c>
      <c r="AC228" s="43" t="e" cm="1">
        <f t="array" aca="1" ref="AC228" ca="1">IF(LEFT(_xlfn.SINGLE(_xll.BDP(AC229, $E228)),1)="#", "-", _xll.BDP(AC229, $E228))</f>
        <v>#NAME?</v>
      </c>
      <c r="AD228" s="43" t="e" cm="1">
        <f t="array" aca="1" ref="AD228" ca="1">IF(LEFT(_xlfn.SINGLE(_xll.BDP(AD229, $E228)),1)="#", "-", _xll.BDP(AD229, $E228))</f>
        <v>#NAME?</v>
      </c>
      <c r="AE228" s="43" t="e" cm="1">
        <f t="array" aca="1" ref="AE228" ca="1">IF(LEFT(_xlfn.SINGLE(_xll.BDP(AE229, $E228)),1)="#", "-", _xll.BDP(AE229, $E228))</f>
        <v>#NAME?</v>
      </c>
      <c r="AF228" s="43" t="e" cm="1">
        <f t="array" aca="1" ref="AF228" ca="1">IF(LEFT(_xlfn.SINGLE(_xll.BDP(AF229, $E228)),1)="#", "-", _xll.BDP(AF229, $E228))</f>
        <v>#NAME?</v>
      </c>
      <c r="AG228" s="43" t="e" cm="1">
        <f t="array" aca="1" ref="AG228" ca="1">IF(LEFT(_xlfn.SINGLE(_xll.BDP(AG229, $E228)),1)="#", "-", _xll.BDP(AG229, $E228))</f>
        <v>#NAME?</v>
      </c>
      <c r="AH228" s="43" t="e" cm="1">
        <f t="array" aca="1" ref="AH228" ca="1">IF(LEFT(_xlfn.SINGLE(_xll.BDP(AH229, $E228)),1)="#", "-", _xll.BDP(AH229, $E228))</f>
        <v>#NAME?</v>
      </c>
      <c r="AI228" s="43" t="e" cm="1">
        <f t="array" aca="1" ref="AI228" ca="1">IF(LEFT(_xlfn.SINGLE(_xll.BDP(AI229, $E228)),1)="#", "-", _xll.BDP(AI229, $E228))</f>
        <v>#NAME?</v>
      </c>
      <c r="AJ228" s="43" t="e" cm="1">
        <f t="array" aca="1" ref="AJ228" ca="1">IF(LEFT(_xlfn.SINGLE(_xll.BDP(AJ229, $E228)),1)="#", "-", _xll.BDP(AJ229, $E228))</f>
        <v>#NAME?</v>
      </c>
      <c r="AK228" s="43" t="e" cm="1">
        <f t="array" aca="1" ref="AK228" ca="1">IF(LEFT(_xlfn.SINGLE(_xll.BDP(AK229, $E228)),1)="#", "-", _xll.BDP(AK229, $E228))</f>
        <v>#NAME?</v>
      </c>
      <c r="AL228" s="43" t="e" cm="1">
        <f t="array" aca="1" ref="AL228" ca="1">IF(LEFT(_xlfn.SINGLE(_xll.BDP(AL229, $E228)),1)="#", "-", _xll.BDP(AL229, $E228))</f>
        <v>#NAME?</v>
      </c>
      <c r="AM228" s="43" t="e" cm="1">
        <f t="array" aca="1" ref="AM228" ca="1">IF(LEFT(_xlfn.SINGLE(_xll.BDP(AM229, $E228)),1)="#", "-", _xll.BDP(AM229, $E228))</f>
        <v>#NAME?</v>
      </c>
      <c r="AN228" s="43" t="e" cm="1">
        <f t="array" aca="1" ref="AN228" ca="1">IF(LEFT(_xlfn.SINGLE(_xll.BDP(AN229, $E228)),1)="#", "-", _xll.BDP(AN229, $E228))</f>
        <v>#NAME?</v>
      </c>
      <c r="AO228" s="43" t="e" cm="1">
        <f t="array" aca="1" ref="AO228" ca="1">IF(LEFT(_xlfn.SINGLE(_xll.BDP(AO229, $E228)),1)="#", "-", _xll.BDP(AO229, $E228))</f>
        <v>#NAME?</v>
      </c>
      <c r="AP228" s="43" t="e" cm="1">
        <f t="array" aca="1" ref="AP228" ca="1">IF(LEFT(_xlfn.SINGLE(_xll.BDP(AP229, $E228)),1)="#", "-", _xll.BDP(AP229, $E228))</f>
        <v>#NAME?</v>
      </c>
      <c r="AQ228" s="43" t="e" cm="1">
        <f t="array" aca="1" ref="AQ228" ca="1">IF(LEFT(_xlfn.SINGLE(_xll.BDP(AQ229, $E228)),1)="#", "-", _xll.BDP(AQ229, $E228))</f>
        <v>#NAME?</v>
      </c>
      <c r="AR228" s="43" t="e" cm="1">
        <f t="array" aca="1" ref="AR228" ca="1">IF(LEFT(_xlfn.SINGLE(_xll.BDP(AR229, $E228)),1)="#", "-", _xll.BDP(AR229, $E228))</f>
        <v>#NAME?</v>
      </c>
      <c r="AS228" s="43" t="e" cm="1">
        <f t="array" aca="1" ref="AS228" ca="1">IF(LEFT(_xlfn.SINGLE(_xll.BDP(AS229, $E228)),1)="#", "-", _xll.BDP(AS229, $E228))</f>
        <v>#NAME?</v>
      </c>
      <c r="AT228" s="43" t="e" cm="1">
        <f t="array" aca="1" ref="AT228" ca="1">IF(LEFT(_xlfn.SINGLE(_xll.BDP(AT229, $E228)),1)="#", "-", _xll.BDP(AT229, $E228))</f>
        <v>#NAME?</v>
      </c>
      <c r="AU228" s="43" t="e" cm="1">
        <f t="array" aca="1" ref="AU228" ca="1">IF(LEFT(_xlfn.SINGLE(_xll.BDP(AU229, $E228)),1)="#", "-", _xll.BDP(AU229, $E228))</f>
        <v>#NAME?</v>
      </c>
      <c r="AV228" s="43" t="e" cm="1">
        <f t="array" aca="1" ref="AV228" ca="1">IF(LEFT(_xlfn.SINGLE(_xll.BDP(AV229, $E228)),1)="#", "-", _xll.BDP(AV229, $E228))</f>
        <v>#NAME?</v>
      </c>
      <c r="AW228" s="43" t="e" cm="1">
        <f t="array" aca="1" ref="AW228" ca="1">IF(LEFT(_xlfn.SINGLE(_xll.BDP(AW229, $E228)),1)="#", "-", _xll.BDP(AW229, $E228))</f>
        <v>#NAME?</v>
      </c>
      <c r="AX228" s="43" t="e" cm="1">
        <f t="array" aca="1" ref="AX228" ca="1">IF(LEFT(_xlfn.SINGLE(_xll.BDP(AX229, $E228)),1)="#", "-", _xll.BDP(AX229, $E228))</f>
        <v>#NAME?</v>
      </c>
      <c r="AY228" s="43" t="e" cm="1">
        <f t="array" aca="1" ref="AY228" ca="1">IF(LEFT(_xlfn.SINGLE(_xll.BDP(AY229, $E228)),1)="#", "-", _xll.BDP(AY229, $E228))</f>
        <v>#NAME?</v>
      </c>
      <c r="AZ228" s="43" t="e" cm="1">
        <f t="array" aca="1" ref="AZ228" ca="1">IF(LEFT(_xlfn.SINGLE(_xll.BDP(AZ229, $E228)),1)="#", "-", _xll.BDP(AZ229, $E228))</f>
        <v>#NAME?</v>
      </c>
      <c r="BA228" s="45" t="e" cm="1">
        <f t="array" aca="1" ref="BA228" ca="1">IF(LEFT(_xlfn.SINGLE(_xll.BDP(BA229, $E228)),1)="#", "-", _xll.BDP(BA229, $E228))</f>
        <v>#NAME?</v>
      </c>
    </row>
    <row r="229" spans="2:53" ht="15" customHeight="1">
      <c r="B229" s="40"/>
      <c r="C229" s="145" t="str">
        <f>trans_getMessage("","Curve Tickers",,LANG_ID)</f>
        <v>Curve Tickers</v>
      </c>
      <c r="D229" s="146"/>
      <c r="E229" s="50" t="s">
        <v>46</v>
      </c>
      <c r="F229" s="42" t="e" cm="1">
        <f t="array" aca="1" ref="F229" ca="1">_xll.BDS(E224,E229,"Dir=H",)</f>
        <v>#NAME?</v>
      </c>
      <c r="G229" s="42"/>
      <c r="H229" s="42"/>
      <c r="I229" s="42"/>
      <c r="J229" s="42"/>
      <c r="K229" s="42"/>
      <c r="L229" s="42"/>
      <c r="M229" s="42"/>
      <c r="N229" s="42"/>
      <c r="O229" s="42"/>
      <c r="P229" s="42"/>
      <c r="Q229" s="42"/>
      <c r="R229" s="42"/>
      <c r="S229" s="42"/>
      <c r="T229" s="42"/>
      <c r="U229" s="42"/>
      <c r="V229" s="42"/>
      <c r="W229" s="42"/>
      <c r="X229" s="42"/>
      <c r="Y229" s="42"/>
      <c r="Z229" s="42"/>
      <c r="AA229" s="42"/>
      <c r="AB229" s="42"/>
      <c r="AC229" s="42"/>
      <c r="AD229" s="42"/>
      <c r="AE229" s="42"/>
      <c r="AF229" s="42"/>
      <c r="AG229" s="42"/>
      <c r="AH229" s="42"/>
      <c r="AI229" s="42"/>
      <c r="AJ229" s="42"/>
      <c r="AK229" s="42"/>
      <c r="AL229" s="42"/>
      <c r="AM229" s="42"/>
      <c r="AN229" s="42"/>
      <c r="AO229" s="42"/>
      <c r="AP229" s="42"/>
      <c r="AQ229" s="42"/>
      <c r="AR229" s="42"/>
      <c r="AS229" s="42"/>
      <c r="AT229" s="42"/>
      <c r="AU229" s="42"/>
      <c r="AV229" s="42"/>
      <c r="AW229" s="42"/>
      <c r="AX229" s="42"/>
      <c r="AY229" s="42"/>
      <c r="AZ229" s="42"/>
      <c r="BA229" s="44"/>
    </row>
    <row r="230" spans="2:53" ht="15" customHeight="1">
      <c r="C230" s="138" t="str">
        <f>trans_getMessage("","Rate",,LANG_ID)</f>
        <v>Rate</v>
      </c>
      <c r="D230" s="139"/>
      <c r="E230" s="51" t="s">
        <v>44</v>
      </c>
      <c r="F230" s="46" t="str" cm="1">
        <f t="array" aca="1" ref="F230" ca="1">IF(ISERROR(_xlfn.SINGLE(_xll.BDP(F229, $E230))*1), "-", _xll.BDP(F229, $E230))</f>
        <v>-</v>
      </c>
      <c r="G230" s="46" t="str" cm="1">
        <f t="array" aca="1" ref="G230" ca="1">IF(ISERROR(_xlfn.SINGLE(_xll.BDP(G229, $E230))*1), "-", _xll.BDP(G229, $E230))</f>
        <v>-</v>
      </c>
      <c r="H230" s="46" t="str" cm="1">
        <f t="array" aca="1" ref="H230" ca="1">IF(ISERROR(_xlfn.SINGLE(_xll.BDP(H229, $E230))*1), "-", _xll.BDP(H229, $E230))</f>
        <v>-</v>
      </c>
      <c r="I230" s="46" t="str" cm="1">
        <f t="array" aca="1" ref="I230" ca="1">IF(ISERROR(_xlfn.SINGLE(_xll.BDP(I229, $E230))*1), "-", _xll.BDP(I229, $E230))</f>
        <v>-</v>
      </c>
      <c r="J230" s="46" t="str" cm="1">
        <f t="array" aca="1" ref="J230" ca="1">IF(ISERROR(_xlfn.SINGLE(_xll.BDP(J229, $E230))*1), "-", _xll.BDP(J229, $E230))</f>
        <v>-</v>
      </c>
      <c r="K230" s="46" t="str" cm="1">
        <f t="array" aca="1" ref="K230" ca="1">IF(ISERROR(_xlfn.SINGLE(_xll.BDP(K229, $E230))*1), "-", _xll.BDP(K229, $E230))</f>
        <v>-</v>
      </c>
      <c r="L230" s="46" t="str" cm="1">
        <f t="array" aca="1" ref="L230" ca="1">IF(ISERROR(_xlfn.SINGLE(_xll.BDP(L229, $E230))*1), "-", _xll.BDP(L229, $E230))</f>
        <v>-</v>
      </c>
      <c r="M230" s="46" t="str" cm="1">
        <f t="array" aca="1" ref="M230" ca="1">IF(ISERROR(_xlfn.SINGLE(_xll.BDP(M229, $E230))*1), "-", _xll.BDP(M229, $E230))</f>
        <v>-</v>
      </c>
      <c r="N230" s="46" t="str" cm="1">
        <f t="array" aca="1" ref="N230" ca="1">IF(ISERROR(_xlfn.SINGLE(_xll.BDP(N229, $E230))*1), "-", _xll.BDP(N229, $E230))</f>
        <v>-</v>
      </c>
      <c r="O230" s="46" t="str" cm="1">
        <f t="array" aca="1" ref="O230" ca="1">IF(ISERROR(_xlfn.SINGLE(_xll.BDP(O229, $E230))*1), "-", _xll.BDP(O229, $E230))</f>
        <v>-</v>
      </c>
      <c r="P230" s="46" t="str" cm="1">
        <f t="array" aca="1" ref="P230" ca="1">IF(ISERROR(_xlfn.SINGLE(_xll.BDP(P229, $E230))*1), "-", _xll.BDP(P229, $E230))</f>
        <v>-</v>
      </c>
      <c r="Q230" s="46" t="str" cm="1">
        <f t="array" aca="1" ref="Q230" ca="1">IF(ISERROR(_xlfn.SINGLE(_xll.BDP(Q229, $E230))*1), "-", _xll.BDP(Q229, $E230))</f>
        <v>-</v>
      </c>
      <c r="R230" s="46" t="str" cm="1">
        <f t="array" aca="1" ref="R230" ca="1">IF(ISERROR(_xlfn.SINGLE(_xll.BDP(R229, $E230))*1), "-", _xll.BDP(R229, $E230))</f>
        <v>-</v>
      </c>
      <c r="S230" s="46" t="str" cm="1">
        <f t="array" aca="1" ref="S230" ca="1">IF(ISERROR(_xlfn.SINGLE(_xll.BDP(S229, $E230))*1), "-", _xll.BDP(S229, $E230))</f>
        <v>-</v>
      </c>
      <c r="T230" s="46" t="str" cm="1">
        <f t="array" aca="1" ref="T230" ca="1">IF(ISERROR(_xlfn.SINGLE(_xll.BDP(T229, $E230))*1), "-", _xll.BDP(T229, $E230))</f>
        <v>-</v>
      </c>
      <c r="U230" s="46" t="str" cm="1">
        <f t="array" aca="1" ref="U230" ca="1">IF(ISERROR(_xlfn.SINGLE(_xll.BDP(U229, $E230))*1), "-", _xll.BDP(U229, $E230))</f>
        <v>-</v>
      </c>
      <c r="V230" s="46" t="str" cm="1">
        <f t="array" aca="1" ref="V230" ca="1">IF(ISERROR(_xlfn.SINGLE(_xll.BDP(V229, $E230))*1), "-", _xll.BDP(V229, $E230))</f>
        <v>-</v>
      </c>
      <c r="W230" s="46" t="str" cm="1">
        <f t="array" aca="1" ref="W230" ca="1">IF(ISERROR(_xlfn.SINGLE(_xll.BDP(W229, $E230))*1), "-", _xll.BDP(W229, $E230))</f>
        <v>-</v>
      </c>
      <c r="X230" s="46" t="str" cm="1">
        <f t="array" aca="1" ref="X230" ca="1">IF(ISERROR(_xlfn.SINGLE(_xll.BDP(X229, $E230))*1), "-", _xll.BDP(X229, $E230))</f>
        <v>-</v>
      </c>
      <c r="Y230" s="46" t="str" cm="1">
        <f t="array" aca="1" ref="Y230" ca="1">IF(ISERROR(_xlfn.SINGLE(_xll.BDP(Y229, $E230))*1), "-", _xll.BDP(Y229, $E230))</f>
        <v>-</v>
      </c>
      <c r="Z230" s="46" t="str" cm="1">
        <f t="array" aca="1" ref="Z230" ca="1">IF(ISERROR(_xlfn.SINGLE(_xll.BDP(Z229, $E230))*1), "-", _xll.BDP(Z229, $E230))</f>
        <v>-</v>
      </c>
      <c r="AA230" s="46" t="str" cm="1">
        <f t="array" aca="1" ref="AA230" ca="1">IF(ISERROR(_xlfn.SINGLE(_xll.BDP(AA229, $E230))*1), "-", _xll.BDP(AA229, $E230))</f>
        <v>-</v>
      </c>
      <c r="AB230" s="46" t="str" cm="1">
        <f t="array" aca="1" ref="AB230" ca="1">IF(ISERROR(_xlfn.SINGLE(_xll.BDP(AB229, $E230))*1), "-", _xll.BDP(AB229, $E230))</f>
        <v>-</v>
      </c>
      <c r="AC230" s="46" t="str" cm="1">
        <f t="array" aca="1" ref="AC230" ca="1">IF(ISERROR(_xlfn.SINGLE(_xll.BDP(AC229, $E230))*1), "-", _xll.BDP(AC229, $E230))</f>
        <v>-</v>
      </c>
      <c r="AD230" s="46" t="str" cm="1">
        <f t="array" aca="1" ref="AD230" ca="1">IF(ISERROR(_xlfn.SINGLE(_xll.BDP(AD229, $E230))*1), "-", _xll.BDP(AD229, $E230))</f>
        <v>-</v>
      </c>
      <c r="AE230" s="46" t="str" cm="1">
        <f t="array" aca="1" ref="AE230" ca="1">IF(ISERROR(_xlfn.SINGLE(_xll.BDP(AE229, $E230))*1), "-", _xll.BDP(AE229, $E230))</f>
        <v>-</v>
      </c>
      <c r="AF230" s="46" t="str" cm="1">
        <f t="array" aca="1" ref="AF230" ca="1">IF(ISERROR(_xlfn.SINGLE(_xll.BDP(AF229, $E230))*1), "-", _xll.BDP(AF229, $E230))</f>
        <v>-</v>
      </c>
      <c r="AG230" s="46" t="str" cm="1">
        <f t="array" aca="1" ref="AG230" ca="1">IF(ISERROR(_xlfn.SINGLE(_xll.BDP(AG229, $E230))*1), "-", _xll.BDP(AG229, $E230))</f>
        <v>-</v>
      </c>
      <c r="AH230" s="46" t="str" cm="1">
        <f t="array" aca="1" ref="AH230" ca="1">IF(ISERROR(_xlfn.SINGLE(_xll.BDP(AH229, $E230))*1), "-", _xll.BDP(AH229, $E230))</f>
        <v>-</v>
      </c>
      <c r="AI230" s="46" t="str" cm="1">
        <f t="array" aca="1" ref="AI230" ca="1">IF(ISERROR(_xlfn.SINGLE(_xll.BDP(AI229, $E230))*1), "-", _xll.BDP(AI229, $E230))</f>
        <v>-</v>
      </c>
      <c r="AJ230" s="46" t="str" cm="1">
        <f t="array" aca="1" ref="AJ230" ca="1">IF(ISERROR(_xlfn.SINGLE(_xll.BDP(AJ229, $E230))*1), "-", _xll.BDP(AJ229, $E230))</f>
        <v>-</v>
      </c>
      <c r="AK230" s="46" t="str" cm="1">
        <f t="array" aca="1" ref="AK230" ca="1">IF(ISERROR(_xlfn.SINGLE(_xll.BDP(AK229, $E230))*1), "-", _xll.BDP(AK229, $E230))</f>
        <v>-</v>
      </c>
      <c r="AL230" s="46" t="str" cm="1">
        <f t="array" aca="1" ref="AL230" ca="1">IF(ISERROR(_xlfn.SINGLE(_xll.BDP(AL229, $E230))*1), "-", _xll.BDP(AL229, $E230))</f>
        <v>-</v>
      </c>
      <c r="AM230" s="46" t="str" cm="1">
        <f t="array" aca="1" ref="AM230" ca="1">IF(ISERROR(_xlfn.SINGLE(_xll.BDP(AM229, $E230))*1), "-", _xll.BDP(AM229, $E230))</f>
        <v>-</v>
      </c>
      <c r="AN230" s="46" t="str" cm="1">
        <f t="array" aca="1" ref="AN230" ca="1">IF(ISERROR(_xlfn.SINGLE(_xll.BDP(AN229, $E230))*1), "-", _xll.BDP(AN229, $E230))</f>
        <v>-</v>
      </c>
      <c r="AO230" s="46" t="str" cm="1">
        <f t="array" aca="1" ref="AO230" ca="1">IF(ISERROR(_xlfn.SINGLE(_xll.BDP(AO229, $E230))*1), "-", _xll.BDP(AO229, $E230))</f>
        <v>-</v>
      </c>
      <c r="AP230" s="46" t="str" cm="1">
        <f t="array" aca="1" ref="AP230" ca="1">IF(ISERROR(_xlfn.SINGLE(_xll.BDP(AP229, $E230))*1), "-", _xll.BDP(AP229, $E230))</f>
        <v>-</v>
      </c>
      <c r="AQ230" s="46" t="str" cm="1">
        <f t="array" aca="1" ref="AQ230" ca="1">IF(ISERROR(_xlfn.SINGLE(_xll.BDP(AQ229, $E230))*1), "-", _xll.BDP(AQ229, $E230))</f>
        <v>-</v>
      </c>
      <c r="AR230" s="46" t="str" cm="1">
        <f t="array" aca="1" ref="AR230" ca="1">IF(ISERROR(_xlfn.SINGLE(_xll.BDP(AR229, $E230))*1), "-", _xll.BDP(AR229, $E230))</f>
        <v>-</v>
      </c>
      <c r="AS230" s="46" t="str" cm="1">
        <f t="array" aca="1" ref="AS230" ca="1">IF(ISERROR(_xlfn.SINGLE(_xll.BDP(AS229, $E230))*1), "-", _xll.BDP(AS229, $E230))</f>
        <v>-</v>
      </c>
      <c r="AT230" s="46" t="str" cm="1">
        <f t="array" aca="1" ref="AT230" ca="1">IF(ISERROR(_xlfn.SINGLE(_xll.BDP(AT229, $E230))*1), "-", _xll.BDP(AT229, $E230))</f>
        <v>-</v>
      </c>
      <c r="AU230" s="46" t="str" cm="1">
        <f t="array" aca="1" ref="AU230" ca="1">IF(ISERROR(_xlfn.SINGLE(_xll.BDP(AU229, $E230))*1), "-", _xll.BDP(AU229, $E230))</f>
        <v>-</v>
      </c>
      <c r="AV230" s="46" t="str" cm="1">
        <f t="array" aca="1" ref="AV230" ca="1">IF(ISERROR(_xlfn.SINGLE(_xll.BDP(AV229, $E230))*1), "-", _xll.BDP(AV229, $E230))</f>
        <v>-</v>
      </c>
      <c r="AW230" s="46" t="str" cm="1">
        <f t="array" aca="1" ref="AW230" ca="1">IF(ISERROR(_xlfn.SINGLE(_xll.BDP(AW229, $E230))*1), "-", _xll.BDP(AW229, $E230))</f>
        <v>-</v>
      </c>
      <c r="AX230" s="46" t="str" cm="1">
        <f t="array" aca="1" ref="AX230" ca="1">IF(ISERROR(_xlfn.SINGLE(_xll.BDP(AX229, $E230))*1), "-", _xll.BDP(AX229, $E230))</f>
        <v>-</v>
      </c>
      <c r="AY230" s="46" t="str" cm="1">
        <f t="array" aca="1" ref="AY230" ca="1">IF(ISERROR(_xlfn.SINGLE(_xll.BDP(AY229, $E230))*1), "-", _xll.BDP(AY229, $E230))</f>
        <v>-</v>
      </c>
      <c r="AZ230" s="46" t="str" cm="1">
        <f t="array" aca="1" ref="AZ230" ca="1">IF(ISERROR(_xlfn.SINGLE(_xll.BDP(AZ229, $E230))*1), "-", _xll.BDP(AZ229, $E230))</f>
        <v>-</v>
      </c>
      <c r="BA230" s="47" t="str" cm="1">
        <f t="array" aca="1" ref="BA230" ca="1">IF(ISERROR(_xlfn.SINGLE(_xll.BDP(BA229, $E230))*1), "-", _xll.BDP(BA229, $E230))</f>
        <v>-</v>
      </c>
    </row>
    <row r="231" spans="2:53" ht="15" hidden="1" customHeight="1"/>
    <row r="232" spans="2:53" ht="5.15" customHeight="1"/>
    <row r="233" spans="2:53" ht="15" customHeight="1">
      <c r="B233" s="38" t="s">
        <v>40</v>
      </c>
      <c r="C233" s="140" t="str">
        <f>trans_getMessage("","Curve Number",,LANG_ID)</f>
        <v>Curve Number</v>
      </c>
      <c r="D233" s="141"/>
      <c r="E233" s="142">
        <f>VLOOKUP(B233, 'Currency-Curve List'!$C$9:$E$103, 2, FALSE)</f>
        <v>313</v>
      </c>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4"/>
    </row>
    <row r="234" spans="2:53" ht="15" customHeight="1">
      <c r="C234" s="145" t="str">
        <f>trans_getMessage("","Curve Index",,LANG_ID)</f>
        <v>Curve Index</v>
      </c>
      <c r="D234" s="146"/>
      <c r="E234" s="147" t="str">
        <f>VLOOKUP(B233, 'Currency-Curve List'!$C$9:$E$103, 3, FALSE)</f>
        <v>YCSW0313 Index</v>
      </c>
      <c r="F234" s="148"/>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9"/>
    </row>
    <row r="235" spans="2:53" ht="15" customHeight="1">
      <c r="C235" s="145" t="str">
        <f>trans_getMessage("","Curve Name",,LANG_ID)</f>
        <v>Curve Name</v>
      </c>
      <c r="D235" s="146"/>
      <c r="E235" s="150" t="e" cm="1">
        <f t="array" aca="1" ref="E235" ca="1">_xll.BDP(E234, "NAME")</f>
        <v>#NAME?</v>
      </c>
      <c r="F235" s="151"/>
      <c r="G235" s="151"/>
      <c r="H235" s="151"/>
      <c r="I235" s="151"/>
      <c r="J235" s="151"/>
      <c r="K235" s="151"/>
      <c r="L235" s="151"/>
      <c r="M235" s="151"/>
      <c r="N235" s="151"/>
      <c r="O235" s="151"/>
      <c r="P235" s="151"/>
      <c r="Q235" s="151"/>
      <c r="R235" s="151"/>
      <c r="S235" s="151"/>
      <c r="T235" s="151"/>
      <c r="U235" s="151"/>
      <c r="V235" s="151"/>
      <c r="W235" s="151"/>
      <c r="X235" s="151"/>
      <c r="Y235" s="151"/>
      <c r="Z235" s="151"/>
      <c r="AA235" s="151"/>
      <c r="AB235" s="151"/>
      <c r="AC235" s="151"/>
      <c r="AD235" s="151"/>
      <c r="AE235" s="151"/>
      <c r="AF235" s="151"/>
      <c r="AG235" s="151"/>
      <c r="AH235" s="151"/>
      <c r="AI235" s="151"/>
      <c r="AJ235" s="151"/>
      <c r="AK235" s="151"/>
      <c r="AL235" s="151"/>
      <c r="AM235" s="151"/>
      <c r="AN235" s="151"/>
      <c r="AO235" s="151"/>
      <c r="AP235" s="151"/>
      <c r="AQ235" s="151"/>
      <c r="AR235" s="151"/>
      <c r="AS235" s="151"/>
      <c r="AT235" s="151"/>
      <c r="AU235" s="151"/>
      <c r="AV235" s="151"/>
      <c r="AW235" s="151"/>
      <c r="AX235" s="151"/>
      <c r="AY235" s="151"/>
      <c r="AZ235" s="151"/>
      <c r="BA235" s="152"/>
    </row>
    <row r="236" spans="2:53" ht="15" customHeight="1">
      <c r="C236" s="145" t="str">
        <f>trans_getMessage("","Tenors",,LANG_ID)</f>
        <v>Tenors</v>
      </c>
      <c r="D236" s="146"/>
      <c r="E236" s="48" t="s">
        <v>50</v>
      </c>
      <c r="F236" s="42" t="e" cm="1">
        <f t="array" aca="1" ref="F236" ca="1">_xll.BDS(E234,E236,"Dir=H",)</f>
        <v>#NAME?</v>
      </c>
      <c r="G236" s="42"/>
      <c r="H236" s="42"/>
      <c r="I236" s="42"/>
      <c r="J236" s="42"/>
      <c r="K236" s="42"/>
      <c r="L236" s="42"/>
      <c r="M236" s="42"/>
      <c r="N236" s="42"/>
      <c r="O236" s="42"/>
      <c r="P236" s="42"/>
      <c r="Q236" s="42"/>
      <c r="R236" s="42"/>
      <c r="S236" s="42"/>
      <c r="T236" s="42"/>
      <c r="U236" s="42"/>
      <c r="V236" s="42"/>
      <c r="W236" s="42"/>
      <c r="X236" s="42"/>
      <c r="Y236" s="42"/>
      <c r="Z236" s="42"/>
      <c r="AA236" s="42"/>
      <c r="AB236" s="42"/>
      <c r="AC236" s="42"/>
      <c r="AD236" s="42"/>
      <c r="AE236" s="42"/>
      <c r="AF236" s="42"/>
      <c r="AG236" s="42"/>
      <c r="AH236" s="42"/>
      <c r="AI236" s="42"/>
      <c r="AJ236" s="42"/>
      <c r="AK236" s="42"/>
      <c r="AL236" s="42"/>
      <c r="AM236" s="42"/>
      <c r="AN236" s="42"/>
      <c r="AO236" s="42"/>
      <c r="AP236" s="42"/>
      <c r="AQ236" s="42"/>
      <c r="AR236" s="42"/>
      <c r="AS236" s="42"/>
      <c r="AT236" s="42"/>
      <c r="AU236" s="42"/>
      <c r="AV236" s="42"/>
      <c r="AW236" s="42"/>
      <c r="AX236" s="42"/>
      <c r="AY236" s="42"/>
      <c r="AZ236" s="42"/>
      <c r="BA236" s="44"/>
    </row>
    <row r="237" spans="2:53" ht="15" hidden="1" customHeight="1">
      <c r="C237" s="145" t="s">
        <v>2211</v>
      </c>
      <c r="D237" s="146"/>
      <c r="E237" s="48"/>
      <c r="F237" s="42" t="e">
        <f ca="1">IF(F236="","",IF(F236="12M","1Y",IF(F236="24M","2Y",F236)))</f>
        <v>#NAME?</v>
      </c>
      <c r="G237" s="42" t="str">
        <f t="shared" ref="G237" si="988">IF(G236="","",IF(G236="12M","1Y",IF(G236="24M","2Y",G236)))</f>
        <v/>
      </c>
      <c r="H237" s="42" t="str">
        <f t="shared" ref="H237" si="989">IF(H236="","",IF(H236="12M","1Y",IF(H236="24M","2Y",H236)))</f>
        <v/>
      </c>
      <c r="I237" s="42" t="str">
        <f t="shared" ref="I237" si="990">IF(I236="","",IF(I236="12M","1Y",IF(I236="24M","2Y",I236)))</f>
        <v/>
      </c>
      <c r="J237" s="42" t="str">
        <f t="shared" ref="J237" si="991">IF(J236="","",IF(J236="12M","1Y",IF(J236="24M","2Y",J236)))</f>
        <v/>
      </c>
      <c r="K237" s="42" t="str">
        <f t="shared" ref="K237" si="992">IF(K236="","",IF(K236="12M","1Y",IF(K236="24M","2Y",K236)))</f>
        <v/>
      </c>
      <c r="L237" s="42" t="str">
        <f t="shared" ref="L237" si="993">IF(L236="","",IF(L236="12M","1Y",IF(L236="24M","2Y",L236)))</f>
        <v/>
      </c>
      <c r="M237" s="42" t="str">
        <f t="shared" ref="M237" si="994">IF(M236="","",IF(M236="12M","1Y",IF(M236="24M","2Y",M236)))</f>
        <v/>
      </c>
      <c r="N237" s="42" t="str">
        <f t="shared" ref="N237" si="995">IF(N236="","",IF(N236="12M","1Y",IF(N236="24M","2Y",N236)))</f>
        <v/>
      </c>
      <c r="O237" s="42" t="str">
        <f t="shared" ref="O237" si="996">IF(O236="","",IF(O236="12M","1Y",IF(O236="24M","2Y",O236)))</f>
        <v/>
      </c>
      <c r="P237" s="42" t="str">
        <f t="shared" ref="P237" si="997">IF(P236="","",IF(P236="12M","1Y",IF(P236="24M","2Y",P236)))</f>
        <v/>
      </c>
      <c r="Q237" s="42" t="str">
        <f t="shared" ref="Q237" si="998">IF(Q236="","",IF(Q236="12M","1Y",IF(Q236="24M","2Y",Q236)))</f>
        <v/>
      </c>
      <c r="R237" s="42" t="str">
        <f t="shared" ref="R237" si="999">IF(R236="","",IF(R236="12M","1Y",IF(R236="24M","2Y",R236)))</f>
        <v/>
      </c>
      <c r="S237" s="42" t="str">
        <f t="shared" ref="S237" si="1000">IF(S236="","",IF(S236="12M","1Y",IF(S236="24M","2Y",S236)))</f>
        <v/>
      </c>
      <c r="T237" s="42" t="str">
        <f t="shared" ref="T237" si="1001">IF(T236="","",IF(T236="12M","1Y",IF(T236="24M","2Y",T236)))</f>
        <v/>
      </c>
      <c r="U237" s="42" t="str">
        <f t="shared" ref="U237" si="1002">IF(U236="","",IF(U236="12M","1Y",IF(U236="24M","2Y",U236)))</f>
        <v/>
      </c>
      <c r="V237" s="42" t="str">
        <f t="shared" ref="V237" si="1003">IF(V236="","",IF(V236="12M","1Y",IF(V236="24M","2Y",V236)))</f>
        <v/>
      </c>
      <c r="W237" s="42" t="str">
        <f t="shared" ref="W237" si="1004">IF(W236="","",IF(W236="12M","1Y",IF(W236="24M","2Y",W236)))</f>
        <v/>
      </c>
      <c r="X237" s="42" t="str">
        <f t="shared" ref="X237" si="1005">IF(X236="","",IF(X236="12M","1Y",IF(X236="24M","2Y",X236)))</f>
        <v/>
      </c>
      <c r="Y237" s="42" t="str">
        <f t="shared" ref="Y237" si="1006">IF(Y236="","",IF(Y236="12M","1Y",IF(Y236="24M","2Y",Y236)))</f>
        <v/>
      </c>
      <c r="Z237" s="42" t="str">
        <f t="shared" ref="Z237" si="1007">IF(Z236="","",IF(Z236="12M","1Y",IF(Z236="24M","2Y",Z236)))</f>
        <v/>
      </c>
      <c r="AA237" s="42" t="str">
        <f t="shared" ref="AA237" si="1008">IF(AA236="","",IF(AA236="12M","1Y",IF(AA236="24M","2Y",AA236)))</f>
        <v/>
      </c>
      <c r="AB237" s="42" t="str">
        <f t="shared" ref="AB237" si="1009">IF(AB236="","",IF(AB236="12M","1Y",IF(AB236="24M","2Y",AB236)))</f>
        <v/>
      </c>
      <c r="AC237" s="42" t="str">
        <f t="shared" ref="AC237" si="1010">IF(AC236="","",IF(AC236="12M","1Y",IF(AC236="24M","2Y",AC236)))</f>
        <v/>
      </c>
      <c r="AD237" s="42" t="str">
        <f t="shared" ref="AD237" si="1011">IF(AD236="","",IF(AD236="12M","1Y",IF(AD236="24M","2Y",AD236)))</f>
        <v/>
      </c>
      <c r="AE237" s="42" t="str">
        <f t="shared" ref="AE237" si="1012">IF(AE236="","",IF(AE236="12M","1Y",IF(AE236="24M","2Y",AE236)))</f>
        <v/>
      </c>
      <c r="AF237" s="42" t="str">
        <f t="shared" ref="AF237" si="1013">IF(AF236="","",IF(AF236="12M","1Y",IF(AF236="24M","2Y",AF236)))</f>
        <v/>
      </c>
      <c r="AG237" s="42" t="str">
        <f t="shared" ref="AG237" si="1014">IF(AG236="","",IF(AG236="12M","1Y",IF(AG236="24M","2Y",AG236)))</f>
        <v/>
      </c>
      <c r="AH237" s="42" t="str">
        <f t="shared" ref="AH237" si="1015">IF(AH236="","",IF(AH236="12M","1Y",IF(AH236="24M","2Y",AH236)))</f>
        <v/>
      </c>
      <c r="AI237" s="42" t="str">
        <f t="shared" ref="AI237" si="1016">IF(AI236="","",IF(AI236="12M","1Y",IF(AI236="24M","2Y",AI236)))</f>
        <v/>
      </c>
      <c r="AJ237" s="42" t="str">
        <f t="shared" ref="AJ237" si="1017">IF(AJ236="","",IF(AJ236="12M","1Y",IF(AJ236="24M","2Y",AJ236)))</f>
        <v/>
      </c>
      <c r="AK237" s="42" t="str">
        <f t="shared" ref="AK237" si="1018">IF(AK236="","",IF(AK236="12M","1Y",IF(AK236="24M","2Y",AK236)))</f>
        <v/>
      </c>
      <c r="AL237" s="42" t="str">
        <f t="shared" ref="AL237" si="1019">IF(AL236="","",IF(AL236="12M","1Y",IF(AL236="24M","2Y",AL236)))</f>
        <v/>
      </c>
      <c r="AM237" s="42" t="str">
        <f t="shared" ref="AM237" si="1020">IF(AM236="","",IF(AM236="12M","1Y",IF(AM236="24M","2Y",AM236)))</f>
        <v/>
      </c>
      <c r="AN237" s="42" t="str">
        <f t="shared" ref="AN237" si="1021">IF(AN236="","",IF(AN236="12M","1Y",IF(AN236="24M","2Y",AN236)))</f>
        <v/>
      </c>
      <c r="AO237" s="42" t="str">
        <f t="shared" ref="AO237" si="1022">IF(AO236="","",IF(AO236="12M","1Y",IF(AO236="24M","2Y",AO236)))</f>
        <v/>
      </c>
      <c r="AP237" s="42" t="str">
        <f t="shared" ref="AP237" si="1023">IF(AP236="","",IF(AP236="12M","1Y",IF(AP236="24M","2Y",AP236)))</f>
        <v/>
      </c>
      <c r="AQ237" s="42" t="str">
        <f t="shared" ref="AQ237" si="1024">IF(AQ236="","",IF(AQ236="12M","1Y",IF(AQ236="24M","2Y",AQ236)))</f>
        <v/>
      </c>
      <c r="AR237" s="42" t="str">
        <f t="shared" ref="AR237" si="1025">IF(AR236="","",IF(AR236="12M","1Y",IF(AR236="24M","2Y",AR236)))</f>
        <v/>
      </c>
      <c r="AS237" s="42" t="str">
        <f t="shared" ref="AS237" si="1026">IF(AS236="","",IF(AS236="12M","1Y",IF(AS236="24M","2Y",AS236)))</f>
        <v/>
      </c>
      <c r="AT237" s="42" t="str">
        <f t="shared" ref="AT237" si="1027">IF(AT236="","",IF(AT236="12M","1Y",IF(AT236="24M","2Y",AT236)))</f>
        <v/>
      </c>
      <c r="AU237" s="42" t="str">
        <f t="shared" ref="AU237" si="1028">IF(AU236="","",IF(AU236="12M","1Y",IF(AU236="24M","2Y",AU236)))</f>
        <v/>
      </c>
      <c r="AV237" s="42" t="str">
        <f t="shared" ref="AV237" si="1029">IF(AV236="","",IF(AV236="12M","1Y",IF(AV236="24M","2Y",AV236)))</f>
        <v/>
      </c>
      <c r="AW237" s="42" t="str">
        <f t="shared" ref="AW237" si="1030">IF(AW236="","",IF(AW236="12M","1Y",IF(AW236="24M","2Y",AW236)))</f>
        <v/>
      </c>
      <c r="AX237" s="42" t="str">
        <f t="shared" ref="AX237" si="1031">IF(AX236="","",IF(AX236="12M","1Y",IF(AX236="24M","2Y",AX236)))</f>
        <v/>
      </c>
      <c r="AY237" s="42" t="str">
        <f t="shared" ref="AY237" si="1032">IF(AY236="","",IF(AY236="12M","1Y",IF(AY236="24M","2Y",AY236)))</f>
        <v/>
      </c>
      <c r="AZ237" s="42" t="str">
        <f t="shared" ref="AZ237" si="1033">IF(AZ236="","",IF(AZ236="12M","1Y",IF(AZ236="24M","2Y",AZ236)))</f>
        <v/>
      </c>
      <c r="BA237" s="42" t="str">
        <f t="shared" ref="BA237" si="1034">IF(BA236="","",IF(BA236="12M","1Y",IF(BA236="24M","2Y",BA236)))</f>
        <v/>
      </c>
    </row>
    <row r="238" spans="2:53" s="41" customFormat="1" ht="15" customHeight="1">
      <c r="B238" s="7"/>
      <c r="C238" s="153" t="str">
        <f>trans_getMessage("","Name",,LANG_ID)</f>
        <v>Name</v>
      </c>
      <c r="D238" s="154"/>
      <c r="E238" s="49" t="s">
        <v>49</v>
      </c>
      <c r="F238" s="43" t="e" cm="1">
        <f t="array" aca="1" ref="F238" ca="1">IF(LEFT(_xlfn.SINGLE(_xll.BDP(F239, $E238)),1)="#", "-", _xll.BDP(F239, $E238))</f>
        <v>#NAME?</v>
      </c>
      <c r="G238" s="43" t="e" cm="1">
        <f t="array" aca="1" ref="G238" ca="1">IF(LEFT(_xlfn.SINGLE(_xll.BDP(G239, $E238)),1)="#", "-", _xll.BDP(G239, $E238))</f>
        <v>#NAME?</v>
      </c>
      <c r="H238" s="43" t="e" cm="1">
        <f t="array" aca="1" ref="H238" ca="1">IF(LEFT(_xlfn.SINGLE(_xll.BDP(H239, $E238)),1)="#", "-", _xll.BDP(H239, $E238))</f>
        <v>#NAME?</v>
      </c>
      <c r="I238" s="43" t="e" cm="1">
        <f t="array" aca="1" ref="I238" ca="1">IF(LEFT(_xlfn.SINGLE(_xll.BDP(I239, $E238)),1)="#", "-", _xll.BDP(I239, $E238))</f>
        <v>#NAME?</v>
      </c>
      <c r="J238" s="43" t="e" cm="1">
        <f t="array" aca="1" ref="J238" ca="1">IF(LEFT(_xlfn.SINGLE(_xll.BDP(J239, $E238)),1)="#", "-", _xll.BDP(J239, $E238))</f>
        <v>#NAME?</v>
      </c>
      <c r="K238" s="43" t="e" cm="1">
        <f t="array" aca="1" ref="K238" ca="1">IF(LEFT(_xlfn.SINGLE(_xll.BDP(K239, $E238)),1)="#", "-", _xll.BDP(K239, $E238))</f>
        <v>#NAME?</v>
      </c>
      <c r="L238" s="43" t="e" cm="1">
        <f t="array" aca="1" ref="L238" ca="1">IF(LEFT(_xlfn.SINGLE(_xll.BDP(L239, $E238)),1)="#", "-", _xll.BDP(L239, $E238))</f>
        <v>#NAME?</v>
      </c>
      <c r="M238" s="43" t="e" cm="1">
        <f t="array" aca="1" ref="M238" ca="1">IF(LEFT(_xlfn.SINGLE(_xll.BDP(M239, $E238)),1)="#", "-", _xll.BDP(M239, $E238))</f>
        <v>#NAME?</v>
      </c>
      <c r="N238" s="43" t="e" cm="1">
        <f t="array" aca="1" ref="N238" ca="1">IF(LEFT(_xlfn.SINGLE(_xll.BDP(N239, $E238)),1)="#", "-", _xll.BDP(N239, $E238))</f>
        <v>#NAME?</v>
      </c>
      <c r="O238" s="43" t="e" cm="1">
        <f t="array" aca="1" ref="O238" ca="1">IF(LEFT(_xlfn.SINGLE(_xll.BDP(O239, $E238)),1)="#", "-", _xll.BDP(O239, $E238))</f>
        <v>#NAME?</v>
      </c>
      <c r="P238" s="43" t="e" cm="1">
        <f t="array" aca="1" ref="P238" ca="1">IF(LEFT(_xlfn.SINGLE(_xll.BDP(P239, $E238)),1)="#", "-", _xll.BDP(P239, $E238))</f>
        <v>#NAME?</v>
      </c>
      <c r="Q238" s="43" t="e" cm="1">
        <f t="array" aca="1" ref="Q238" ca="1">IF(LEFT(_xlfn.SINGLE(_xll.BDP(Q239, $E238)),1)="#", "-", _xll.BDP(Q239, $E238))</f>
        <v>#NAME?</v>
      </c>
      <c r="R238" s="43" t="e" cm="1">
        <f t="array" aca="1" ref="R238" ca="1">IF(LEFT(_xlfn.SINGLE(_xll.BDP(R239, $E238)),1)="#", "-", _xll.BDP(R239, $E238))</f>
        <v>#NAME?</v>
      </c>
      <c r="S238" s="43" t="e" cm="1">
        <f t="array" aca="1" ref="S238" ca="1">IF(LEFT(_xlfn.SINGLE(_xll.BDP(S239, $E238)),1)="#", "-", _xll.BDP(S239, $E238))</f>
        <v>#NAME?</v>
      </c>
      <c r="T238" s="43" t="e" cm="1">
        <f t="array" aca="1" ref="T238" ca="1">IF(LEFT(_xlfn.SINGLE(_xll.BDP(T239, $E238)),1)="#", "-", _xll.BDP(T239, $E238))</f>
        <v>#NAME?</v>
      </c>
      <c r="U238" s="43" t="e" cm="1">
        <f t="array" aca="1" ref="U238" ca="1">IF(LEFT(_xlfn.SINGLE(_xll.BDP(U239, $E238)),1)="#", "-", _xll.BDP(U239, $E238))</f>
        <v>#NAME?</v>
      </c>
      <c r="V238" s="43" t="e" cm="1">
        <f t="array" aca="1" ref="V238" ca="1">IF(LEFT(_xlfn.SINGLE(_xll.BDP(V239, $E238)),1)="#", "-", _xll.BDP(V239, $E238))</f>
        <v>#NAME?</v>
      </c>
      <c r="W238" s="43" t="e" cm="1">
        <f t="array" aca="1" ref="W238" ca="1">IF(LEFT(_xlfn.SINGLE(_xll.BDP(W239, $E238)),1)="#", "-", _xll.BDP(W239, $E238))</f>
        <v>#NAME?</v>
      </c>
      <c r="X238" s="43" t="e" cm="1">
        <f t="array" aca="1" ref="X238" ca="1">IF(LEFT(_xlfn.SINGLE(_xll.BDP(X239, $E238)),1)="#", "-", _xll.BDP(X239, $E238))</f>
        <v>#NAME?</v>
      </c>
      <c r="Y238" s="43" t="e" cm="1">
        <f t="array" aca="1" ref="Y238" ca="1">IF(LEFT(_xlfn.SINGLE(_xll.BDP(Y239, $E238)),1)="#", "-", _xll.BDP(Y239, $E238))</f>
        <v>#NAME?</v>
      </c>
      <c r="Z238" s="43" t="e" cm="1">
        <f t="array" aca="1" ref="Z238" ca="1">IF(LEFT(_xlfn.SINGLE(_xll.BDP(Z239, $E238)),1)="#", "-", _xll.BDP(Z239, $E238))</f>
        <v>#NAME?</v>
      </c>
      <c r="AA238" s="43" t="e" cm="1">
        <f t="array" aca="1" ref="AA238" ca="1">IF(LEFT(_xlfn.SINGLE(_xll.BDP(AA239, $E238)),1)="#", "-", _xll.BDP(AA239, $E238))</f>
        <v>#NAME?</v>
      </c>
      <c r="AB238" s="43" t="e" cm="1">
        <f t="array" aca="1" ref="AB238" ca="1">IF(LEFT(_xlfn.SINGLE(_xll.BDP(AB239, $E238)),1)="#", "-", _xll.BDP(AB239, $E238))</f>
        <v>#NAME?</v>
      </c>
      <c r="AC238" s="43" t="e" cm="1">
        <f t="array" aca="1" ref="AC238" ca="1">IF(LEFT(_xlfn.SINGLE(_xll.BDP(AC239, $E238)),1)="#", "-", _xll.BDP(AC239, $E238))</f>
        <v>#NAME?</v>
      </c>
      <c r="AD238" s="43" t="e" cm="1">
        <f t="array" aca="1" ref="AD238" ca="1">IF(LEFT(_xlfn.SINGLE(_xll.BDP(AD239, $E238)),1)="#", "-", _xll.BDP(AD239, $E238))</f>
        <v>#NAME?</v>
      </c>
      <c r="AE238" s="43" t="e" cm="1">
        <f t="array" aca="1" ref="AE238" ca="1">IF(LEFT(_xlfn.SINGLE(_xll.BDP(AE239, $E238)),1)="#", "-", _xll.BDP(AE239, $E238))</f>
        <v>#NAME?</v>
      </c>
      <c r="AF238" s="43" t="e" cm="1">
        <f t="array" aca="1" ref="AF238" ca="1">IF(LEFT(_xlfn.SINGLE(_xll.BDP(AF239, $E238)),1)="#", "-", _xll.BDP(AF239, $E238))</f>
        <v>#NAME?</v>
      </c>
      <c r="AG238" s="43" t="e" cm="1">
        <f t="array" aca="1" ref="AG238" ca="1">IF(LEFT(_xlfn.SINGLE(_xll.BDP(AG239, $E238)),1)="#", "-", _xll.BDP(AG239, $E238))</f>
        <v>#NAME?</v>
      </c>
      <c r="AH238" s="43" t="e" cm="1">
        <f t="array" aca="1" ref="AH238" ca="1">IF(LEFT(_xlfn.SINGLE(_xll.BDP(AH239, $E238)),1)="#", "-", _xll.BDP(AH239, $E238))</f>
        <v>#NAME?</v>
      </c>
      <c r="AI238" s="43" t="e" cm="1">
        <f t="array" aca="1" ref="AI238" ca="1">IF(LEFT(_xlfn.SINGLE(_xll.BDP(AI239, $E238)),1)="#", "-", _xll.BDP(AI239, $E238))</f>
        <v>#NAME?</v>
      </c>
      <c r="AJ238" s="43" t="e" cm="1">
        <f t="array" aca="1" ref="AJ238" ca="1">IF(LEFT(_xlfn.SINGLE(_xll.BDP(AJ239, $E238)),1)="#", "-", _xll.BDP(AJ239, $E238))</f>
        <v>#NAME?</v>
      </c>
      <c r="AK238" s="43" t="e" cm="1">
        <f t="array" aca="1" ref="AK238" ca="1">IF(LEFT(_xlfn.SINGLE(_xll.BDP(AK239, $E238)),1)="#", "-", _xll.BDP(AK239, $E238))</f>
        <v>#NAME?</v>
      </c>
      <c r="AL238" s="43" t="e" cm="1">
        <f t="array" aca="1" ref="AL238" ca="1">IF(LEFT(_xlfn.SINGLE(_xll.BDP(AL239, $E238)),1)="#", "-", _xll.BDP(AL239, $E238))</f>
        <v>#NAME?</v>
      </c>
      <c r="AM238" s="43" t="e" cm="1">
        <f t="array" aca="1" ref="AM238" ca="1">IF(LEFT(_xlfn.SINGLE(_xll.BDP(AM239, $E238)),1)="#", "-", _xll.BDP(AM239, $E238))</f>
        <v>#NAME?</v>
      </c>
      <c r="AN238" s="43" t="e" cm="1">
        <f t="array" aca="1" ref="AN238" ca="1">IF(LEFT(_xlfn.SINGLE(_xll.BDP(AN239, $E238)),1)="#", "-", _xll.BDP(AN239, $E238))</f>
        <v>#NAME?</v>
      </c>
      <c r="AO238" s="43" t="e" cm="1">
        <f t="array" aca="1" ref="AO238" ca="1">IF(LEFT(_xlfn.SINGLE(_xll.BDP(AO239, $E238)),1)="#", "-", _xll.BDP(AO239, $E238))</f>
        <v>#NAME?</v>
      </c>
      <c r="AP238" s="43" t="e" cm="1">
        <f t="array" aca="1" ref="AP238" ca="1">IF(LEFT(_xlfn.SINGLE(_xll.BDP(AP239, $E238)),1)="#", "-", _xll.BDP(AP239, $E238))</f>
        <v>#NAME?</v>
      </c>
      <c r="AQ238" s="43" t="e" cm="1">
        <f t="array" aca="1" ref="AQ238" ca="1">IF(LEFT(_xlfn.SINGLE(_xll.BDP(AQ239, $E238)),1)="#", "-", _xll.BDP(AQ239, $E238))</f>
        <v>#NAME?</v>
      </c>
      <c r="AR238" s="43" t="e" cm="1">
        <f t="array" aca="1" ref="AR238" ca="1">IF(LEFT(_xlfn.SINGLE(_xll.BDP(AR239, $E238)),1)="#", "-", _xll.BDP(AR239, $E238))</f>
        <v>#NAME?</v>
      </c>
      <c r="AS238" s="43" t="e" cm="1">
        <f t="array" aca="1" ref="AS238" ca="1">IF(LEFT(_xlfn.SINGLE(_xll.BDP(AS239, $E238)),1)="#", "-", _xll.BDP(AS239, $E238))</f>
        <v>#NAME?</v>
      </c>
      <c r="AT238" s="43" t="e" cm="1">
        <f t="array" aca="1" ref="AT238" ca="1">IF(LEFT(_xlfn.SINGLE(_xll.BDP(AT239, $E238)),1)="#", "-", _xll.BDP(AT239, $E238))</f>
        <v>#NAME?</v>
      </c>
      <c r="AU238" s="43" t="e" cm="1">
        <f t="array" aca="1" ref="AU238" ca="1">IF(LEFT(_xlfn.SINGLE(_xll.BDP(AU239, $E238)),1)="#", "-", _xll.BDP(AU239, $E238))</f>
        <v>#NAME?</v>
      </c>
      <c r="AV238" s="43" t="e" cm="1">
        <f t="array" aca="1" ref="AV238" ca="1">IF(LEFT(_xlfn.SINGLE(_xll.BDP(AV239, $E238)),1)="#", "-", _xll.BDP(AV239, $E238))</f>
        <v>#NAME?</v>
      </c>
      <c r="AW238" s="43" t="e" cm="1">
        <f t="array" aca="1" ref="AW238" ca="1">IF(LEFT(_xlfn.SINGLE(_xll.BDP(AW239, $E238)),1)="#", "-", _xll.BDP(AW239, $E238))</f>
        <v>#NAME?</v>
      </c>
      <c r="AX238" s="43" t="e" cm="1">
        <f t="array" aca="1" ref="AX238" ca="1">IF(LEFT(_xlfn.SINGLE(_xll.BDP(AX239, $E238)),1)="#", "-", _xll.BDP(AX239, $E238))</f>
        <v>#NAME?</v>
      </c>
      <c r="AY238" s="43" t="e" cm="1">
        <f t="array" aca="1" ref="AY238" ca="1">IF(LEFT(_xlfn.SINGLE(_xll.BDP(AY239, $E238)),1)="#", "-", _xll.BDP(AY239, $E238))</f>
        <v>#NAME?</v>
      </c>
      <c r="AZ238" s="43" t="e" cm="1">
        <f t="array" aca="1" ref="AZ238" ca="1">IF(LEFT(_xlfn.SINGLE(_xll.BDP(AZ239, $E238)),1)="#", "-", _xll.BDP(AZ239, $E238))</f>
        <v>#NAME?</v>
      </c>
      <c r="BA238" s="45" t="e" cm="1">
        <f t="array" aca="1" ref="BA238" ca="1">IF(LEFT(_xlfn.SINGLE(_xll.BDP(BA239, $E238)),1)="#", "-", _xll.BDP(BA239, $E238))</f>
        <v>#NAME?</v>
      </c>
    </row>
    <row r="239" spans="2:53" ht="15" customHeight="1">
      <c r="B239" s="40"/>
      <c r="C239" s="145" t="str">
        <f>trans_getMessage("","Curve Tickers",,LANG_ID)</f>
        <v>Curve Tickers</v>
      </c>
      <c r="D239" s="146"/>
      <c r="E239" s="50" t="s">
        <v>46</v>
      </c>
      <c r="F239" s="42" t="e" cm="1">
        <f t="array" aca="1" ref="F239" ca="1">_xll.BDS(E234,E239,"Dir=H",)</f>
        <v>#NAME?</v>
      </c>
      <c r="G239" s="42"/>
      <c r="H239" s="42"/>
      <c r="I239" s="42"/>
      <c r="J239" s="42"/>
      <c r="K239" s="42"/>
      <c r="L239" s="42"/>
      <c r="M239" s="42"/>
      <c r="N239" s="42"/>
      <c r="O239" s="42"/>
      <c r="P239" s="42"/>
      <c r="Q239" s="42"/>
      <c r="R239" s="42"/>
      <c r="S239" s="42"/>
      <c r="T239" s="42"/>
      <c r="U239" s="42"/>
      <c r="V239" s="42"/>
      <c r="W239" s="42"/>
      <c r="X239" s="42"/>
      <c r="Y239" s="42"/>
      <c r="Z239" s="42"/>
      <c r="AA239" s="42"/>
      <c r="AB239" s="42"/>
      <c r="AC239" s="42"/>
      <c r="AD239" s="42"/>
      <c r="AE239" s="42"/>
      <c r="AF239" s="42"/>
      <c r="AG239" s="42"/>
      <c r="AH239" s="42"/>
      <c r="AI239" s="42"/>
      <c r="AJ239" s="42"/>
      <c r="AK239" s="42"/>
      <c r="AL239" s="42"/>
      <c r="AM239" s="42"/>
      <c r="AN239" s="42"/>
      <c r="AO239" s="42"/>
      <c r="AP239" s="42"/>
      <c r="AQ239" s="42"/>
      <c r="AR239" s="42"/>
      <c r="AS239" s="42"/>
      <c r="AT239" s="42"/>
      <c r="AU239" s="42"/>
      <c r="AV239" s="42"/>
      <c r="AW239" s="42"/>
      <c r="AX239" s="42"/>
      <c r="AY239" s="42"/>
      <c r="AZ239" s="42"/>
      <c r="BA239" s="44"/>
    </row>
    <row r="240" spans="2:53" ht="15" customHeight="1">
      <c r="C240" s="138" t="str">
        <f>trans_getMessage("","Rate",,LANG_ID)</f>
        <v>Rate</v>
      </c>
      <c r="D240" s="139"/>
      <c r="E240" s="51" t="s">
        <v>44</v>
      </c>
      <c r="F240" s="46" t="str" cm="1">
        <f t="array" aca="1" ref="F240" ca="1">IF(ISERROR(_xlfn.SINGLE(_xll.BDP(F239, $E240))*1), "-", _xll.BDP(F239, $E240))</f>
        <v>-</v>
      </c>
      <c r="G240" s="46" t="str" cm="1">
        <f t="array" aca="1" ref="G240" ca="1">IF(ISERROR(_xlfn.SINGLE(_xll.BDP(G239, $E240))*1), "-", _xll.BDP(G239, $E240))</f>
        <v>-</v>
      </c>
      <c r="H240" s="46" t="str" cm="1">
        <f t="array" aca="1" ref="H240" ca="1">IF(ISERROR(_xlfn.SINGLE(_xll.BDP(H239, $E240))*1), "-", _xll.BDP(H239, $E240))</f>
        <v>-</v>
      </c>
      <c r="I240" s="46" t="str" cm="1">
        <f t="array" aca="1" ref="I240" ca="1">IF(ISERROR(_xlfn.SINGLE(_xll.BDP(I239, $E240))*1), "-", _xll.BDP(I239, $E240))</f>
        <v>-</v>
      </c>
      <c r="J240" s="46" t="str" cm="1">
        <f t="array" aca="1" ref="J240" ca="1">IF(ISERROR(_xlfn.SINGLE(_xll.BDP(J239, $E240))*1), "-", _xll.BDP(J239, $E240))</f>
        <v>-</v>
      </c>
      <c r="K240" s="46" t="str" cm="1">
        <f t="array" aca="1" ref="K240" ca="1">IF(ISERROR(_xlfn.SINGLE(_xll.BDP(K239, $E240))*1), "-", _xll.BDP(K239, $E240))</f>
        <v>-</v>
      </c>
      <c r="L240" s="46" t="str" cm="1">
        <f t="array" aca="1" ref="L240" ca="1">IF(ISERROR(_xlfn.SINGLE(_xll.BDP(L239, $E240))*1), "-", _xll.BDP(L239, $E240))</f>
        <v>-</v>
      </c>
      <c r="M240" s="46" t="str" cm="1">
        <f t="array" aca="1" ref="M240" ca="1">IF(ISERROR(_xlfn.SINGLE(_xll.BDP(M239, $E240))*1), "-", _xll.BDP(M239, $E240))</f>
        <v>-</v>
      </c>
      <c r="N240" s="46" t="str" cm="1">
        <f t="array" aca="1" ref="N240" ca="1">IF(ISERROR(_xlfn.SINGLE(_xll.BDP(N239, $E240))*1), "-", _xll.BDP(N239, $E240))</f>
        <v>-</v>
      </c>
      <c r="O240" s="46" t="str" cm="1">
        <f t="array" aca="1" ref="O240" ca="1">IF(ISERROR(_xlfn.SINGLE(_xll.BDP(O239, $E240))*1), "-", _xll.BDP(O239, $E240))</f>
        <v>-</v>
      </c>
      <c r="P240" s="46" t="str" cm="1">
        <f t="array" aca="1" ref="P240" ca="1">IF(ISERROR(_xlfn.SINGLE(_xll.BDP(P239, $E240))*1), "-", _xll.BDP(P239, $E240))</f>
        <v>-</v>
      </c>
      <c r="Q240" s="46" t="str" cm="1">
        <f t="array" aca="1" ref="Q240" ca="1">IF(ISERROR(_xlfn.SINGLE(_xll.BDP(Q239, $E240))*1), "-", _xll.BDP(Q239, $E240))</f>
        <v>-</v>
      </c>
      <c r="R240" s="46" t="str" cm="1">
        <f t="array" aca="1" ref="R240" ca="1">IF(ISERROR(_xlfn.SINGLE(_xll.BDP(R239, $E240))*1), "-", _xll.BDP(R239, $E240))</f>
        <v>-</v>
      </c>
      <c r="S240" s="46" t="str" cm="1">
        <f t="array" aca="1" ref="S240" ca="1">IF(ISERROR(_xlfn.SINGLE(_xll.BDP(S239, $E240))*1), "-", _xll.BDP(S239, $E240))</f>
        <v>-</v>
      </c>
      <c r="T240" s="46" t="str" cm="1">
        <f t="array" aca="1" ref="T240" ca="1">IF(ISERROR(_xlfn.SINGLE(_xll.BDP(T239, $E240))*1), "-", _xll.BDP(T239, $E240))</f>
        <v>-</v>
      </c>
      <c r="U240" s="46" t="str" cm="1">
        <f t="array" aca="1" ref="U240" ca="1">IF(ISERROR(_xlfn.SINGLE(_xll.BDP(U239, $E240))*1), "-", _xll.BDP(U239, $E240))</f>
        <v>-</v>
      </c>
      <c r="V240" s="46" t="str" cm="1">
        <f t="array" aca="1" ref="V240" ca="1">IF(ISERROR(_xlfn.SINGLE(_xll.BDP(V239, $E240))*1), "-", _xll.BDP(V239, $E240))</f>
        <v>-</v>
      </c>
      <c r="W240" s="46" t="str" cm="1">
        <f t="array" aca="1" ref="W240" ca="1">IF(ISERROR(_xlfn.SINGLE(_xll.BDP(W239, $E240))*1), "-", _xll.BDP(W239, $E240))</f>
        <v>-</v>
      </c>
      <c r="X240" s="46" t="str" cm="1">
        <f t="array" aca="1" ref="X240" ca="1">IF(ISERROR(_xlfn.SINGLE(_xll.BDP(X239, $E240))*1), "-", _xll.BDP(X239, $E240))</f>
        <v>-</v>
      </c>
      <c r="Y240" s="46" t="str" cm="1">
        <f t="array" aca="1" ref="Y240" ca="1">IF(ISERROR(_xlfn.SINGLE(_xll.BDP(Y239, $E240))*1), "-", _xll.BDP(Y239, $E240))</f>
        <v>-</v>
      </c>
      <c r="Z240" s="46" t="str" cm="1">
        <f t="array" aca="1" ref="Z240" ca="1">IF(ISERROR(_xlfn.SINGLE(_xll.BDP(Z239, $E240))*1), "-", _xll.BDP(Z239, $E240))</f>
        <v>-</v>
      </c>
      <c r="AA240" s="46" t="str" cm="1">
        <f t="array" aca="1" ref="AA240" ca="1">IF(ISERROR(_xlfn.SINGLE(_xll.BDP(AA239, $E240))*1), "-", _xll.BDP(AA239, $E240))</f>
        <v>-</v>
      </c>
      <c r="AB240" s="46" t="str" cm="1">
        <f t="array" aca="1" ref="AB240" ca="1">IF(ISERROR(_xlfn.SINGLE(_xll.BDP(AB239, $E240))*1), "-", _xll.BDP(AB239, $E240))</f>
        <v>-</v>
      </c>
      <c r="AC240" s="46" t="str" cm="1">
        <f t="array" aca="1" ref="AC240" ca="1">IF(ISERROR(_xlfn.SINGLE(_xll.BDP(AC239, $E240))*1), "-", _xll.BDP(AC239, $E240))</f>
        <v>-</v>
      </c>
      <c r="AD240" s="46" t="str" cm="1">
        <f t="array" aca="1" ref="AD240" ca="1">IF(ISERROR(_xlfn.SINGLE(_xll.BDP(AD239, $E240))*1), "-", _xll.BDP(AD239, $E240))</f>
        <v>-</v>
      </c>
      <c r="AE240" s="46" t="str" cm="1">
        <f t="array" aca="1" ref="AE240" ca="1">IF(ISERROR(_xlfn.SINGLE(_xll.BDP(AE239, $E240))*1), "-", _xll.BDP(AE239, $E240))</f>
        <v>-</v>
      </c>
      <c r="AF240" s="46" t="str" cm="1">
        <f t="array" aca="1" ref="AF240" ca="1">IF(ISERROR(_xlfn.SINGLE(_xll.BDP(AF239, $E240))*1), "-", _xll.BDP(AF239, $E240))</f>
        <v>-</v>
      </c>
      <c r="AG240" s="46" t="str" cm="1">
        <f t="array" aca="1" ref="AG240" ca="1">IF(ISERROR(_xlfn.SINGLE(_xll.BDP(AG239, $E240))*1), "-", _xll.BDP(AG239, $E240))</f>
        <v>-</v>
      </c>
      <c r="AH240" s="46" t="str" cm="1">
        <f t="array" aca="1" ref="AH240" ca="1">IF(ISERROR(_xlfn.SINGLE(_xll.BDP(AH239, $E240))*1), "-", _xll.BDP(AH239, $E240))</f>
        <v>-</v>
      </c>
      <c r="AI240" s="46" t="str" cm="1">
        <f t="array" aca="1" ref="AI240" ca="1">IF(ISERROR(_xlfn.SINGLE(_xll.BDP(AI239, $E240))*1), "-", _xll.BDP(AI239, $E240))</f>
        <v>-</v>
      </c>
      <c r="AJ240" s="46" t="str" cm="1">
        <f t="array" aca="1" ref="AJ240" ca="1">IF(ISERROR(_xlfn.SINGLE(_xll.BDP(AJ239, $E240))*1), "-", _xll.BDP(AJ239, $E240))</f>
        <v>-</v>
      </c>
      <c r="AK240" s="46" t="str" cm="1">
        <f t="array" aca="1" ref="AK240" ca="1">IF(ISERROR(_xlfn.SINGLE(_xll.BDP(AK239, $E240))*1), "-", _xll.BDP(AK239, $E240))</f>
        <v>-</v>
      </c>
      <c r="AL240" s="46" t="str" cm="1">
        <f t="array" aca="1" ref="AL240" ca="1">IF(ISERROR(_xlfn.SINGLE(_xll.BDP(AL239, $E240))*1), "-", _xll.BDP(AL239, $E240))</f>
        <v>-</v>
      </c>
      <c r="AM240" s="46" t="str" cm="1">
        <f t="array" aca="1" ref="AM240" ca="1">IF(ISERROR(_xlfn.SINGLE(_xll.BDP(AM239, $E240))*1), "-", _xll.BDP(AM239, $E240))</f>
        <v>-</v>
      </c>
      <c r="AN240" s="46" t="str" cm="1">
        <f t="array" aca="1" ref="AN240" ca="1">IF(ISERROR(_xlfn.SINGLE(_xll.BDP(AN239, $E240))*1), "-", _xll.BDP(AN239, $E240))</f>
        <v>-</v>
      </c>
      <c r="AO240" s="46" t="str" cm="1">
        <f t="array" aca="1" ref="AO240" ca="1">IF(ISERROR(_xlfn.SINGLE(_xll.BDP(AO239, $E240))*1), "-", _xll.BDP(AO239, $E240))</f>
        <v>-</v>
      </c>
      <c r="AP240" s="46" t="str" cm="1">
        <f t="array" aca="1" ref="AP240" ca="1">IF(ISERROR(_xlfn.SINGLE(_xll.BDP(AP239, $E240))*1), "-", _xll.BDP(AP239, $E240))</f>
        <v>-</v>
      </c>
      <c r="AQ240" s="46" t="str" cm="1">
        <f t="array" aca="1" ref="AQ240" ca="1">IF(ISERROR(_xlfn.SINGLE(_xll.BDP(AQ239, $E240))*1), "-", _xll.BDP(AQ239, $E240))</f>
        <v>-</v>
      </c>
      <c r="AR240" s="46" t="str" cm="1">
        <f t="array" aca="1" ref="AR240" ca="1">IF(ISERROR(_xlfn.SINGLE(_xll.BDP(AR239, $E240))*1), "-", _xll.BDP(AR239, $E240))</f>
        <v>-</v>
      </c>
      <c r="AS240" s="46" t="str" cm="1">
        <f t="array" aca="1" ref="AS240" ca="1">IF(ISERROR(_xlfn.SINGLE(_xll.BDP(AS239, $E240))*1), "-", _xll.BDP(AS239, $E240))</f>
        <v>-</v>
      </c>
      <c r="AT240" s="46" t="str" cm="1">
        <f t="array" aca="1" ref="AT240" ca="1">IF(ISERROR(_xlfn.SINGLE(_xll.BDP(AT239, $E240))*1), "-", _xll.BDP(AT239, $E240))</f>
        <v>-</v>
      </c>
      <c r="AU240" s="46" t="str" cm="1">
        <f t="array" aca="1" ref="AU240" ca="1">IF(ISERROR(_xlfn.SINGLE(_xll.BDP(AU239, $E240))*1), "-", _xll.BDP(AU239, $E240))</f>
        <v>-</v>
      </c>
      <c r="AV240" s="46" t="str" cm="1">
        <f t="array" aca="1" ref="AV240" ca="1">IF(ISERROR(_xlfn.SINGLE(_xll.BDP(AV239, $E240))*1), "-", _xll.BDP(AV239, $E240))</f>
        <v>-</v>
      </c>
      <c r="AW240" s="46" t="str" cm="1">
        <f t="array" aca="1" ref="AW240" ca="1">IF(ISERROR(_xlfn.SINGLE(_xll.BDP(AW239, $E240))*1), "-", _xll.BDP(AW239, $E240))</f>
        <v>-</v>
      </c>
      <c r="AX240" s="46" t="str" cm="1">
        <f t="array" aca="1" ref="AX240" ca="1">IF(ISERROR(_xlfn.SINGLE(_xll.BDP(AX239, $E240))*1), "-", _xll.BDP(AX239, $E240))</f>
        <v>-</v>
      </c>
      <c r="AY240" s="46" t="str" cm="1">
        <f t="array" aca="1" ref="AY240" ca="1">IF(ISERROR(_xlfn.SINGLE(_xll.BDP(AY239, $E240))*1), "-", _xll.BDP(AY239, $E240))</f>
        <v>-</v>
      </c>
      <c r="AZ240" s="46" t="str" cm="1">
        <f t="array" aca="1" ref="AZ240" ca="1">IF(ISERROR(_xlfn.SINGLE(_xll.BDP(AZ239, $E240))*1), "-", _xll.BDP(AZ239, $E240))</f>
        <v>-</v>
      </c>
      <c r="BA240" s="47" t="str" cm="1">
        <f t="array" aca="1" ref="BA240" ca="1">IF(ISERROR(_xlfn.SINGLE(_xll.BDP(BA239, $E240))*1), "-", _xll.BDP(BA239, $E240))</f>
        <v>-</v>
      </c>
    </row>
    <row r="241" spans="2:53" ht="15" hidden="1" customHeight="1"/>
    <row r="242" spans="2:53" ht="5.15" customHeight="1"/>
    <row r="243" spans="2:53" ht="15" customHeight="1">
      <c r="B243" s="38" t="s">
        <v>32</v>
      </c>
      <c r="C243" s="140" t="str">
        <f>trans_getMessage("","Curve Number",,LANG_ID)</f>
        <v>Curve Number</v>
      </c>
      <c r="D243" s="141"/>
      <c r="E243" s="142">
        <f>VLOOKUP(B243, 'Currency-Curve List'!$C$9:$E$103, 2, FALSE)</f>
        <v>15</v>
      </c>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4"/>
    </row>
    <row r="244" spans="2:53" ht="15" customHeight="1">
      <c r="C244" s="145" t="str">
        <f>trans_getMessage("","Curve Index",,LANG_ID)</f>
        <v>Curve Index</v>
      </c>
      <c r="D244" s="146"/>
      <c r="E244" s="147" t="str">
        <f>VLOOKUP(B243, 'Currency-Curve List'!$C$9:$E$103, 3, FALSE)</f>
        <v>YCSW0015 Index</v>
      </c>
      <c r="F244" s="148"/>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148"/>
      <c r="AM244" s="148"/>
      <c r="AN244" s="148"/>
      <c r="AO244" s="148"/>
      <c r="AP244" s="148"/>
      <c r="AQ244" s="148"/>
      <c r="AR244" s="148"/>
      <c r="AS244" s="148"/>
      <c r="AT244" s="148"/>
      <c r="AU244" s="148"/>
      <c r="AV244" s="148"/>
      <c r="AW244" s="148"/>
      <c r="AX244" s="148"/>
      <c r="AY244" s="148"/>
      <c r="AZ244" s="148"/>
      <c r="BA244" s="149"/>
    </row>
    <row r="245" spans="2:53" ht="15" customHeight="1">
      <c r="C245" s="145" t="str">
        <f>trans_getMessage("","Curve Name",,LANG_ID)</f>
        <v>Curve Name</v>
      </c>
      <c r="D245" s="146"/>
      <c r="E245" s="150" t="e" cm="1">
        <f t="array" aca="1" ref="E245" ca="1">_xll.BDP(E244, "NAME")</f>
        <v>#NAME?</v>
      </c>
      <c r="F245" s="151"/>
      <c r="G245" s="151"/>
      <c r="H245" s="151"/>
      <c r="I245" s="151"/>
      <c r="J245" s="151"/>
      <c r="K245" s="151"/>
      <c r="L245" s="151"/>
      <c r="M245" s="151"/>
      <c r="N245" s="151"/>
      <c r="O245" s="151"/>
      <c r="P245" s="151"/>
      <c r="Q245" s="151"/>
      <c r="R245" s="151"/>
      <c r="S245" s="151"/>
      <c r="T245" s="151"/>
      <c r="U245" s="151"/>
      <c r="V245" s="151"/>
      <c r="W245" s="151"/>
      <c r="X245" s="151"/>
      <c r="Y245" s="151"/>
      <c r="Z245" s="151"/>
      <c r="AA245" s="151"/>
      <c r="AB245" s="151"/>
      <c r="AC245" s="151"/>
      <c r="AD245" s="151"/>
      <c r="AE245" s="151"/>
      <c r="AF245" s="151"/>
      <c r="AG245" s="151"/>
      <c r="AH245" s="151"/>
      <c r="AI245" s="151"/>
      <c r="AJ245" s="151"/>
      <c r="AK245" s="151"/>
      <c r="AL245" s="151"/>
      <c r="AM245" s="151"/>
      <c r="AN245" s="151"/>
      <c r="AO245" s="151"/>
      <c r="AP245" s="151"/>
      <c r="AQ245" s="151"/>
      <c r="AR245" s="151"/>
      <c r="AS245" s="151"/>
      <c r="AT245" s="151"/>
      <c r="AU245" s="151"/>
      <c r="AV245" s="151"/>
      <c r="AW245" s="151"/>
      <c r="AX245" s="151"/>
      <c r="AY245" s="151"/>
      <c r="AZ245" s="151"/>
      <c r="BA245" s="152"/>
    </row>
    <row r="246" spans="2:53" ht="15" customHeight="1">
      <c r="C246" s="145" t="str">
        <f>trans_getMessage("","Tenors",,LANG_ID)</f>
        <v>Tenors</v>
      </c>
      <c r="D246" s="146"/>
      <c r="E246" s="48" t="s">
        <v>50</v>
      </c>
      <c r="F246" s="42" t="e" cm="1">
        <f t="array" aca="1" ref="F246" ca="1">_xll.BDS(E244,E246,"Dir=H",)</f>
        <v>#NAME?</v>
      </c>
      <c r="G246" s="42"/>
      <c r="H246" s="42"/>
      <c r="I246" s="42"/>
      <c r="J246" s="42"/>
      <c r="K246" s="42"/>
      <c r="L246" s="42"/>
      <c r="M246" s="42"/>
      <c r="N246" s="42"/>
      <c r="O246" s="42"/>
      <c r="P246" s="42"/>
      <c r="Q246" s="42"/>
      <c r="R246" s="42"/>
      <c r="S246" s="42"/>
      <c r="T246" s="42"/>
      <c r="U246" s="42"/>
      <c r="V246" s="42"/>
      <c r="W246" s="42"/>
      <c r="X246" s="42"/>
      <c r="Y246" s="42"/>
      <c r="Z246" s="42"/>
      <c r="AA246" s="42"/>
      <c r="AB246" s="42"/>
      <c r="AC246" s="42"/>
      <c r="AD246" s="42"/>
      <c r="AE246" s="42"/>
      <c r="AF246" s="42"/>
      <c r="AG246" s="42"/>
      <c r="AH246" s="42"/>
      <c r="AI246" s="42"/>
      <c r="AJ246" s="42"/>
      <c r="AK246" s="42"/>
      <c r="AL246" s="42"/>
      <c r="AM246" s="42"/>
      <c r="AN246" s="42"/>
      <c r="AO246" s="42"/>
      <c r="AP246" s="42"/>
      <c r="AQ246" s="42"/>
      <c r="AR246" s="42"/>
      <c r="AS246" s="42"/>
      <c r="AT246" s="42"/>
      <c r="AU246" s="42"/>
      <c r="AV246" s="42"/>
      <c r="AW246" s="42"/>
      <c r="AX246" s="42"/>
      <c r="AY246" s="42"/>
      <c r="AZ246" s="42"/>
      <c r="BA246" s="44"/>
    </row>
    <row r="247" spans="2:53" ht="15" hidden="1" customHeight="1">
      <c r="C247" s="145" t="s">
        <v>2211</v>
      </c>
      <c r="D247" s="146"/>
      <c r="E247" s="48"/>
      <c r="F247" s="42" t="e">
        <f ca="1">IF(F246="","",IF(F246="12M","1Y",IF(F246="24M","2Y",F246)))</f>
        <v>#NAME?</v>
      </c>
      <c r="G247" s="42" t="str">
        <f t="shared" ref="G247" si="1035">IF(G246="","",IF(G246="12M","1Y",IF(G246="24M","2Y",G246)))</f>
        <v/>
      </c>
      <c r="H247" s="42" t="str">
        <f t="shared" ref="H247" si="1036">IF(H246="","",IF(H246="12M","1Y",IF(H246="24M","2Y",H246)))</f>
        <v/>
      </c>
      <c r="I247" s="42" t="str">
        <f t="shared" ref="I247" si="1037">IF(I246="","",IF(I246="12M","1Y",IF(I246="24M","2Y",I246)))</f>
        <v/>
      </c>
      <c r="J247" s="42" t="str">
        <f t="shared" ref="J247" si="1038">IF(J246="","",IF(J246="12M","1Y",IF(J246="24M","2Y",J246)))</f>
        <v/>
      </c>
      <c r="K247" s="42" t="str">
        <f t="shared" ref="K247" si="1039">IF(K246="","",IF(K246="12M","1Y",IF(K246="24M","2Y",K246)))</f>
        <v/>
      </c>
      <c r="L247" s="42" t="str">
        <f t="shared" ref="L247" si="1040">IF(L246="","",IF(L246="12M","1Y",IF(L246="24M","2Y",L246)))</f>
        <v/>
      </c>
      <c r="M247" s="42" t="str">
        <f t="shared" ref="M247" si="1041">IF(M246="","",IF(M246="12M","1Y",IF(M246="24M","2Y",M246)))</f>
        <v/>
      </c>
      <c r="N247" s="42" t="str">
        <f t="shared" ref="N247" si="1042">IF(N246="","",IF(N246="12M","1Y",IF(N246="24M","2Y",N246)))</f>
        <v/>
      </c>
      <c r="O247" s="42" t="str">
        <f t="shared" ref="O247" si="1043">IF(O246="","",IF(O246="12M","1Y",IF(O246="24M","2Y",O246)))</f>
        <v/>
      </c>
      <c r="P247" s="42" t="str">
        <f t="shared" ref="P247" si="1044">IF(P246="","",IF(P246="12M","1Y",IF(P246="24M","2Y",P246)))</f>
        <v/>
      </c>
      <c r="Q247" s="42" t="str">
        <f t="shared" ref="Q247" si="1045">IF(Q246="","",IF(Q246="12M","1Y",IF(Q246="24M","2Y",Q246)))</f>
        <v/>
      </c>
      <c r="R247" s="42" t="str">
        <f t="shared" ref="R247" si="1046">IF(R246="","",IF(R246="12M","1Y",IF(R246="24M","2Y",R246)))</f>
        <v/>
      </c>
      <c r="S247" s="42" t="str">
        <f t="shared" ref="S247" si="1047">IF(S246="","",IF(S246="12M","1Y",IF(S246="24M","2Y",S246)))</f>
        <v/>
      </c>
      <c r="T247" s="42" t="str">
        <f t="shared" ref="T247" si="1048">IF(T246="","",IF(T246="12M","1Y",IF(T246="24M","2Y",T246)))</f>
        <v/>
      </c>
      <c r="U247" s="42" t="str">
        <f t="shared" ref="U247" si="1049">IF(U246="","",IF(U246="12M","1Y",IF(U246="24M","2Y",U246)))</f>
        <v/>
      </c>
      <c r="V247" s="42" t="str">
        <f t="shared" ref="V247" si="1050">IF(V246="","",IF(V246="12M","1Y",IF(V246="24M","2Y",V246)))</f>
        <v/>
      </c>
      <c r="W247" s="42" t="str">
        <f t="shared" ref="W247" si="1051">IF(W246="","",IF(W246="12M","1Y",IF(W246="24M","2Y",W246)))</f>
        <v/>
      </c>
      <c r="X247" s="42" t="str">
        <f t="shared" ref="X247" si="1052">IF(X246="","",IF(X246="12M","1Y",IF(X246="24M","2Y",X246)))</f>
        <v/>
      </c>
      <c r="Y247" s="42" t="str">
        <f t="shared" ref="Y247" si="1053">IF(Y246="","",IF(Y246="12M","1Y",IF(Y246="24M","2Y",Y246)))</f>
        <v/>
      </c>
      <c r="Z247" s="42" t="str">
        <f t="shared" ref="Z247" si="1054">IF(Z246="","",IF(Z246="12M","1Y",IF(Z246="24M","2Y",Z246)))</f>
        <v/>
      </c>
      <c r="AA247" s="42" t="str">
        <f t="shared" ref="AA247" si="1055">IF(AA246="","",IF(AA246="12M","1Y",IF(AA246="24M","2Y",AA246)))</f>
        <v/>
      </c>
      <c r="AB247" s="42" t="str">
        <f t="shared" ref="AB247" si="1056">IF(AB246="","",IF(AB246="12M","1Y",IF(AB246="24M","2Y",AB246)))</f>
        <v/>
      </c>
      <c r="AC247" s="42" t="str">
        <f t="shared" ref="AC247" si="1057">IF(AC246="","",IF(AC246="12M","1Y",IF(AC246="24M","2Y",AC246)))</f>
        <v/>
      </c>
      <c r="AD247" s="42" t="str">
        <f t="shared" ref="AD247" si="1058">IF(AD246="","",IF(AD246="12M","1Y",IF(AD246="24M","2Y",AD246)))</f>
        <v/>
      </c>
      <c r="AE247" s="42" t="str">
        <f t="shared" ref="AE247" si="1059">IF(AE246="","",IF(AE246="12M","1Y",IF(AE246="24M","2Y",AE246)))</f>
        <v/>
      </c>
      <c r="AF247" s="42" t="str">
        <f t="shared" ref="AF247" si="1060">IF(AF246="","",IF(AF246="12M","1Y",IF(AF246="24M","2Y",AF246)))</f>
        <v/>
      </c>
      <c r="AG247" s="42" t="str">
        <f t="shared" ref="AG247" si="1061">IF(AG246="","",IF(AG246="12M","1Y",IF(AG246="24M","2Y",AG246)))</f>
        <v/>
      </c>
      <c r="AH247" s="42" t="str">
        <f t="shared" ref="AH247" si="1062">IF(AH246="","",IF(AH246="12M","1Y",IF(AH246="24M","2Y",AH246)))</f>
        <v/>
      </c>
      <c r="AI247" s="42" t="str">
        <f t="shared" ref="AI247" si="1063">IF(AI246="","",IF(AI246="12M","1Y",IF(AI246="24M","2Y",AI246)))</f>
        <v/>
      </c>
      <c r="AJ247" s="42" t="str">
        <f t="shared" ref="AJ247" si="1064">IF(AJ246="","",IF(AJ246="12M","1Y",IF(AJ246="24M","2Y",AJ246)))</f>
        <v/>
      </c>
      <c r="AK247" s="42" t="str">
        <f t="shared" ref="AK247" si="1065">IF(AK246="","",IF(AK246="12M","1Y",IF(AK246="24M","2Y",AK246)))</f>
        <v/>
      </c>
      <c r="AL247" s="42" t="str">
        <f t="shared" ref="AL247" si="1066">IF(AL246="","",IF(AL246="12M","1Y",IF(AL246="24M","2Y",AL246)))</f>
        <v/>
      </c>
      <c r="AM247" s="42" t="str">
        <f t="shared" ref="AM247" si="1067">IF(AM246="","",IF(AM246="12M","1Y",IF(AM246="24M","2Y",AM246)))</f>
        <v/>
      </c>
      <c r="AN247" s="42" t="str">
        <f t="shared" ref="AN247" si="1068">IF(AN246="","",IF(AN246="12M","1Y",IF(AN246="24M","2Y",AN246)))</f>
        <v/>
      </c>
      <c r="AO247" s="42" t="str">
        <f t="shared" ref="AO247" si="1069">IF(AO246="","",IF(AO246="12M","1Y",IF(AO246="24M","2Y",AO246)))</f>
        <v/>
      </c>
      <c r="AP247" s="42" t="str">
        <f t="shared" ref="AP247" si="1070">IF(AP246="","",IF(AP246="12M","1Y",IF(AP246="24M","2Y",AP246)))</f>
        <v/>
      </c>
      <c r="AQ247" s="42" t="str">
        <f t="shared" ref="AQ247" si="1071">IF(AQ246="","",IF(AQ246="12M","1Y",IF(AQ246="24M","2Y",AQ246)))</f>
        <v/>
      </c>
      <c r="AR247" s="42" t="str">
        <f t="shared" ref="AR247" si="1072">IF(AR246="","",IF(AR246="12M","1Y",IF(AR246="24M","2Y",AR246)))</f>
        <v/>
      </c>
      <c r="AS247" s="42" t="str">
        <f t="shared" ref="AS247" si="1073">IF(AS246="","",IF(AS246="12M","1Y",IF(AS246="24M","2Y",AS246)))</f>
        <v/>
      </c>
      <c r="AT247" s="42" t="str">
        <f t="shared" ref="AT247" si="1074">IF(AT246="","",IF(AT246="12M","1Y",IF(AT246="24M","2Y",AT246)))</f>
        <v/>
      </c>
      <c r="AU247" s="42" t="str">
        <f t="shared" ref="AU247" si="1075">IF(AU246="","",IF(AU246="12M","1Y",IF(AU246="24M","2Y",AU246)))</f>
        <v/>
      </c>
      <c r="AV247" s="42" t="str">
        <f t="shared" ref="AV247" si="1076">IF(AV246="","",IF(AV246="12M","1Y",IF(AV246="24M","2Y",AV246)))</f>
        <v/>
      </c>
      <c r="AW247" s="42" t="str">
        <f t="shared" ref="AW247" si="1077">IF(AW246="","",IF(AW246="12M","1Y",IF(AW246="24M","2Y",AW246)))</f>
        <v/>
      </c>
      <c r="AX247" s="42" t="str">
        <f t="shared" ref="AX247" si="1078">IF(AX246="","",IF(AX246="12M","1Y",IF(AX246="24M","2Y",AX246)))</f>
        <v/>
      </c>
      <c r="AY247" s="42" t="str">
        <f t="shared" ref="AY247" si="1079">IF(AY246="","",IF(AY246="12M","1Y",IF(AY246="24M","2Y",AY246)))</f>
        <v/>
      </c>
      <c r="AZ247" s="42" t="str">
        <f t="shared" ref="AZ247" si="1080">IF(AZ246="","",IF(AZ246="12M","1Y",IF(AZ246="24M","2Y",AZ246)))</f>
        <v/>
      </c>
      <c r="BA247" s="42" t="str">
        <f t="shared" ref="BA247" si="1081">IF(BA246="","",IF(BA246="12M","1Y",IF(BA246="24M","2Y",BA246)))</f>
        <v/>
      </c>
    </row>
    <row r="248" spans="2:53" s="41" customFormat="1" ht="15" customHeight="1">
      <c r="B248" s="7"/>
      <c r="C248" s="153" t="str">
        <f>trans_getMessage("","Name",,LANG_ID)</f>
        <v>Name</v>
      </c>
      <c r="D248" s="154"/>
      <c r="E248" s="49" t="s">
        <v>49</v>
      </c>
      <c r="F248" s="43" t="e" cm="1">
        <f t="array" aca="1" ref="F248" ca="1">IF(LEFT(_xlfn.SINGLE(_xll.BDP(F249, $E248)),1)="#", "-", _xll.BDP(F249, $E248))</f>
        <v>#NAME?</v>
      </c>
      <c r="G248" s="43" t="e" cm="1">
        <f t="array" aca="1" ref="G248" ca="1">IF(LEFT(_xlfn.SINGLE(_xll.BDP(G249, $E248)),1)="#", "-", _xll.BDP(G249, $E248))</f>
        <v>#NAME?</v>
      </c>
      <c r="H248" s="43" t="e" cm="1">
        <f t="array" aca="1" ref="H248" ca="1">IF(LEFT(_xlfn.SINGLE(_xll.BDP(H249, $E248)),1)="#", "-", _xll.BDP(H249, $E248))</f>
        <v>#NAME?</v>
      </c>
      <c r="I248" s="43" t="e" cm="1">
        <f t="array" aca="1" ref="I248" ca="1">IF(LEFT(_xlfn.SINGLE(_xll.BDP(I249, $E248)),1)="#", "-", _xll.BDP(I249, $E248))</f>
        <v>#NAME?</v>
      </c>
      <c r="J248" s="43" t="e" cm="1">
        <f t="array" aca="1" ref="J248" ca="1">IF(LEFT(_xlfn.SINGLE(_xll.BDP(J249, $E248)),1)="#", "-", _xll.BDP(J249, $E248))</f>
        <v>#NAME?</v>
      </c>
      <c r="K248" s="43" t="e" cm="1">
        <f t="array" aca="1" ref="K248" ca="1">IF(LEFT(_xlfn.SINGLE(_xll.BDP(K249, $E248)),1)="#", "-", _xll.BDP(K249, $E248))</f>
        <v>#NAME?</v>
      </c>
      <c r="L248" s="43" t="e" cm="1">
        <f t="array" aca="1" ref="L248" ca="1">IF(LEFT(_xlfn.SINGLE(_xll.BDP(L249, $E248)),1)="#", "-", _xll.BDP(L249, $E248))</f>
        <v>#NAME?</v>
      </c>
      <c r="M248" s="43" t="e" cm="1">
        <f t="array" aca="1" ref="M248" ca="1">IF(LEFT(_xlfn.SINGLE(_xll.BDP(M249, $E248)),1)="#", "-", _xll.BDP(M249, $E248))</f>
        <v>#NAME?</v>
      </c>
      <c r="N248" s="43" t="e" cm="1">
        <f t="array" aca="1" ref="N248" ca="1">IF(LEFT(_xlfn.SINGLE(_xll.BDP(N249, $E248)),1)="#", "-", _xll.BDP(N249, $E248))</f>
        <v>#NAME?</v>
      </c>
      <c r="O248" s="43" t="e" cm="1">
        <f t="array" aca="1" ref="O248" ca="1">IF(LEFT(_xlfn.SINGLE(_xll.BDP(O249, $E248)),1)="#", "-", _xll.BDP(O249, $E248))</f>
        <v>#NAME?</v>
      </c>
      <c r="P248" s="43" t="e" cm="1">
        <f t="array" aca="1" ref="P248" ca="1">IF(LEFT(_xlfn.SINGLE(_xll.BDP(P249, $E248)),1)="#", "-", _xll.BDP(P249, $E248))</f>
        <v>#NAME?</v>
      </c>
      <c r="Q248" s="43" t="e" cm="1">
        <f t="array" aca="1" ref="Q248" ca="1">IF(LEFT(_xlfn.SINGLE(_xll.BDP(Q249, $E248)),1)="#", "-", _xll.BDP(Q249, $E248))</f>
        <v>#NAME?</v>
      </c>
      <c r="R248" s="43" t="e" cm="1">
        <f t="array" aca="1" ref="R248" ca="1">IF(LEFT(_xlfn.SINGLE(_xll.BDP(R249, $E248)),1)="#", "-", _xll.BDP(R249, $E248))</f>
        <v>#NAME?</v>
      </c>
      <c r="S248" s="43" t="e" cm="1">
        <f t="array" aca="1" ref="S248" ca="1">IF(LEFT(_xlfn.SINGLE(_xll.BDP(S249, $E248)),1)="#", "-", _xll.BDP(S249, $E248))</f>
        <v>#NAME?</v>
      </c>
      <c r="T248" s="43" t="e" cm="1">
        <f t="array" aca="1" ref="T248" ca="1">IF(LEFT(_xlfn.SINGLE(_xll.BDP(T249, $E248)),1)="#", "-", _xll.BDP(T249, $E248))</f>
        <v>#NAME?</v>
      </c>
      <c r="U248" s="43" t="e" cm="1">
        <f t="array" aca="1" ref="U248" ca="1">IF(LEFT(_xlfn.SINGLE(_xll.BDP(U249, $E248)),1)="#", "-", _xll.BDP(U249, $E248))</f>
        <v>#NAME?</v>
      </c>
      <c r="V248" s="43" t="e" cm="1">
        <f t="array" aca="1" ref="V248" ca="1">IF(LEFT(_xlfn.SINGLE(_xll.BDP(V249, $E248)),1)="#", "-", _xll.BDP(V249, $E248))</f>
        <v>#NAME?</v>
      </c>
      <c r="W248" s="43" t="e" cm="1">
        <f t="array" aca="1" ref="W248" ca="1">IF(LEFT(_xlfn.SINGLE(_xll.BDP(W249, $E248)),1)="#", "-", _xll.BDP(W249, $E248))</f>
        <v>#NAME?</v>
      </c>
      <c r="X248" s="43" t="e" cm="1">
        <f t="array" aca="1" ref="X248" ca="1">IF(LEFT(_xlfn.SINGLE(_xll.BDP(X249, $E248)),1)="#", "-", _xll.BDP(X249, $E248))</f>
        <v>#NAME?</v>
      </c>
      <c r="Y248" s="43" t="e" cm="1">
        <f t="array" aca="1" ref="Y248" ca="1">IF(LEFT(_xlfn.SINGLE(_xll.BDP(Y249, $E248)),1)="#", "-", _xll.BDP(Y249, $E248))</f>
        <v>#NAME?</v>
      </c>
      <c r="Z248" s="43" t="e" cm="1">
        <f t="array" aca="1" ref="Z248" ca="1">IF(LEFT(_xlfn.SINGLE(_xll.BDP(Z249, $E248)),1)="#", "-", _xll.BDP(Z249, $E248))</f>
        <v>#NAME?</v>
      </c>
      <c r="AA248" s="43" t="e" cm="1">
        <f t="array" aca="1" ref="AA248" ca="1">IF(LEFT(_xlfn.SINGLE(_xll.BDP(AA249, $E248)),1)="#", "-", _xll.BDP(AA249, $E248))</f>
        <v>#NAME?</v>
      </c>
      <c r="AB248" s="43" t="e" cm="1">
        <f t="array" aca="1" ref="AB248" ca="1">IF(LEFT(_xlfn.SINGLE(_xll.BDP(AB249, $E248)),1)="#", "-", _xll.BDP(AB249, $E248))</f>
        <v>#NAME?</v>
      </c>
      <c r="AC248" s="43" t="e" cm="1">
        <f t="array" aca="1" ref="AC248" ca="1">IF(LEFT(_xlfn.SINGLE(_xll.BDP(AC249, $E248)),1)="#", "-", _xll.BDP(AC249, $E248))</f>
        <v>#NAME?</v>
      </c>
      <c r="AD248" s="43" t="e" cm="1">
        <f t="array" aca="1" ref="AD248" ca="1">IF(LEFT(_xlfn.SINGLE(_xll.BDP(AD249, $E248)),1)="#", "-", _xll.BDP(AD249, $E248))</f>
        <v>#NAME?</v>
      </c>
      <c r="AE248" s="43" t="e" cm="1">
        <f t="array" aca="1" ref="AE248" ca="1">IF(LEFT(_xlfn.SINGLE(_xll.BDP(AE249, $E248)),1)="#", "-", _xll.BDP(AE249, $E248))</f>
        <v>#NAME?</v>
      </c>
      <c r="AF248" s="43" t="e" cm="1">
        <f t="array" aca="1" ref="AF248" ca="1">IF(LEFT(_xlfn.SINGLE(_xll.BDP(AF249, $E248)),1)="#", "-", _xll.BDP(AF249, $E248))</f>
        <v>#NAME?</v>
      </c>
      <c r="AG248" s="43" t="e" cm="1">
        <f t="array" aca="1" ref="AG248" ca="1">IF(LEFT(_xlfn.SINGLE(_xll.BDP(AG249, $E248)),1)="#", "-", _xll.BDP(AG249, $E248))</f>
        <v>#NAME?</v>
      </c>
      <c r="AH248" s="43" t="e" cm="1">
        <f t="array" aca="1" ref="AH248" ca="1">IF(LEFT(_xlfn.SINGLE(_xll.BDP(AH249, $E248)),1)="#", "-", _xll.BDP(AH249, $E248))</f>
        <v>#NAME?</v>
      </c>
      <c r="AI248" s="43" t="e" cm="1">
        <f t="array" aca="1" ref="AI248" ca="1">IF(LEFT(_xlfn.SINGLE(_xll.BDP(AI249, $E248)),1)="#", "-", _xll.BDP(AI249, $E248))</f>
        <v>#NAME?</v>
      </c>
      <c r="AJ248" s="43" t="e" cm="1">
        <f t="array" aca="1" ref="AJ248" ca="1">IF(LEFT(_xlfn.SINGLE(_xll.BDP(AJ249, $E248)),1)="#", "-", _xll.BDP(AJ249, $E248))</f>
        <v>#NAME?</v>
      </c>
      <c r="AK248" s="43" t="e" cm="1">
        <f t="array" aca="1" ref="AK248" ca="1">IF(LEFT(_xlfn.SINGLE(_xll.BDP(AK249, $E248)),1)="#", "-", _xll.BDP(AK249, $E248))</f>
        <v>#NAME?</v>
      </c>
      <c r="AL248" s="43" t="e" cm="1">
        <f t="array" aca="1" ref="AL248" ca="1">IF(LEFT(_xlfn.SINGLE(_xll.BDP(AL249, $E248)),1)="#", "-", _xll.BDP(AL249, $E248))</f>
        <v>#NAME?</v>
      </c>
      <c r="AM248" s="43" t="e" cm="1">
        <f t="array" aca="1" ref="AM248" ca="1">IF(LEFT(_xlfn.SINGLE(_xll.BDP(AM249, $E248)),1)="#", "-", _xll.BDP(AM249, $E248))</f>
        <v>#NAME?</v>
      </c>
      <c r="AN248" s="43" t="e" cm="1">
        <f t="array" aca="1" ref="AN248" ca="1">IF(LEFT(_xlfn.SINGLE(_xll.BDP(AN249, $E248)),1)="#", "-", _xll.BDP(AN249, $E248))</f>
        <v>#NAME?</v>
      </c>
      <c r="AO248" s="43" t="e" cm="1">
        <f t="array" aca="1" ref="AO248" ca="1">IF(LEFT(_xlfn.SINGLE(_xll.BDP(AO249, $E248)),1)="#", "-", _xll.BDP(AO249, $E248))</f>
        <v>#NAME?</v>
      </c>
      <c r="AP248" s="43" t="e" cm="1">
        <f t="array" aca="1" ref="AP248" ca="1">IF(LEFT(_xlfn.SINGLE(_xll.BDP(AP249, $E248)),1)="#", "-", _xll.BDP(AP249, $E248))</f>
        <v>#NAME?</v>
      </c>
      <c r="AQ248" s="43" t="e" cm="1">
        <f t="array" aca="1" ref="AQ248" ca="1">IF(LEFT(_xlfn.SINGLE(_xll.BDP(AQ249, $E248)),1)="#", "-", _xll.BDP(AQ249, $E248))</f>
        <v>#NAME?</v>
      </c>
      <c r="AR248" s="43" t="e" cm="1">
        <f t="array" aca="1" ref="AR248" ca="1">IF(LEFT(_xlfn.SINGLE(_xll.BDP(AR249, $E248)),1)="#", "-", _xll.BDP(AR249, $E248))</f>
        <v>#NAME?</v>
      </c>
      <c r="AS248" s="43" t="e" cm="1">
        <f t="array" aca="1" ref="AS248" ca="1">IF(LEFT(_xlfn.SINGLE(_xll.BDP(AS249, $E248)),1)="#", "-", _xll.BDP(AS249, $E248))</f>
        <v>#NAME?</v>
      </c>
      <c r="AT248" s="43" t="e" cm="1">
        <f t="array" aca="1" ref="AT248" ca="1">IF(LEFT(_xlfn.SINGLE(_xll.BDP(AT249, $E248)),1)="#", "-", _xll.BDP(AT249, $E248))</f>
        <v>#NAME?</v>
      </c>
      <c r="AU248" s="43" t="e" cm="1">
        <f t="array" aca="1" ref="AU248" ca="1">IF(LEFT(_xlfn.SINGLE(_xll.BDP(AU249, $E248)),1)="#", "-", _xll.BDP(AU249, $E248))</f>
        <v>#NAME?</v>
      </c>
      <c r="AV248" s="43" t="e" cm="1">
        <f t="array" aca="1" ref="AV248" ca="1">IF(LEFT(_xlfn.SINGLE(_xll.BDP(AV249, $E248)),1)="#", "-", _xll.BDP(AV249, $E248))</f>
        <v>#NAME?</v>
      </c>
      <c r="AW248" s="43" t="e" cm="1">
        <f t="array" aca="1" ref="AW248" ca="1">IF(LEFT(_xlfn.SINGLE(_xll.BDP(AW249, $E248)),1)="#", "-", _xll.BDP(AW249, $E248))</f>
        <v>#NAME?</v>
      </c>
      <c r="AX248" s="43" t="e" cm="1">
        <f t="array" aca="1" ref="AX248" ca="1">IF(LEFT(_xlfn.SINGLE(_xll.BDP(AX249, $E248)),1)="#", "-", _xll.BDP(AX249, $E248))</f>
        <v>#NAME?</v>
      </c>
      <c r="AY248" s="43" t="e" cm="1">
        <f t="array" aca="1" ref="AY248" ca="1">IF(LEFT(_xlfn.SINGLE(_xll.BDP(AY249, $E248)),1)="#", "-", _xll.BDP(AY249, $E248))</f>
        <v>#NAME?</v>
      </c>
      <c r="AZ248" s="43" t="e" cm="1">
        <f t="array" aca="1" ref="AZ248" ca="1">IF(LEFT(_xlfn.SINGLE(_xll.BDP(AZ249, $E248)),1)="#", "-", _xll.BDP(AZ249, $E248))</f>
        <v>#NAME?</v>
      </c>
      <c r="BA248" s="45" t="e" cm="1">
        <f t="array" aca="1" ref="BA248" ca="1">IF(LEFT(_xlfn.SINGLE(_xll.BDP(BA249, $E248)),1)="#", "-", _xll.BDP(BA249, $E248))</f>
        <v>#NAME?</v>
      </c>
    </row>
    <row r="249" spans="2:53" ht="15" customHeight="1">
      <c r="B249" s="40"/>
      <c r="C249" s="145" t="str">
        <f>trans_getMessage("","Curve Tickers",,LANG_ID)</f>
        <v>Curve Tickers</v>
      </c>
      <c r="D249" s="146"/>
      <c r="E249" s="50" t="s">
        <v>46</v>
      </c>
      <c r="F249" s="42" t="e" cm="1">
        <f t="array" aca="1" ref="F249" ca="1">_xll.BDS(E244,E249,"Dir=H",)</f>
        <v>#NAME?</v>
      </c>
      <c r="G249" s="94"/>
      <c r="H249" s="94"/>
      <c r="I249" s="94"/>
      <c r="J249" s="94"/>
      <c r="K249" s="94"/>
      <c r="L249" s="42"/>
      <c r="M249" s="42"/>
      <c r="N249" s="42"/>
      <c r="O249" s="42"/>
      <c r="P249" s="42"/>
      <c r="Q249" s="42"/>
      <c r="R249" s="42"/>
      <c r="S249" s="42"/>
      <c r="T249" s="42"/>
      <c r="U249" s="42"/>
      <c r="V249" s="42"/>
      <c r="W249" s="42"/>
      <c r="X249" s="42"/>
      <c r="Y249" s="42"/>
      <c r="Z249" s="42"/>
      <c r="AA249" s="42"/>
      <c r="AB249" s="42"/>
      <c r="AC249" s="42"/>
      <c r="AD249" s="42"/>
      <c r="AE249" s="42"/>
      <c r="AF249" s="42"/>
      <c r="AG249" s="42"/>
      <c r="AH249" s="42"/>
      <c r="AI249" s="42"/>
      <c r="AJ249" s="42"/>
      <c r="AK249" s="42"/>
      <c r="AL249" s="42"/>
      <c r="AM249" s="42"/>
      <c r="AN249" s="42"/>
      <c r="AO249" s="42"/>
      <c r="AP249" s="42"/>
      <c r="AQ249" s="42"/>
      <c r="AR249" s="42"/>
      <c r="AS249" s="42"/>
      <c r="AT249" s="42"/>
      <c r="AU249" s="42"/>
      <c r="AV249" s="42"/>
      <c r="AW249" s="42"/>
      <c r="AX249" s="42"/>
      <c r="AY249" s="42"/>
      <c r="AZ249" s="42"/>
      <c r="BA249" s="44"/>
    </row>
    <row r="250" spans="2:53" ht="18" customHeight="1">
      <c r="C250" s="138" t="str">
        <f>trans_getMessage("","Rate",,LANG_ID)</f>
        <v>Rate</v>
      </c>
      <c r="D250" s="139"/>
      <c r="E250" s="51" t="s">
        <v>44</v>
      </c>
      <c r="F250" s="46" t="str" cm="1">
        <f t="array" aca="1" ref="F250" ca="1">IF(ISERROR(_xlfn.SINGLE(_xll.BDP(F249, $E250))*1), "-", _xll.BDP(F249, $E250))</f>
        <v>-</v>
      </c>
      <c r="G250" s="95" t="str" cm="1">
        <f t="array" aca="1" ref="G250" ca="1">IF(ISERROR(_xlfn.SINGLE(_xll.BDP(G249, $E250))*1), "-", _xll.BDP(G249, $E250))</f>
        <v>-</v>
      </c>
      <c r="H250" s="95" t="str" cm="1">
        <f t="array" aca="1" ref="H250" ca="1">IF(ISERROR(_xlfn.SINGLE(_xll.BDP(H249, $E250))*1), "-", _xll.BDP(H249, $E250))</f>
        <v>-</v>
      </c>
      <c r="I250" s="95" t="str" cm="1">
        <f t="array" aca="1" ref="I250" ca="1">IF(ISERROR(_xlfn.SINGLE(_xll.BDP(I249, $E250))*1), "-", _xll.BDP(I249, $E250))</f>
        <v>-</v>
      </c>
      <c r="J250" s="95" t="str" cm="1">
        <f t="array" aca="1" ref="J250" ca="1">IF(ISERROR(_xlfn.SINGLE(_xll.BDP(J249, $E250))*1), "-", _xll.BDP(J249, $E250))</f>
        <v>-</v>
      </c>
      <c r="K250" s="95" t="str" cm="1">
        <f t="array" aca="1" ref="K250" ca="1">IF(ISERROR(_xlfn.SINGLE(_xll.BDP(K249, $E250))*1), "-", _xll.BDP(K249, $E250))</f>
        <v>-</v>
      </c>
      <c r="L250" s="46" t="str" cm="1">
        <f t="array" aca="1" ref="L250" ca="1">IF(ISERROR(_xlfn.SINGLE(_xll.BDP(L249, $E250))*1), "-", _xll.BDP(L249, $E250))</f>
        <v>-</v>
      </c>
      <c r="M250" s="46" t="str" cm="1">
        <f t="array" aca="1" ref="M250" ca="1">IF(ISERROR(_xlfn.SINGLE(_xll.BDP(M249, $E250))*1), "-", _xll.BDP(M249, $E250))</f>
        <v>-</v>
      </c>
      <c r="N250" s="46" t="str" cm="1">
        <f t="array" aca="1" ref="N250" ca="1">IF(ISERROR(_xlfn.SINGLE(_xll.BDP(N249, $E250))*1), "-", _xll.BDP(N249, $E250))</f>
        <v>-</v>
      </c>
      <c r="O250" s="46" t="str" cm="1">
        <f t="array" aca="1" ref="O250" ca="1">IF(ISERROR(_xlfn.SINGLE(_xll.BDP(O249, $E250))*1), "-", _xll.BDP(O249, $E250))</f>
        <v>-</v>
      </c>
      <c r="P250" s="46" t="str" cm="1">
        <f t="array" aca="1" ref="P250" ca="1">IF(ISERROR(_xlfn.SINGLE(_xll.BDP(P249, $E250))*1), "-", _xll.BDP(P249, $E250))</f>
        <v>-</v>
      </c>
      <c r="Q250" s="46" t="str" cm="1">
        <f t="array" aca="1" ref="Q250" ca="1">IF(ISERROR(_xlfn.SINGLE(_xll.BDP(Q249, $E250))*1), "-", _xll.BDP(Q249, $E250))</f>
        <v>-</v>
      </c>
      <c r="R250" s="46" t="str" cm="1">
        <f t="array" aca="1" ref="R250" ca="1">IF(ISERROR(_xlfn.SINGLE(_xll.BDP(R249, $E250))*1), "-", _xll.BDP(R249, $E250))</f>
        <v>-</v>
      </c>
      <c r="S250" s="46" t="str" cm="1">
        <f t="array" aca="1" ref="S250" ca="1">IF(ISERROR(_xlfn.SINGLE(_xll.BDP(S249, $E250))*1), "-", _xll.BDP(S249, $E250))</f>
        <v>-</v>
      </c>
      <c r="T250" s="46" t="str" cm="1">
        <f t="array" aca="1" ref="T250" ca="1">IF(ISERROR(_xlfn.SINGLE(_xll.BDP(T249, $E250))*1), "-", _xll.BDP(T249, $E250))</f>
        <v>-</v>
      </c>
      <c r="U250" s="46" t="str" cm="1">
        <f t="array" aca="1" ref="U250" ca="1">IF(ISERROR(_xlfn.SINGLE(_xll.BDP(U249, $E250))*1), "-", _xll.BDP(U249, $E250))</f>
        <v>-</v>
      </c>
      <c r="V250" s="46" t="str" cm="1">
        <f t="array" aca="1" ref="V250" ca="1">IF(ISERROR(_xlfn.SINGLE(_xll.BDP(V249, $E250))*1), "-", _xll.BDP(V249, $E250))</f>
        <v>-</v>
      </c>
      <c r="W250" s="46" t="str" cm="1">
        <f t="array" aca="1" ref="W250" ca="1">IF(ISERROR(_xlfn.SINGLE(_xll.BDP(W249, $E250))*1), "-", _xll.BDP(W249, $E250))</f>
        <v>-</v>
      </c>
      <c r="X250" s="46" t="str" cm="1">
        <f t="array" aca="1" ref="X250" ca="1">IF(ISERROR(_xlfn.SINGLE(_xll.BDP(X249, $E250))*1), "-", _xll.BDP(X249, $E250))</f>
        <v>-</v>
      </c>
      <c r="Y250" s="46" t="str" cm="1">
        <f t="array" aca="1" ref="Y250" ca="1">IF(ISERROR(_xlfn.SINGLE(_xll.BDP(Y249, $E250))*1), "-", _xll.BDP(Y249, $E250))</f>
        <v>-</v>
      </c>
      <c r="Z250" s="46" t="str" cm="1">
        <f t="array" aca="1" ref="Z250" ca="1">IF(ISERROR(_xlfn.SINGLE(_xll.BDP(Z249, $E250))*1), "-", _xll.BDP(Z249, $E250))</f>
        <v>-</v>
      </c>
      <c r="AA250" s="46" t="str" cm="1">
        <f t="array" aca="1" ref="AA250" ca="1">IF(ISERROR(_xlfn.SINGLE(_xll.BDP(AA249, $E250))*1), "-", _xll.BDP(AA249, $E250))</f>
        <v>-</v>
      </c>
      <c r="AB250" s="46" t="str" cm="1">
        <f t="array" aca="1" ref="AB250" ca="1">IF(ISERROR(_xlfn.SINGLE(_xll.BDP(AB249, $E250))*1), "-", _xll.BDP(AB249, $E250))</f>
        <v>-</v>
      </c>
      <c r="AC250" s="46" t="str" cm="1">
        <f t="array" aca="1" ref="AC250" ca="1">IF(ISERROR(_xlfn.SINGLE(_xll.BDP(AC249, $E250))*1), "-", _xll.BDP(AC249, $E250))</f>
        <v>-</v>
      </c>
      <c r="AD250" s="46" t="str" cm="1">
        <f t="array" aca="1" ref="AD250" ca="1">IF(ISERROR(_xlfn.SINGLE(_xll.BDP(AD249, $E250))*1), "-", _xll.BDP(AD249, $E250))</f>
        <v>-</v>
      </c>
      <c r="AE250" s="46" t="str" cm="1">
        <f t="array" aca="1" ref="AE250" ca="1">IF(ISERROR(_xlfn.SINGLE(_xll.BDP(AE249, $E250))*1), "-", _xll.BDP(AE249, $E250))</f>
        <v>-</v>
      </c>
      <c r="AF250" s="46" t="str" cm="1">
        <f t="array" aca="1" ref="AF250" ca="1">IF(ISERROR(_xlfn.SINGLE(_xll.BDP(AF249, $E250))*1), "-", _xll.BDP(AF249, $E250))</f>
        <v>-</v>
      </c>
      <c r="AG250" s="46" t="str" cm="1">
        <f t="array" aca="1" ref="AG250" ca="1">IF(ISERROR(_xlfn.SINGLE(_xll.BDP(AG249, $E250))*1), "-", _xll.BDP(AG249, $E250))</f>
        <v>-</v>
      </c>
      <c r="AH250" s="46" t="str" cm="1">
        <f t="array" aca="1" ref="AH250" ca="1">IF(ISERROR(_xlfn.SINGLE(_xll.BDP(AH249, $E250))*1), "-", _xll.BDP(AH249, $E250))</f>
        <v>-</v>
      </c>
      <c r="AI250" s="46" t="str" cm="1">
        <f t="array" aca="1" ref="AI250" ca="1">IF(ISERROR(_xlfn.SINGLE(_xll.BDP(AI249, $E250))*1), "-", _xll.BDP(AI249, $E250))</f>
        <v>-</v>
      </c>
      <c r="AJ250" s="46" t="str" cm="1">
        <f t="array" aca="1" ref="AJ250" ca="1">IF(ISERROR(_xlfn.SINGLE(_xll.BDP(AJ249, $E250))*1), "-", _xll.BDP(AJ249, $E250))</f>
        <v>-</v>
      </c>
      <c r="AK250" s="46" t="str" cm="1">
        <f t="array" aca="1" ref="AK250" ca="1">IF(ISERROR(_xlfn.SINGLE(_xll.BDP(AK249, $E250))*1), "-", _xll.BDP(AK249, $E250))</f>
        <v>-</v>
      </c>
      <c r="AL250" s="46" t="str" cm="1">
        <f t="array" aca="1" ref="AL250" ca="1">IF(ISERROR(_xlfn.SINGLE(_xll.BDP(AL249, $E250))*1), "-", _xll.BDP(AL249, $E250))</f>
        <v>-</v>
      </c>
      <c r="AM250" s="46" t="str" cm="1">
        <f t="array" aca="1" ref="AM250" ca="1">IF(ISERROR(_xlfn.SINGLE(_xll.BDP(AM249, $E250))*1), "-", _xll.BDP(AM249, $E250))</f>
        <v>-</v>
      </c>
      <c r="AN250" s="46" t="str" cm="1">
        <f t="array" aca="1" ref="AN250" ca="1">IF(ISERROR(_xlfn.SINGLE(_xll.BDP(AN249, $E250))*1), "-", _xll.BDP(AN249, $E250))</f>
        <v>-</v>
      </c>
      <c r="AO250" s="46" t="str" cm="1">
        <f t="array" aca="1" ref="AO250" ca="1">IF(ISERROR(_xlfn.SINGLE(_xll.BDP(AO249, $E250))*1), "-", _xll.BDP(AO249, $E250))</f>
        <v>-</v>
      </c>
      <c r="AP250" s="46" t="str" cm="1">
        <f t="array" aca="1" ref="AP250" ca="1">IF(ISERROR(_xlfn.SINGLE(_xll.BDP(AP249, $E250))*1), "-", _xll.BDP(AP249, $E250))</f>
        <v>-</v>
      </c>
      <c r="AQ250" s="46" t="str" cm="1">
        <f t="array" aca="1" ref="AQ250" ca="1">IF(ISERROR(_xlfn.SINGLE(_xll.BDP(AQ249, $E250))*1), "-", _xll.BDP(AQ249, $E250))</f>
        <v>-</v>
      </c>
      <c r="AR250" s="46" t="str" cm="1">
        <f t="array" aca="1" ref="AR250" ca="1">IF(ISERROR(_xlfn.SINGLE(_xll.BDP(AR249, $E250))*1), "-", _xll.BDP(AR249, $E250))</f>
        <v>-</v>
      </c>
      <c r="AS250" s="46" t="str" cm="1">
        <f t="array" aca="1" ref="AS250" ca="1">IF(ISERROR(_xlfn.SINGLE(_xll.BDP(AS249, $E250))*1), "-", _xll.BDP(AS249, $E250))</f>
        <v>-</v>
      </c>
      <c r="AT250" s="46" t="str" cm="1">
        <f t="array" aca="1" ref="AT250" ca="1">IF(ISERROR(_xlfn.SINGLE(_xll.BDP(AT249, $E250))*1), "-", _xll.BDP(AT249, $E250))</f>
        <v>-</v>
      </c>
      <c r="AU250" s="46" t="str" cm="1">
        <f t="array" aca="1" ref="AU250" ca="1">IF(ISERROR(_xlfn.SINGLE(_xll.BDP(AU249, $E250))*1), "-", _xll.BDP(AU249, $E250))</f>
        <v>-</v>
      </c>
      <c r="AV250" s="46" t="str" cm="1">
        <f t="array" aca="1" ref="AV250" ca="1">IF(ISERROR(_xlfn.SINGLE(_xll.BDP(AV249, $E250))*1), "-", _xll.BDP(AV249, $E250))</f>
        <v>-</v>
      </c>
      <c r="AW250" s="46" t="str" cm="1">
        <f t="array" aca="1" ref="AW250" ca="1">IF(ISERROR(_xlfn.SINGLE(_xll.BDP(AW249, $E250))*1), "-", _xll.BDP(AW249, $E250))</f>
        <v>-</v>
      </c>
      <c r="AX250" s="46" t="str" cm="1">
        <f t="array" aca="1" ref="AX250" ca="1">IF(ISERROR(_xlfn.SINGLE(_xll.BDP(AX249, $E250))*1), "-", _xll.BDP(AX249, $E250))</f>
        <v>-</v>
      </c>
      <c r="AY250" s="46" t="str" cm="1">
        <f t="array" aca="1" ref="AY250" ca="1">IF(ISERROR(_xlfn.SINGLE(_xll.BDP(AY249, $E250))*1), "-", _xll.BDP(AY249, $E250))</f>
        <v>-</v>
      </c>
      <c r="AZ250" s="46" t="str" cm="1">
        <f t="array" aca="1" ref="AZ250" ca="1">IF(ISERROR(_xlfn.SINGLE(_xll.BDP(AZ249, $E250))*1), "-", _xll.BDP(AZ249, $E250))</f>
        <v>-</v>
      </c>
      <c r="BA250" s="47" t="str" cm="1">
        <f t="array" aca="1" ref="BA250" ca="1">IF(ISERROR(_xlfn.SINGLE(_xll.BDP(BA249, $E250))*1), "-", _xll.BDP(BA249, $E250))</f>
        <v>-</v>
      </c>
    </row>
    <row r="251" spans="2:53" ht="3" customHeight="1"/>
    <row r="252" spans="2:53" ht="1.5" customHeight="1"/>
    <row r="253" spans="2:53" ht="15" customHeight="1">
      <c r="B253" s="38" t="s">
        <v>84</v>
      </c>
      <c r="C253" s="140" t="str">
        <f>trans_getMessage("","Curve Number",,LANG_ID)</f>
        <v>Curve Number</v>
      </c>
      <c r="D253" s="141"/>
      <c r="E253" s="142">
        <f>VLOOKUP(B253, 'Currency-Curve List'!$C$9:$E$103, 2, FALSE)</f>
        <v>81</v>
      </c>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4"/>
    </row>
    <row r="254" spans="2:53" ht="15" customHeight="1">
      <c r="C254" s="145" t="str">
        <f>trans_getMessage("","Curve Index",,LANG_ID)</f>
        <v>Curve Index</v>
      </c>
      <c r="D254" s="146"/>
      <c r="E254" s="147" t="str">
        <f>VLOOKUP(B253, 'Currency-Curve List'!$C$9:$E$103, 3, FALSE)</f>
        <v>YCSW0081 Index</v>
      </c>
      <c r="F254" s="148"/>
      <c r="G254" s="148" t="s">
        <v>11</v>
      </c>
      <c r="H254" s="148" t="s">
        <v>2</v>
      </c>
      <c r="I254" s="148" t="s">
        <v>12</v>
      </c>
      <c r="J254" s="148" t="s">
        <v>13</v>
      </c>
      <c r="K254" s="148" t="s">
        <v>3</v>
      </c>
      <c r="L254" s="148" t="s">
        <v>15</v>
      </c>
      <c r="M254" s="148" t="s">
        <v>5</v>
      </c>
      <c r="N254" s="148" t="s">
        <v>6</v>
      </c>
      <c r="O254" s="148" t="s">
        <v>7</v>
      </c>
      <c r="P254" s="148" t="s">
        <v>8</v>
      </c>
      <c r="Q254" s="148" t="s">
        <v>9</v>
      </c>
      <c r="R254" s="148" t="s">
        <v>17</v>
      </c>
      <c r="S254" s="148" t="s">
        <v>18</v>
      </c>
      <c r="T254" s="148"/>
      <c r="U254" s="148"/>
      <c r="V254" s="148"/>
      <c r="W254" s="148"/>
      <c r="X254" s="148"/>
      <c r="Y254" s="148"/>
      <c r="Z254" s="148"/>
      <c r="AA254" s="148"/>
      <c r="AB254" s="148"/>
      <c r="AC254" s="148"/>
      <c r="AD254" s="148"/>
      <c r="AE254" s="148"/>
      <c r="AF254" s="148"/>
      <c r="AG254" s="148"/>
      <c r="AH254" s="148"/>
      <c r="AI254" s="148"/>
      <c r="AJ254" s="148"/>
      <c r="AK254" s="148"/>
      <c r="AL254" s="148"/>
      <c r="AM254" s="148"/>
      <c r="AN254" s="148"/>
      <c r="AO254" s="148"/>
      <c r="AP254" s="148"/>
      <c r="AQ254" s="148"/>
      <c r="AR254" s="148"/>
      <c r="AS254" s="148"/>
      <c r="AT254" s="148"/>
      <c r="AU254" s="148"/>
      <c r="AV254" s="148"/>
      <c r="AW254" s="148"/>
      <c r="AX254" s="148"/>
      <c r="AY254" s="148"/>
      <c r="AZ254" s="148"/>
      <c r="BA254" s="149"/>
    </row>
    <row r="255" spans="2:53" ht="15" customHeight="1">
      <c r="C255" s="145" t="str">
        <f>trans_getMessage("","Curve Name",,LANG_ID)</f>
        <v>Curve Name</v>
      </c>
      <c r="D255" s="146"/>
      <c r="E255" s="150" t="e" cm="1">
        <f t="array" aca="1" ref="E255" ca="1">_xll.BDP(E254, "NAME")</f>
        <v>#NAME?</v>
      </c>
      <c r="F255" s="151"/>
      <c r="G255" s="151"/>
      <c r="H255" s="151"/>
      <c r="I255" s="151"/>
      <c r="J255" s="151"/>
      <c r="K255" s="151"/>
      <c r="L255" s="151"/>
      <c r="M255" s="151"/>
      <c r="N255" s="151"/>
      <c r="O255" s="151"/>
      <c r="P255" s="151"/>
      <c r="Q255" s="151"/>
      <c r="R255" s="151"/>
      <c r="S255" s="151"/>
      <c r="T255" s="151"/>
      <c r="U255" s="151"/>
      <c r="V255" s="151"/>
      <c r="W255" s="151"/>
      <c r="X255" s="151"/>
      <c r="Y255" s="151"/>
      <c r="Z255" s="151"/>
      <c r="AA255" s="151"/>
      <c r="AB255" s="151"/>
      <c r="AC255" s="151"/>
      <c r="AD255" s="151"/>
      <c r="AE255" s="151"/>
      <c r="AF255" s="151"/>
      <c r="AG255" s="151"/>
      <c r="AH255" s="151"/>
      <c r="AI255" s="151"/>
      <c r="AJ255" s="151"/>
      <c r="AK255" s="151"/>
      <c r="AL255" s="151"/>
      <c r="AM255" s="151"/>
      <c r="AN255" s="151"/>
      <c r="AO255" s="151"/>
      <c r="AP255" s="151"/>
      <c r="AQ255" s="151"/>
      <c r="AR255" s="151"/>
      <c r="AS255" s="151"/>
      <c r="AT255" s="151"/>
      <c r="AU255" s="151"/>
      <c r="AV255" s="151"/>
      <c r="AW255" s="151"/>
      <c r="AX255" s="151"/>
      <c r="AY255" s="151"/>
      <c r="AZ255" s="151"/>
      <c r="BA255" s="152"/>
    </row>
    <row r="256" spans="2:53" ht="15" customHeight="1">
      <c r="C256" s="145" t="str">
        <f>trans_getMessage("","Tenors",,LANG_ID)</f>
        <v>Tenors</v>
      </c>
      <c r="D256" s="146"/>
      <c r="E256" s="48" t="s">
        <v>50</v>
      </c>
      <c r="F256" s="42" t="e" cm="1">
        <f t="array" aca="1" ref="F256" ca="1">_xll.BDS(E254,E256,"Dir=H",)</f>
        <v>#NAME?</v>
      </c>
      <c r="G256" s="42"/>
      <c r="H256" s="42"/>
      <c r="I256" s="42"/>
      <c r="J256" s="42"/>
      <c r="K256" s="42"/>
      <c r="L256" s="42"/>
      <c r="M256" s="42"/>
      <c r="N256" s="42"/>
      <c r="O256" s="42"/>
      <c r="P256" s="42"/>
      <c r="Q256" s="42"/>
      <c r="R256" s="42"/>
      <c r="S256" s="42"/>
      <c r="T256" s="42"/>
      <c r="U256" s="42"/>
      <c r="V256" s="42"/>
      <c r="W256" s="42"/>
      <c r="X256" s="42"/>
      <c r="Y256" s="42"/>
      <c r="Z256" s="42"/>
      <c r="AA256" s="42"/>
      <c r="AB256" s="42"/>
      <c r="AC256" s="42"/>
      <c r="AD256" s="42"/>
      <c r="AE256" s="42"/>
      <c r="AF256" s="42"/>
      <c r="AG256" s="42"/>
      <c r="AH256" s="42"/>
      <c r="AI256" s="42"/>
      <c r="AJ256" s="42"/>
      <c r="AK256" s="42"/>
      <c r="AL256" s="42"/>
      <c r="AM256" s="42"/>
      <c r="AN256" s="42"/>
      <c r="AO256" s="42"/>
      <c r="AP256" s="42"/>
      <c r="AQ256" s="42"/>
      <c r="AR256" s="42"/>
      <c r="AS256" s="42"/>
      <c r="AT256" s="42"/>
      <c r="AU256" s="42"/>
      <c r="AV256" s="42"/>
      <c r="AW256" s="42"/>
      <c r="AX256" s="42"/>
      <c r="AY256" s="42"/>
      <c r="AZ256" s="42"/>
      <c r="BA256" s="44"/>
    </row>
    <row r="257" spans="2:53" ht="15" hidden="1" customHeight="1">
      <c r="C257" s="145" t="s">
        <v>2211</v>
      </c>
      <c r="D257" s="146"/>
      <c r="E257" s="48"/>
      <c r="F257" s="42" t="e">
        <f ca="1">IF(F256="","",IF(F256="12M","1Y",IF(F256="24M","2Y",F256)))</f>
        <v>#NAME?</v>
      </c>
      <c r="G257" s="42" t="str">
        <f t="shared" ref="G257" si="1082">IF(G256="","",IF(G256="12M","1Y",IF(G256="24M","2Y",G256)))</f>
        <v/>
      </c>
      <c r="H257" s="42" t="str">
        <f t="shared" ref="H257" si="1083">IF(H256="","",IF(H256="12M","1Y",IF(H256="24M","2Y",H256)))</f>
        <v/>
      </c>
      <c r="I257" s="42" t="str">
        <f t="shared" ref="I257" si="1084">IF(I256="","",IF(I256="12M","1Y",IF(I256="24M","2Y",I256)))</f>
        <v/>
      </c>
      <c r="J257" s="42" t="str">
        <f t="shared" ref="J257" si="1085">IF(J256="","",IF(J256="12M","1Y",IF(J256="24M","2Y",J256)))</f>
        <v/>
      </c>
      <c r="K257" s="42" t="str">
        <f t="shared" ref="K257" si="1086">IF(K256="","",IF(K256="12M","1Y",IF(K256="24M","2Y",K256)))</f>
        <v/>
      </c>
      <c r="L257" s="42" t="str">
        <f t="shared" ref="L257" si="1087">IF(L256="","",IF(L256="12M","1Y",IF(L256="24M","2Y",L256)))</f>
        <v/>
      </c>
      <c r="M257" s="42" t="str">
        <f t="shared" ref="M257" si="1088">IF(M256="","",IF(M256="12M","1Y",IF(M256="24M","2Y",M256)))</f>
        <v/>
      </c>
      <c r="N257" s="42" t="str">
        <f t="shared" ref="N257" si="1089">IF(N256="","",IF(N256="12M","1Y",IF(N256="24M","2Y",N256)))</f>
        <v/>
      </c>
      <c r="O257" s="42" t="str">
        <f t="shared" ref="O257" si="1090">IF(O256="","",IF(O256="12M","1Y",IF(O256="24M","2Y",O256)))</f>
        <v/>
      </c>
      <c r="P257" s="42" t="str">
        <f t="shared" ref="P257" si="1091">IF(P256="","",IF(P256="12M","1Y",IF(P256="24M","2Y",P256)))</f>
        <v/>
      </c>
      <c r="Q257" s="42" t="str">
        <f t="shared" ref="Q257" si="1092">IF(Q256="","",IF(Q256="12M","1Y",IF(Q256="24M","2Y",Q256)))</f>
        <v/>
      </c>
      <c r="R257" s="42" t="str">
        <f t="shared" ref="R257" si="1093">IF(R256="","",IF(R256="12M","1Y",IF(R256="24M","2Y",R256)))</f>
        <v/>
      </c>
      <c r="S257" s="42" t="str">
        <f t="shared" ref="S257" si="1094">IF(S256="","",IF(S256="12M","1Y",IF(S256="24M","2Y",S256)))</f>
        <v/>
      </c>
      <c r="T257" s="42" t="str">
        <f t="shared" ref="T257" si="1095">IF(T256="","",IF(T256="12M","1Y",IF(T256="24M","2Y",T256)))</f>
        <v/>
      </c>
      <c r="U257" s="42" t="str">
        <f t="shared" ref="U257" si="1096">IF(U256="","",IF(U256="12M","1Y",IF(U256="24M","2Y",U256)))</f>
        <v/>
      </c>
      <c r="V257" s="42" t="str">
        <f t="shared" ref="V257" si="1097">IF(V256="","",IF(V256="12M","1Y",IF(V256="24M","2Y",V256)))</f>
        <v/>
      </c>
      <c r="W257" s="42" t="str">
        <f t="shared" ref="W257" si="1098">IF(W256="","",IF(W256="12M","1Y",IF(W256="24M","2Y",W256)))</f>
        <v/>
      </c>
      <c r="X257" s="42" t="str">
        <f t="shared" ref="X257" si="1099">IF(X256="","",IF(X256="12M","1Y",IF(X256="24M","2Y",X256)))</f>
        <v/>
      </c>
      <c r="Y257" s="42" t="str">
        <f t="shared" ref="Y257" si="1100">IF(Y256="","",IF(Y256="12M","1Y",IF(Y256="24M","2Y",Y256)))</f>
        <v/>
      </c>
      <c r="Z257" s="42" t="str">
        <f t="shared" ref="Z257" si="1101">IF(Z256="","",IF(Z256="12M","1Y",IF(Z256="24M","2Y",Z256)))</f>
        <v/>
      </c>
      <c r="AA257" s="42" t="str">
        <f t="shared" ref="AA257" si="1102">IF(AA256="","",IF(AA256="12M","1Y",IF(AA256="24M","2Y",AA256)))</f>
        <v/>
      </c>
      <c r="AB257" s="42" t="str">
        <f t="shared" ref="AB257" si="1103">IF(AB256="","",IF(AB256="12M","1Y",IF(AB256="24M","2Y",AB256)))</f>
        <v/>
      </c>
      <c r="AC257" s="42" t="str">
        <f t="shared" ref="AC257" si="1104">IF(AC256="","",IF(AC256="12M","1Y",IF(AC256="24M","2Y",AC256)))</f>
        <v/>
      </c>
      <c r="AD257" s="42" t="str">
        <f t="shared" ref="AD257" si="1105">IF(AD256="","",IF(AD256="12M","1Y",IF(AD256="24M","2Y",AD256)))</f>
        <v/>
      </c>
      <c r="AE257" s="42" t="str">
        <f t="shared" ref="AE257" si="1106">IF(AE256="","",IF(AE256="12M","1Y",IF(AE256="24M","2Y",AE256)))</f>
        <v/>
      </c>
      <c r="AF257" s="42" t="str">
        <f t="shared" ref="AF257" si="1107">IF(AF256="","",IF(AF256="12M","1Y",IF(AF256="24M","2Y",AF256)))</f>
        <v/>
      </c>
      <c r="AG257" s="42" t="str">
        <f t="shared" ref="AG257" si="1108">IF(AG256="","",IF(AG256="12M","1Y",IF(AG256="24M","2Y",AG256)))</f>
        <v/>
      </c>
      <c r="AH257" s="42" t="str">
        <f t="shared" ref="AH257" si="1109">IF(AH256="","",IF(AH256="12M","1Y",IF(AH256="24M","2Y",AH256)))</f>
        <v/>
      </c>
      <c r="AI257" s="42" t="str">
        <f t="shared" ref="AI257" si="1110">IF(AI256="","",IF(AI256="12M","1Y",IF(AI256="24M","2Y",AI256)))</f>
        <v/>
      </c>
      <c r="AJ257" s="42" t="str">
        <f t="shared" ref="AJ257" si="1111">IF(AJ256="","",IF(AJ256="12M","1Y",IF(AJ256="24M","2Y",AJ256)))</f>
        <v/>
      </c>
      <c r="AK257" s="42" t="str">
        <f t="shared" ref="AK257" si="1112">IF(AK256="","",IF(AK256="12M","1Y",IF(AK256="24M","2Y",AK256)))</f>
        <v/>
      </c>
      <c r="AL257" s="42" t="str">
        <f t="shared" ref="AL257" si="1113">IF(AL256="","",IF(AL256="12M","1Y",IF(AL256="24M","2Y",AL256)))</f>
        <v/>
      </c>
      <c r="AM257" s="42" t="str">
        <f t="shared" ref="AM257" si="1114">IF(AM256="","",IF(AM256="12M","1Y",IF(AM256="24M","2Y",AM256)))</f>
        <v/>
      </c>
      <c r="AN257" s="42" t="str">
        <f t="shared" ref="AN257" si="1115">IF(AN256="","",IF(AN256="12M","1Y",IF(AN256="24M","2Y",AN256)))</f>
        <v/>
      </c>
      <c r="AO257" s="42" t="str">
        <f t="shared" ref="AO257" si="1116">IF(AO256="","",IF(AO256="12M","1Y",IF(AO256="24M","2Y",AO256)))</f>
        <v/>
      </c>
      <c r="AP257" s="42" t="str">
        <f t="shared" ref="AP257" si="1117">IF(AP256="","",IF(AP256="12M","1Y",IF(AP256="24M","2Y",AP256)))</f>
        <v/>
      </c>
      <c r="AQ257" s="42" t="str">
        <f t="shared" ref="AQ257" si="1118">IF(AQ256="","",IF(AQ256="12M","1Y",IF(AQ256="24M","2Y",AQ256)))</f>
        <v/>
      </c>
      <c r="AR257" s="42" t="str">
        <f t="shared" ref="AR257" si="1119">IF(AR256="","",IF(AR256="12M","1Y",IF(AR256="24M","2Y",AR256)))</f>
        <v/>
      </c>
      <c r="AS257" s="42" t="str">
        <f t="shared" ref="AS257" si="1120">IF(AS256="","",IF(AS256="12M","1Y",IF(AS256="24M","2Y",AS256)))</f>
        <v/>
      </c>
      <c r="AT257" s="42" t="str">
        <f t="shared" ref="AT257" si="1121">IF(AT256="","",IF(AT256="12M","1Y",IF(AT256="24M","2Y",AT256)))</f>
        <v/>
      </c>
      <c r="AU257" s="42" t="str">
        <f t="shared" ref="AU257" si="1122">IF(AU256="","",IF(AU256="12M","1Y",IF(AU256="24M","2Y",AU256)))</f>
        <v/>
      </c>
      <c r="AV257" s="42" t="str">
        <f t="shared" ref="AV257" si="1123">IF(AV256="","",IF(AV256="12M","1Y",IF(AV256="24M","2Y",AV256)))</f>
        <v/>
      </c>
      <c r="AW257" s="42" t="str">
        <f t="shared" ref="AW257" si="1124">IF(AW256="","",IF(AW256="12M","1Y",IF(AW256="24M","2Y",AW256)))</f>
        <v/>
      </c>
      <c r="AX257" s="42" t="str">
        <f t="shared" ref="AX257" si="1125">IF(AX256="","",IF(AX256="12M","1Y",IF(AX256="24M","2Y",AX256)))</f>
        <v/>
      </c>
      <c r="AY257" s="42" t="str">
        <f t="shared" ref="AY257" si="1126">IF(AY256="","",IF(AY256="12M","1Y",IF(AY256="24M","2Y",AY256)))</f>
        <v/>
      </c>
      <c r="AZ257" s="42" t="str">
        <f t="shared" ref="AZ257" si="1127">IF(AZ256="","",IF(AZ256="12M","1Y",IF(AZ256="24M","2Y",AZ256)))</f>
        <v/>
      </c>
      <c r="BA257" s="42" t="str">
        <f t="shared" ref="BA257" si="1128">IF(BA256="","",IF(BA256="12M","1Y",IF(BA256="24M","2Y",BA256)))</f>
        <v/>
      </c>
    </row>
    <row r="258" spans="2:53" s="41" customFormat="1" ht="15" customHeight="1">
      <c r="B258" s="7"/>
      <c r="C258" s="153" t="str">
        <f>trans_getMessage("","Name",,LANG_ID)</f>
        <v>Name</v>
      </c>
      <c r="D258" s="154"/>
      <c r="E258" s="49" t="s">
        <v>49</v>
      </c>
      <c r="F258" s="43" t="e" cm="1">
        <f t="array" aca="1" ref="F258" ca="1">IF(LEFT(_xlfn.SINGLE(_xll.BDP(F259, $E258)),1)="#", "-", _xll.BDP(F259, $E258))</f>
        <v>#NAME?</v>
      </c>
      <c r="G258" s="43" t="e" cm="1">
        <f t="array" aca="1" ref="G258" ca="1">IF(LEFT(_xlfn.SINGLE(_xll.BDP(G259, $E258)),1)="#", "-", _xll.BDP(G259, $E258))</f>
        <v>#NAME?</v>
      </c>
      <c r="H258" s="43" t="e" cm="1">
        <f t="array" aca="1" ref="H258" ca="1">IF(LEFT(_xlfn.SINGLE(_xll.BDP(H259, $E258)),1)="#", "-", _xll.BDP(H259, $E258))</f>
        <v>#NAME?</v>
      </c>
      <c r="I258" s="43" t="e" cm="1">
        <f t="array" aca="1" ref="I258" ca="1">IF(LEFT(_xlfn.SINGLE(_xll.BDP(I259, $E258)),1)="#", "-", _xll.BDP(I259, $E258))</f>
        <v>#NAME?</v>
      </c>
      <c r="J258" s="43" t="e" cm="1">
        <f t="array" aca="1" ref="J258" ca="1">IF(LEFT(_xlfn.SINGLE(_xll.BDP(J259, $E258)),1)="#", "-", _xll.BDP(J259, $E258))</f>
        <v>#NAME?</v>
      </c>
      <c r="K258" s="43" t="e" cm="1">
        <f t="array" aca="1" ref="K258" ca="1">IF(LEFT(_xlfn.SINGLE(_xll.BDP(K259, $E258)),1)="#", "-", _xll.BDP(K259, $E258))</f>
        <v>#NAME?</v>
      </c>
      <c r="L258" s="43" t="e" cm="1">
        <f t="array" aca="1" ref="L258" ca="1">IF(LEFT(_xlfn.SINGLE(_xll.BDP(L259, $E258)),1)="#", "-", _xll.BDP(L259, $E258))</f>
        <v>#NAME?</v>
      </c>
      <c r="M258" s="43" t="e" cm="1">
        <f t="array" aca="1" ref="M258" ca="1">IF(LEFT(_xlfn.SINGLE(_xll.BDP(M259, $E258)),1)="#", "-", _xll.BDP(M259, $E258))</f>
        <v>#NAME?</v>
      </c>
      <c r="N258" s="43" t="e" cm="1">
        <f t="array" aca="1" ref="N258" ca="1">IF(LEFT(_xlfn.SINGLE(_xll.BDP(N259, $E258)),1)="#", "-", _xll.BDP(N259, $E258))</f>
        <v>#NAME?</v>
      </c>
      <c r="O258" s="43" t="e" cm="1">
        <f t="array" aca="1" ref="O258" ca="1">IF(LEFT(_xlfn.SINGLE(_xll.BDP(O259, $E258)),1)="#", "-", _xll.BDP(O259, $E258))</f>
        <v>#NAME?</v>
      </c>
      <c r="P258" s="43" t="e" cm="1">
        <f t="array" aca="1" ref="P258" ca="1">IF(LEFT(_xlfn.SINGLE(_xll.BDP(P259, $E258)),1)="#", "-", _xll.BDP(P259, $E258))</f>
        <v>#NAME?</v>
      </c>
      <c r="Q258" s="43" t="e" cm="1">
        <f t="array" aca="1" ref="Q258" ca="1">IF(LEFT(_xlfn.SINGLE(_xll.BDP(Q259, $E258)),1)="#", "-", _xll.BDP(Q259, $E258))</f>
        <v>#NAME?</v>
      </c>
      <c r="R258" s="43" t="e" cm="1">
        <f t="array" aca="1" ref="R258" ca="1">IF(LEFT(_xlfn.SINGLE(_xll.BDP(R259, $E258)),1)="#", "-", _xll.BDP(R259, $E258))</f>
        <v>#NAME?</v>
      </c>
      <c r="S258" s="43" t="e" cm="1">
        <f t="array" aca="1" ref="S258" ca="1">IF(LEFT(_xlfn.SINGLE(_xll.BDP(S259, $E258)),1)="#", "-", _xll.BDP(S259, $E258))</f>
        <v>#NAME?</v>
      </c>
      <c r="T258" s="43" t="e" cm="1">
        <f t="array" aca="1" ref="T258" ca="1">IF(LEFT(_xlfn.SINGLE(_xll.BDP(T259, $E258)),1)="#", "-", _xll.BDP(T259, $E258))</f>
        <v>#NAME?</v>
      </c>
      <c r="U258" s="43" t="e" cm="1">
        <f t="array" aca="1" ref="U258" ca="1">IF(LEFT(_xlfn.SINGLE(_xll.BDP(U259, $E258)),1)="#", "-", _xll.BDP(U259, $E258))</f>
        <v>#NAME?</v>
      </c>
      <c r="V258" s="43" t="e" cm="1">
        <f t="array" aca="1" ref="V258" ca="1">IF(LEFT(_xlfn.SINGLE(_xll.BDP(V259, $E258)),1)="#", "-", _xll.BDP(V259, $E258))</f>
        <v>#NAME?</v>
      </c>
      <c r="W258" s="43" t="e" cm="1">
        <f t="array" aca="1" ref="W258" ca="1">IF(LEFT(_xlfn.SINGLE(_xll.BDP(W259, $E258)),1)="#", "-", _xll.BDP(W259, $E258))</f>
        <v>#NAME?</v>
      </c>
      <c r="X258" s="43" t="e" cm="1">
        <f t="array" aca="1" ref="X258" ca="1">IF(LEFT(_xlfn.SINGLE(_xll.BDP(X259, $E258)),1)="#", "-", _xll.BDP(X259, $E258))</f>
        <v>#NAME?</v>
      </c>
      <c r="Y258" s="43" t="e" cm="1">
        <f t="array" aca="1" ref="Y258" ca="1">IF(LEFT(_xlfn.SINGLE(_xll.BDP(Y259, $E258)),1)="#", "-", _xll.BDP(Y259, $E258))</f>
        <v>#NAME?</v>
      </c>
      <c r="Z258" s="43" t="e" cm="1">
        <f t="array" aca="1" ref="Z258" ca="1">IF(LEFT(_xlfn.SINGLE(_xll.BDP(Z259, $E258)),1)="#", "-", _xll.BDP(Z259, $E258))</f>
        <v>#NAME?</v>
      </c>
      <c r="AA258" s="43" t="e" cm="1">
        <f t="array" aca="1" ref="AA258" ca="1">IF(LEFT(_xlfn.SINGLE(_xll.BDP(AA259, $E258)),1)="#", "-", _xll.BDP(AA259, $E258))</f>
        <v>#NAME?</v>
      </c>
      <c r="AB258" s="43" t="e" cm="1">
        <f t="array" aca="1" ref="AB258" ca="1">IF(LEFT(_xlfn.SINGLE(_xll.BDP(AB259, $E258)),1)="#", "-", _xll.BDP(AB259, $E258))</f>
        <v>#NAME?</v>
      </c>
      <c r="AC258" s="43" t="e" cm="1">
        <f t="array" aca="1" ref="AC258" ca="1">IF(LEFT(_xlfn.SINGLE(_xll.BDP(AC259, $E258)),1)="#", "-", _xll.BDP(AC259, $E258))</f>
        <v>#NAME?</v>
      </c>
      <c r="AD258" s="43" t="e" cm="1">
        <f t="array" aca="1" ref="AD258" ca="1">IF(LEFT(_xlfn.SINGLE(_xll.BDP(AD259, $E258)),1)="#", "-", _xll.BDP(AD259, $E258))</f>
        <v>#NAME?</v>
      </c>
      <c r="AE258" s="43" t="e" cm="1">
        <f t="array" aca="1" ref="AE258" ca="1">IF(LEFT(_xlfn.SINGLE(_xll.BDP(AE259, $E258)),1)="#", "-", _xll.BDP(AE259, $E258))</f>
        <v>#NAME?</v>
      </c>
      <c r="AF258" s="43" t="e" cm="1">
        <f t="array" aca="1" ref="AF258" ca="1">IF(LEFT(_xlfn.SINGLE(_xll.BDP(AF259, $E258)),1)="#", "-", _xll.BDP(AF259, $E258))</f>
        <v>#NAME?</v>
      </c>
      <c r="AG258" s="43" t="e" cm="1">
        <f t="array" aca="1" ref="AG258" ca="1">IF(LEFT(_xlfn.SINGLE(_xll.BDP(AG259, $E258)),1)="#", "-", _xll.BDP(AG259, $E258))</f>
        <v>#NAME?</v>
      </c>
      <c r="AH258" s="43" t="e" cm="1">
        <f t="array" aca="1" ref="AH258" ca="1">IF(LEFT(_xlfn.SINGLE(_xll.BDP(AH259, $E258)),1)="#", "-", _xll.BDP(AH259, $E258))</f>
        <v>#NAME?</v>
      </c>
      <c r="AI258" s="43" t="e" cm="1">
        <f t="array" aca="1" ref="AI258" ca="1">IF(LEFT(_xlfn.SINGLE(_xll.BDP(AI259, $E258)),1)="#", "-", _xll.BDP(AI259, $E258))</f>
        <v>#NAME?</v>
      </c>
      <c r="AJ258" s="43" t="e" cm="1">
        <f t="array" aca="1" ref="AJ258" ca="1">IF(LEFT(_xlfn.SINGLE(_xll.BDP(AJ259, $E258)),1)="#", "-", _xll.BDP(AJ259, $E258))</f>
        <v>#NAME?</v>
      </c>
      <c r="AK258" s="43" t="e" cm="1">
        <f t="array" aca="1" ref="AK258" ca="1">IF(LEFT(_xlfn.SINGLE(_xll.BDP(AK259, $E258)),1)="#", "-", _xll.BDP(AK259, $E258))</f>
        <v>#NAME?</v>
      </c>
      <c r="AL258" s="43" t="e" cm="1">
        <f t="array" aca="1" ref="AL258" ca="1">IF(LEFT(_xlfn.SINGLE(_xll.BDP(AL259, $E258)),1)="#", "-", _xll.BDP(AL259, $E258))</f>
        <v>#NAME?</v>
      </c>
      <c r="AM258" s="43" t="e" cm="1">
        <f t="array" aca="1" ref="AM258" ca="1">IF(LEFT(_xlfn.SINGLE(_xll.BDP(AM259, $E258)),1)="#", "-", _xll.BDP(AM259, $E258))</f>
        <v>#NAME?</v>
      </c>
      <c r="AN258" s="43" t="e" cm="1">
        <f t="array" aca="1" ref="AN258" ca="1">IF(LEFT(_xlfn.SINGLE(_xll.BDP(AN259, $E258)),1)="#", "-", _xll.BDP(AN259, $E258))</f>
        <v>#NAME?</v>
      </c>
      <c r="AO258" s="43" t="e" cm="1">
        <f t="array" aca="1" ref="AO258" ca="1">IF(LEFT(_xlfn.SINGLE(_xll.BDP(AO259, $E258)),1)="#", "-", _xll.BDP(AO259, $E258))</f>
        <v>#NAME?</v>
      </c>
      <c r="AP258" s="43" t="e" cm="1">
        <f t="array" aca="1" ref="AP258" ca="1">IF(LEFT(_xlfn.SINGLE(_xll.BDP(AP259, $E258)),1)="#", "-", _xll.BDP(AP259, $E258))</f>
        <v>#NAME?</v>
      </c>
      <c r="AQ258" s="43" t="e" cm="1">
        <f t="array" aca="1" ref="AQ258" ca="1">IF(LEFT(_xlfn.SINGLE(_xll.BDP(AQ259, $E258)),1)="#", "-", _xll.BDP(AQ259, $E258))</f>
        <v>#NAME?</v>
      </c>
      <c r="AR258" s="43" t="e" cm="1">
        <f t="array" aca="1" ref="AR258" ca="1">IF(LEFT(_xlfn.SINGLE(_xll.BDP(AR259, $E258)),1)="#", "-", _xll.BDP(AR259, $E258))</f>
        <v>#NAME?</v>
      </c>
      <c r="AS258" s="43" t="e" cm="1">
        <f t="array" aca="1" ref="AS258" ca="1">IF(LEFT(_xlfn.SINGLE(_xll.BDP(AS259, $E258)),1)="#", "-", _xll.BDP(AS259, $E258))</f>
        <v>#NAME?</v>
      </c>
      <c r="AT258" s="43" t="e" cm="1">
        <f t="array" aca="1" ref="AT258" ca="1">IF(LEFT(_xlfn.SINGLE(_xll.BDP(AT259, $E258)),1)="#", "-", _xll.BDP(AT259, $E258))</f>
        <v>#NAME?</v>
      </c>
      <c r="AU258" s="43" t="e" cm="1">
        <f t="array" aca="1" ref="AU258" ca="1">IF(LEFT(_xlfn.SINGLE(_xll.BDP(AU259, $E258)),1)="#", "-", _xll.BDP(AU259, $E258))</f>
        <v>#NAME?</v>
      </c>
      <c r="AV258" s="43" t="e" cm="1">
        <f t="array" aca="1" ref="AV258" ca="1">IF(LEFT(_xlfn.SINGLE(_xll.BDP(AV259, $E258)),1)="#", "-", _xll.BDP(AV259, $E258))</f>
        <v>#NAME?</v>
      </c>
      <c r="AW258" s="43" t="e" cm="1">
        <f t="array" aca="1" ref="AW258" ca="1">IF(LEFT(_xlfn.SINGLE(_xll.BDP(AW259, $E258)),1)="#", "-", _xll.BDP(AW259, $E258))</f>
        <v>#NAME?</v>
      </c>
      <c r="AX258" s="43" t="e" cm="1">
        <f t="array" aca="1" ref="AX258" ca="1">IF(LEFT(_xlfn.SINGLE(_xll.BDP(AX259, $E258)),1)="#", "-", _xll.BDP(AX259, $E258))</f>
        <v>#NAME?</v>
      </c>
      <c r="AY258" s="43" t="e" cm="1">
        <f t="array" aca="1" ref="AY258" ca="1">IF(LEFT(_xlfn.SINGLE(_xll.BDP(AY259, $E258)),1)="#", "-", _xll.BDP(AY259, $E258))</f>
        <v>#NAME?</v>
      </c>
      <c r="AZ258" s="43" t="e" cm="1">
        <f t="array" aca="1" ref="AZ258" ca="1">IF(LEFT(_xlfn.SINGLE(_xll.BDP(AZ259, $E258)),1)="#", "-", _xll.BDP(AZ259, $E258))</f>
        <v>#NAME?</v>
      </c>
      <c r="BA258" s="45" t="e" cm="1">
        <f t="array" aca="1" ref="BA258" ca="1">IF(LEFT(_xlfn.SINGLE(_xll.BDP(BA259, $E258)),1)="#", "-", _xll.BDP(BA259, $E258))</f>
        <v>#NAME?</v>
      </c>
    </row>
    <row r="259" spans="2:53" ht="15" customHeight="1">
      <c r="B259" s="40"/>
      <c r="C259" s="145" t="str">
        <f>trans_getMessage("","Curve Tickers",,LANG_ID)</f>
        <v>Curve Tickers</v>
      </c>
      <c r="D259" s="146"/>
      <c r="E259" s="50" t="s">
        <v>46</v>
      </c>
      <c r="F259" s="42" t="e" cm="1">
        <f t="array" aca="1" ref="F259" ca="1">_xll.BDS(E254,E259,"Dir=H",)</f>
        <v>#NAME?</v>
      </c>
      <c r="G259" s="42"/>
      <c r="H259" s="42"/>
      <c r="I259" s="42"/>
      <c r="J259" s="42"/>
      <c r="K259" s="42"/>
      <c r="L259" s="42"/>
      <c r="M259" s="42"/>
      <c r="N259" s="42"/>
      <c r="O259" s="42"/>
      <c r="P259" s="42"/>
      <c r="Q259" s="42"/>
      <c r="R259" s="42"/>
      <c r="S259" s="42"/>
      <c r="T259" s="42"/>
      <c r="U259" s="42"/>
      <c r="V259" s="42"/>
      <c r="W259" s="42"/>
      <c r="X259" s="42"/>
      <c r="Y259" s="42"/>
      <c r="Z259" s="42"/>
      <c r="AA259" s="42"/>
      <c r="AB259" s="42"/>
      <c r="AC259" s="42"/>
      <c r="AD259" s="42"/>
      <c r="AE259" s="42"/>
      <c r="AF259" s="42"/>
      <c r="AG259" s="42"/>
      <c r="AH259" s="42"/>
      <c r="AI259" s="42"/>
      <c r="AJ259" s="42"/>
      <c r="AK259" s="42"/>
      <c r="AL259" s="42"/>
      <c r="AM259" s="42"/>
      <c r="AN259" s="42"/>
      <c r="AO259" s="42"/>
      <c r="AP259" s="42"/>
      <c r="AQ259" s="42"/>
      <c r="AR259" s="42"/>
      <c r="AS259" s="42"/>
      <c r="AT259" s="42"/>
      <c r="AU259" s="42"/>
      <c r="AV259" s="42"/>
      <c r="AW259" s="42"/>
      <c r="AX259" s="42"/>
      <c r="AY259" s="42"/>
      <c r="AZ259" s="42"/>
      <c r="BA259" s="44"/>
    </row>
    <row r="260" spans="2:53" ht="15" customHeight="1">
      <c r="C260" s="138" t="str">
        <f>trans_getMessage("","Rate",,LANG_ID)</f>
        <v>Rate</v>
      </c>
      <c r="D260" s="139"/>
      <c r="E260" s="51" t="s">
        <v>44</v>
      </c>
      <c r="F260" s="46" t="str" cm="1">
        <f t="array" aca="1" ref="F260" ca="1">IF(ISERROR(_xlfn.SINGLE(_xll.BDP(F259, $E260))*1), "-", _xll.BDP(F259, $E260))</f>
        <v>-</v>
      </c>
      <c r="G260" s="46" t="str" cm="1">
        <f t="array" aca="1" ref="G260" ca="1">IF(ISERROR(_xlfn.SINGLE(_xll.BDP(G259, $E260))*1), "-", _xll.BDP(G259, $E260))</f>
        <v>-</v>
      </c>
      <c r="H260" s="46" t="str" cm="1">
        <f t="array" aca="1" ref="H260" ca="1">IF(ISERROR(_xlfn.SINGLE(_xll.BDP(H259, $E260))*1), "-", _xll.BDP(H259, $E260))</f>
        <v>-</v>
      </c>
      <c r="I260" s="46" t="str" cm="1">
        <f t="array" aca="1" ref="I260" ca="1">IF(ISERROR(_xlfn.SINGLE(_xll.BDP(I259, $E260))*1), "-", _xll.BDP(I259, $E260))</f>
        <v>-</v>
      </c>
      <c r="J260" s="46" t="str" cm="1">
        <f t="array" aca="1" ref="J260" ca="1">IF(ISERROR(_xlfn.SINGLE(_xll.BDP(J259, $E260))*1), "-", _xll.BDP(J259, $E260))</f>
        <v>-</v>
      </c>
      <c r="K260" s="46" t="str" cm="1">
        <f t="array" aca="1" ref="K260" ca="1">IF(ISERROR(_xlfn.SINGLE(_xll.BDP(K259, $E260))*1), "-", _xll.BDP(K259, $E260))</f>
        <v>-</v>
      </c>
      <c r="L260" s="46" t="str" cm="1">
        <f t="array" aca="1" ref="L260" ca="1">IF(ISERROR(_xlfn.SINGLE(_xll.BDP(L259, $E260))*1), "-", _xll.BDP(L259, $E260))</f>
        <v>-</v>
      </c>
      <c r="M260" s="46" t="str" cm="1">
        <f t="array" aca="1" ref="M260" ca="1">IF(ISERROR(_xlfn.SINGLE(_xll.BDP(M259, $E260))*1), "-", _xll.BDP(M259, $E260))</f>
        <v>-</v>
      </c>
      <c r="N260" s="46" t="str" cm="1">
        <f t="array" aca="1" ref="N260" ca="1">IF(ISERROR(_xlfn.SINGLE(_xll.BDP(N259, $E260))*1), "-", _xll.BDP(N259, $E260))</f>
        <v>-</v>
      </c>
      <c r="O260" s="46" t="str" cm="1">
        <f t="array" aca="1" ref="O260" ca="1">IF(ISERROR(_xlfn.SINGLE(_xll.BDP(O259, $E260))*1), "-", _xll.BDP(O259, $E260))</f>
        <v>-</v>
      </c>
      <c r="P260" s="46" t="str" cm="1">
        <f t="array" aca="1" ref="P260" ca="1">IF(ISERROR(_xlfn.SINGLE(_xll.BDP(P259, $E260))*1), "-", _xll.BDP(P259, $E260))</f>
        <v>-</v>
      </c>
      <c r="Q260" s="46" t="str" cm="1">
        <f t="array" aca="1" ref="Q260" ca="1">IF(ISERROR(_xlfn.SINGLE(_xll.BDP(Q259, $E260))*1), "-", _xll.BDP(Q259, $E260))</f>
        <v>-</v>
      </c>
      <c r="R260" s="46" t="str" cm="1">
        <f t="array" aca="1" ref="R260" ca="1">IF(ISERROR(_xlfn.SINGLE(_xll.BDP(R259, $E260))*1), "-", _xll.BDP(R259, $E260))</f>
        <v>-</v>
      </c>
      <c r="S260" s="46" t="str" cm="1">
        <f t="array" aca="1" ref="S260" ca="1">IF(ISERROR(_xlfn.SINGLE(_xll.BDP(S259, $E260))*1), "-", _xll.BDP(S259, $E260))</f>
        <v>-</v>
      </c>
      <c r="T260" s="46" t="str" cm="1">
        <f t="array" aca="1" ref="T260" ca="1">IF(ISERROR(_xlfn.SINGLE(_xll.BDP(T259, $E260))*1), "-", _xll.BDP(T259, $E260))</f>
        <v>-</v>
      </c>
      <c r="U260" s="46" t="str" cm="1">
        <f t="array" aca="1" ref="U260" ca="1">IF(ISERROR(_xlfn.SINGLE(_xll.BDP(U259, $E260))*1), "-", _xll.BDP(U259, $E260))</f>
        <v>-</v>
      </c>
      <c r="V260" s="46" t="str" cm="1">
        <f t="array" aca="1" ref="V260" ca="1">IF(ISERROR(_xlfn.SINGLE(_xll.BDP(V259, $E260))*1), "-", _xll.BDP(V259, $E260))</f>
        <v>-</v>
      </c>
      <c r="W260" s="46" t="str" cm="1">
        <f t="array" aca="1" ref="W260" ca="1">IF(ISERROR(_xlfn.SINGLE(_xll.BDP(W259, $E260))*1), "-", _xll.BDP(W259, $E260))</f>
        <v>-</v>
      </c>
      <c r="X260" s="46" t="str" cm="1">
        <f t="array" aca="1" ref="X260" ca="1">IF(ISERROR(_xlfn.SINGLE(_xll.BDP(X259, $E260))*1), "-", _xll.BDP(X259, $E260))</f>
        <v>-</v>
      </c>
      <c r="Y260" s="46" t="str" cm="1">
        <f t="array" aca="1" ref="Y260" ca="1">IF(ISERROR(_xlfn.SINGLE(_xll.BDP(Y259, $E260))*1), "-", _xll.BDP(Y259, $E260))</f>
        <v>-</v>
      </c>
      <c r="Z260" s="46" t="str" cm="1">
        <f t="array" aca="1" ref="Z260" ca="1">IF(ISERROR(_xlfn.SINGLE(_xll.BDP(Z259, $E260))*1), "-", _xll.BDP(Z259, $E260))</f>
        <v>-</v>
      </c>
      <c r="AA260" s="46" t="str" cm="1">
        <f t="array" aca="1" ref="AA260" ca="1">IF(ISERROR(_xlfn.SINGLE(_xll.BDP(AA259, $E260))*1), "-", _xll.BDP(AA259, $E260))</f>
        <v>-</v>
      </c>
      <c r="AB260" s="46" t="str" cm="1">
        <f t="array" aca="1" ref="AB260" ca="1">IF(ISERROR(_xlfn.SINGLE(_xll.BDP(AB259, $E260))*1), "-", _xll.BDP(AB259, $E260))</f>
        <v>-</v>
      </c>
      <c r="AC260" s="46" t="str" cm="1">
        <f t="array" aca="1" ref="AC260" ca="1">IF(ISERROR(_xlfn.SINGLE(_xll.BDP(AC259, $E260))*1), "-", _xll.BDP(AC259, $E260))</f>
        <v>-</v>
      </c>
      <c r="AD260" s="46" t="str" cm="1">
        <f t="array" aca="1" ref="AD260" ca="1">IF(ISERROR(_xlfn.SINGLE(_xll.BDP(AD259, $E260))*1), "-", _xll.BDP(AD259, $E260))</f>
        <v>-</v>
      </c>
      <c r="AE260" s="46" t="str" cm="1">
        <f t="array" aca="1" ref="AE260" ca="1">IF(ISERROR(_xlfn.SINGLE(_xll.BDP(AE259, $E260))*1), "-", _xll.BDP(AE259, $E260))</f>
        <v>-</v>
      </c>
      <c r="AF260" s="46" t="str" cm="1">
        <f t="array" aca="1" ref="AF260" ca="1">IF(ISERROR(_xlfn.SINGLE(_xll.BDP(AF259, $E260))*1), "-", _xll.BDP(AF259, $E260))</f>
        <v>-</v>
      </c>
      <c r="AG260" s="46" t="str" cm="1">
        <f t="array" aca="1" ref="AG260" ca="1">IF(ISERROR(_xlfn.SINGLE(_xll.BDP(AG259, $E260))*1), "-", _xll.BDP(AG259, $E260))</f>
        <v>-</v>
      </c>
      <c r="AH260" s="46" t="str" cm="1">
        <f t="array" aca="1" ref="AH260" ca="1">IF(ISERROR(_xlfn.SINGLE(_xll.BDP(AH259, $E260))*1), "-", _xll.BDP(AH259, $E260))</f>
        <v>-</v>
      </c>
      <c r="AI260" s="46" t="str" cm="1">
        <f t="array" aca="1" ref="AI260" ca="1">IF(ISERROR(_xlfn.SINGLE(_xll.BDP(AI259, $E260))*1), "-", _xll.BDP(AI259, $E260))</f>
        <v>-</v>
      </c>
      <c r="AJ260" s="46" t="str" cm="1">
        <f t="array" aca="1" ref="AJ260" ca="1">IF(ISERROR(_xlfn.SINGLE(_xll.BDP(AJ259, $E260))*1), "-", _xll.BDP(AJ259, $E260))</f>
        <v>-</v>
      </c>
      <c r="AK260" s="46" t="str" cm="1">
        <f t="array" aca="1" ref="AK260" ca="1">IF(ISERROR(_xlfn.SINGLE(_xll.BDP(AK259, $E260))*1), "-", _xll.BDP(AK259, $E260))</f>
        <v>-</v>
      </c>
      <c r="AL260" s="46" t="str" cm="1">
        <f t="array" aca="1" ref="AL260" ca="1">IF(ISERROR(_xlfn.SINGLE(_xll.BDP(AL259, $E260))*1), "-", _xll.BDP(AL259, $E260))</f>
        <v>-</v>
      </c>
      <c r="AM260" s="46" t="str" cm="1">
        <f t="array" aca="1" ref="AM260" ca="1">IF(ISERROR(_xlfn.SINGLE(_xll.BDP(AM259, $E260))*1), "-", _xll.BDP(AM259, $E260))</f>
        <v>-</v>
      </c>
      <c r="AN260" s="46" t="str" cm="1">
        <f t="array" aca="1" ref="AN260" ca="1">IF(ISERROR(_xlfn.SINGLE(_xll.BDP(AN259, $E260))*1), "-", _xll.BDP(AN259, $E260))</f>
        <v>-</v>
      </c>
      <c r="AO260" s="46" t="str" cm="1">
        <f t="array" aca="1" ref="AO260" ca="1">IF(ISERROR(_xlfn.SINGLE(_xll.BDP(AO259, $E260))*1), "-", _xll.BDP(AO259, $E260))</f>
        <v>-</v>
      </c>
      <c r="AP260" s="46" t="str" cm="1">
        <f t="array" aca="1" ref="AP260" ca="1">IF(ISERROR(_xlfn.SINGLE(_xll.BDP(AP259, $E260))*1), "-", _xll.BDP(AP259, $E260))</f>
        <v>-</v>
      </c>
      <c r="AQ260" s="46" t="str" cm="1">
        <f t="array" aca="1" ref="AQ260" ca="1">IF(ISERROR(_xlfn.SINGLE(_xll.BDP(AQ259, $E260))*1), "-", _xll.BDP(AQ259, $E260))</f>
        <v>-</v>
      </c>
      <c r="AR260" s="46" t="str" cm="1">
        <f t="array" aca="1" ref="AR260" ca="1">IF(ISERROR(_xlfn.SINGLE(_xll.BDP(AR259, $E260))*1), "-", _xll.BDP(AR259, $E260))</f>
        <v>-</v>
      </c>
      <c r="AS260" s="46" t="str" cm="1">
        <f t="array" aca="1" ref="AS260" ca="1">IF(ISERROR(_xlfn.SINGLE(_xll.BDP(AS259, $E260))*1), "-", _xll.BDP(AS259, $E260))</f>
        <v>-</v>
      </c>
      <c r="AT260" s="46" t="str" cm="1">
        <f t="array" aca="1" ref="AT260" ca="1">IF(ISERROR(_xlfn.SINGLE(_xll.BDP(AT259, $E260))*1), "-", _xll.BDP(AT259, $E260))</f>
        <v>-</v>
      </c>
      <c r="AU260" s="46" t="str" cm="1">
        <f t="array" aca="1" ref="AU260" ca="1">IF(ISERROR(_xlfn.SINGLE(_xll.BDP(AU259, $E260))*1), "-", _xll.BDP(AU259, $E260))</f>
        <v>-</v>
      </c>
      <c r="AV260" s="46" t="str" cm="1">
        <f t="array" aca="1" ref="AV260" ca="1">IF(ISERROR(_xlfn.SINGLE(_xll.BDP(AV259, $E260))*1), "-", _xll.BDP(AV259, $E260))</f>
        <v>-</v>
      </c>
      <c r="AW260" s="46" t="str" cm="1">
        <f t="array" aca="1" ref="AW260" ca="1">IF(ISERROR(_xlfn.SINGLE(_xll.BDP(AW259, $E260))*1), "-", _xll.BDP(AW259, $E260))</f>
        <v>-</v>
      </c>
      <c r="AX260" s="46" t="str" cm="1">
        <f t="array" aca="1" ref="AX260" ca="1">IF(ISERROR(_xlfn.SINGLE(_xll.BDP(AX259, $E260))*1), "-", _xll.BDP(AX259, $E260))</f>
        <v>-</v>
      </c>
      <c r="AY260" s="46" t="str" cm="1">
        <f t="array" aca="1" ref="AY260" ca="1">IF(ISERROR(_xlfn.SINGLE(_xll.BDP(AY259, $E260))*1), "-", _xll.BDP(AY259, $E260))</f>
        <v>-</v>
      </c>
      <c r="AZ260" s="46" t="str" cm="1">
        <f t="array" aca="1" ref="AZ260" ca="1">IF(ISERROR(_xlfn.SINGLE(_xll.BDP(AZ259, $E260))*1), "-", _xll.BDP(AZ259, $E260))</f>
        <v>-</v>
      </c>
      <c r="BA260" s="47" t="str" cm="1">
        <f t="array" aca="1" ref="BA260" ca="1">IF(ISERROR(_xlfn.SINGLE(_xll.BDP(BA259, $E260))*1), "-", _xll.BDP(BA259, $E260))</f>
        <v>-</v>
      </c>
    </row>
    <row r="261" spans="2:53" ht="15" hidden="1" customHeight="1"/>
    <row r="262" spans="2:53" ht="5.15" customHeight="1"/>
    <row r="263" spans="2:53" ht="15" customHeight="1">
      <c r="B263" s="38" t="s">
        <v>41</v>
      </c>
      <c r="C263" s="140" t="str">
        <f>trans_getMessage("","Curve Number",,LANG_ID)</f>
        <v>Curve Number</v>
      </c>
      <c r="D263" s="141"/>
      <c r="E263" s="142">
        <f>VLOOKUP(B263, 'Currency-Curve List'!$C$9:$E$103, 2, FALSE)</f>
        <v>323</v>
      </c>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4"/>
    </row>
    <row r="264" spans="2:53" ht="15" customHeight="1">
      <c r="C264" s="145" t="str">
        <f>trans_getMessage("","Curve Index",,LANG_ID)</f>
        <v>Curve Index</v>
      </c>
      <c r="D264" s="146"/>
      <c r="E264" s="147" t="str">
        <f>VLOOKUP(B263, 'Currency-Curve List'!$C$9:$E$103, 3, FALSE)</f>
        <v>YCSW0323 Index</v>
      </c>
      <c r="F264" s="148"/>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148"/>
      <c r="AO264" s="148"/>
      <c r="AP264" s="148"/>
      <c r="AQ264" s="148"/>
      <c r="AR264" s="148"/>
      <c r="AS264" s="148"/>
      <c r="AT264" s="148"/>
      <c r="AU264" s="148"/>
      <c r="AV264" s="148"/>
      <c r="AW264" s="148"/>
      <c r="AX264" s="148"/>
      <c r="AY264" s="148"/>
      <c r="AZ264" s="148"/>
      <c r="BA264" s="149"/>
    </row>
    <row r="265" spans="2:53" ht="15" customHeight="1">
      <c r="C265" s="145" t="str">
        <f>trans_getMessage("","Curve Name",,LANG_ID)</f>
        <v>Curve Name</v>
      </c>
      <c r="D265" s="146"/>
      <c r="E265" s="150" t="e" cm="1">
        <f t="array" aca="1" ref="E265" ca="1">_xll.BDP(E264, "NAME")</f>
        <v>#NAME?</v>
      </c>
      <c r="F265" s="151"/>
      <c r="G265" s="151"/>
      <c r="H265" s="151"/>
      <c r="I265" s="151"/>
      <c r="J265" s="151"/>
      <c r="K265" s="151"/>
      <c r="L265" s="151"/>
      <c r="M265" s="151"/>
      <c r="N265" s="151"/>
      <c r="O265" s="151"/>
      <c r="P265" s="151"/>
      <c r="Q265" s="151"/>
      <c r="R265" s="151"/>
      <c r="S265" s="151"/>
      <c r="T265" s="151"/>
      <c r="U265" s="151"/>
      <c r="V265" s="151"/>
      <c r="W265" s="151"/>
      <c r="X265" s="151"/>
      <c r="Y265" s="151"/>
      <c r="Z265" s="151"/>
      <c r="AA265" s="151"/>
      <c r="AB265" s="151"/>
      <c r="AC265" s="151"/>
      <c r="AD265" s="151"/>
      <c r="AE265" s="151"/>
      <c r="AF265" s="151"/>
      <c r="AG265" s="151"/>
      <c r="AH265" s="151"/>
      <c r="AI265" s="151"/>
      <c r="AJ265" s="151"/>
      <c r="AK265" s="151"/>
      <c r="AL265" s="151"/>
      <c r="AM265" s="151"/>
      <c r="AN265" s="151"/>
      <c r="AO265" s="151"/>
      <c r="AP265" s="151"/>
      <c r="AQ265" s="151"/>
      <c r="AR265" s="151"/>
      <c r="AS265" s="151"/>
      <c r="AT265" s="151"/>
      <c r="AU265" s="151"/>
      <c r="AV265" s="151"/>
      <c r="AW265" s="151"/>
      <c r="AX265" s="151"/>
      <c r="AY265" s="151"/>
      <c r="AZ265" s="151"/>
      <c r="BA265" s="152"/>
    </row>
    <row r="266" spans="2:53" ht="15" customHeight="1">
      <c r="C266" s="145" t="str">
        <f>trans_getMessage("","Tenors",,LANG_ID)</f>
        <v>Tenors</v>
      </c>
      <c r="D266" s="146"/>
      <c r="E266" s="48" t="s">
        <v>50</v>
      </c>
      <c r="F266" s="42" t="e" cm="1">
        <f t="array" aca="1" ref="F266" ca="1">_xll.BDS(E264,E266,"Dir=H",)</f>
        <v>#NAME?</v>
      </c>
      <c r="G266" s="42"/>
      <c r="H266" s="42"/>
      <c r="I266" s="42"/>
      <c r="J266" s="42"/>
      <c r="K266" s="42"/>
      <c r="L266" s="42"/>
      <c r="M266" s="42"/>
      <c r="N266" s="42"/>
      <c r="O266" s="42"/>
      <c r="P266" s="42"/>
      <c r="Q266" s="42"/>
      <c r="R266" s="42"/>
      <c r="S266" s="42"/>
      <c r="T266" s="42"/>
      <c r="U266" s="42"/>
      <c r="V266" s="42"/>
      <c r="W266" s="42"/>
      <c r="X266" s="42"/>
      <c r="Y266" s="42"/>
      <c r="Z266" s="42"/>
      <c r="AA266" s="42"/>
      <c r="AB266" s="42"/>
      <c r="AC266" s="42"/>
      <c r="AD266" s="42"/>
      <c r="AE266" s="42"/>
      <c r="AF266" s="42"/>
      <c r="AG266" s="42"/>
      <c r="AH266" s="42"/>
      <c r="AI266" s="42"/>
      <c r="AJ266" s="42"/>
      <c r="AK266" s="42"/>
      <c r="AL266" s="42"/>
      <c r="AM266" s="42"/>
      <c r="AN266" s="42"/>
      <c r="AO266" s="42"/>
      <c r="AP266" s="42"/>
      <c r="AQ266" s="42"/>
      <c r="AR266" s="42"/>
      <c r="AS266" s="42"/>
      <c r="AT266" s="42"/>
      <c r="AU266" s="42"/>
      <c r="AV266" s="42"/>
      <c r="AW266" s="42"/>
      <c r="AX266" s="42"/>
      <c r="AY266" s="42"/>
      <c r="AZ266" s="42"/>
      <c r="BA266" s="44"/>
    </row>
    <row r="267" spans="2:53" ht="15" hidden="1" customHeight="1">
      <c r="C267" s="145" t="s">
        <v>2211</v>
      </c>
      <c r="D267" s="146"/>
      <c r="E267" s="48"/>
      <c r="F267" s="42" t="e">
        <f ca="1">IF(F266="","",IF(F266="12M","1Y",IF(F266="24M","2Y",F266)))</f>
        <v>#NAME?</v>
      </c>
      <c r="G267" s="42" t="str">
        <f t="shared" ref="G267" si="1129">IF(G266="","",IF(G266="12M","1Y",IF(G266="24M","2Y",G266)))</f>
        <v/>
      </c>
      <c r="H267" s="42" t="str">
        <f t="shared" ref="H267" si="1130">IF(H266="","",IF(H266="12M","1Y",IF(H266="24M","2Y",H266)))</f>
        <v/>
      </c>
      <c r="I267" s="42" t="str">
        <f t="shared" ref="I267" si="1131">IF(I266="","",IF(I266="12M","1Y",IF(I266="24M","2Y",I266)))</f>
        <v/>
      </c>
      <c r="J267" s="42" t="str">
        <f t="shared" ref="J267" si="1132">IF(J266="","",IF(J266="12M","1Y",IF(J266="24M","2Y",J266)))</f>
        <v/>
      </c>
      <c r="K267" s="42" t="str">
        <f t="shared" ref="K267" si="1133">IF(K266="","",IF(K266="12M","1Y",IF(K266="24M","2Y",K266)))</f>
        <v/>
      </c>
      <c r="L267" s="42" t="str">
        <f t="shared" ref="L267" si="1134">IF(L266="","",IF(L266="12M","1Y",IF(L266="24M","2Y",L266)))</f>
        <v/>
      </c>
      <c r="M267" s="42" t="str">
        <f t="shared" ref="M267" si="1135">IF(M266="","",IF(M266="12M","1Y",IF(M266="24M","2Y",M266)))</f>
        <v/>
      </c>
      <c r="N267" s="42" t="str">
        <f t="shared" ref="N267" si="1136">IF(N266="","",IF(N266="12M","1Y",IF(N266="24M","2Y",N266)))</f>
        <v/>
      </c>
      <c r="O267" s="42" t="str">
        <f t="shared" ref="O267" si="1137">IF(O266="","",IF(O266="12M","1Y",IF(O266="24M","2Y",O266)))</f>
        <v/>
      </c>
      <c r="P267" s="42" t="str">
        <f t="shared" ref="P267" si="1138">IF(P266="","",IF(P266="12M","1Y",IF(P266="24M","2Y",P266)))</f>
        <v/>
      </c>
      <c r="Q267" s="42" t="str">
        <f t="shared" ref="Q267" si="1139">IF(Q266="","",IF(Q266="12M","1Y",IF(Q266="24M","2Y",Q266)))</f>
        <v/>
      </c>
      <c r="R267" s="42" t="str">
        <f t="shared" ref="R267" si="1140">IF(R266="","",IF(R266="12M","1Y",IF(R266="24M","2Y",R266)))</f>
        <v/>
      </c>
      <c r="S267" s="42" t="str">
        <f t="shared" ref="S267" si="1141">IF(S266="","",IF(S266="12M","1Y",IF(S266="24M","2Y",S266)))</f>
        <v/>
      </c>
      <c r="T267" s="42" t="str">
        <f t="shared" ref="T267" si="1142">IF(T266="","",IF(T266="12M","1Y",IF(T266="24M","2Y",T266)))</f>
        <v/>
      </c>
      <c r="U267" s="42" t="str">
        <f t="shared" ref="U267" si="1143">IF(U266="","",IF(U266="12M","1Y",IF(U266="24M","2Y",U266)))</f>
        <v/>
      </c>
      <c r="V267" s="42" t="str">
        <f t="shared" ref="V267" si="1144">IF(V266="","",IF(V266="12M","1Y",IF(V266="24M","2Y",V266)))</f>
        <v/>
      </c>
      <c r="W267" s="42" t="str">
        <f t="shared" ref="W267" si="1145">IF(W266="","",IF(W266="12M","1Y",IF(W266="24M","2Y",W266)))</f>
        <v/>
      </c>
      <c r="X267" s="42" t="str">
        <f t="shared" ref="X267" si="1146">IF(X266="","",IF(X266="12M","1Y",IF(X266="24M","2Y",X266)))</f>
        <v/>
      </c>
      <c r="Y267" s="42" t="str">
        <f t="shared" ref="Y267" si="1147">IF(Y266="","",IF(Y266="12M","1Y",IF(Y266="24M","2Y",Y266)))</f>
        <v/>
      </c>
      <c r="Z267" s="42" t="str">
        <f t="shared" ref="Z267" si="1148">IF(Z266="","",IF(Z266="12M","1Y",IF(Z266="24M","2Y",Z266)))</f>
        <v/>
      </c>
      <c r="AA267" s="42" t="str">
        <f t="shared" ref="AA267" si="1149">IF(AA266="","",IF(AA266="12M","1Y",IF(AA266="24M","2Y",AA266)))</f>
        <v/>
      </c>
      <c r="AB267" s="42" t="str">
        <f t="shared" ref="AB267" si="1150">IF(AB266="","",IF(AB266="12M","1Y",IF(AB266="24M","2Y",AB266)))</f>
        <v/>
      </c>
      <c r="AC267" s="42" t="str">
        <f t="shared" ref="AC267" si="1151">IF(AC266="","",IF(AC266="12M","1Y",IF(AC266="24M","2Y",AC266)))</f>
        <v/>
      </c>
      <c r="AD267" s="42" t="str">
        <f t="shared" ref="AD267" si="1152">IF(AD266="","",IF(AD266="12M","1Y",IF(AD266="24M","2Y",AD266)))</f>
        <v/>
      </c>
      <c r="AE267" s="42" t="str">
        <f t="shared" ref="AE267" si="1153">IF(AE266="","",IF(AE266="12M","1Y",IF(AE266="24M","2Y",AE266)))</f>
        <v/>
      </c>
      <c r="AF267" s="42" t="str">
        <f t="shared" ref="AF267" si="1154">IF(AF266="","",IF(AF266="12M","1Y",IF(AF266="24M","2Y",AF266)))</f>
        <v/>
      </c>
      <c r="AG267" s="42" t="str">
        <f t="shared" ref="AG267" si="1155">IF(AG266="","",IF(AG266="12M","1Y",IF(AG266="24M","2Y",AG266)))</f>
        <v/>
      </c>
      <c r="AH267" s="42" t="str">
        <f t="shared" ref="AH267" si="1156">IF(AH266="","",IF(AH266="12M","1Y",IF(AH266="24M","2Y",AH266)))</f>
        <v/>
      </c>
      <c r="AI267" s="42" t="str">
        <f t="shared" ref="AI267" si="1157">IF(AI266="","",IF(AI266="12M","1Y",IF(AI266="24M","2Y",AI266)))</f>
        <v/>
      </c>
      <c r="AJ267" s="42" t="str">
        <f t="shared" ref="AJ267" si="1158">IF(AJ266="","",IF(AJ266="12M","1Y",IF(AJ266="24M","2Y",AJ266)))</f>
        <v/>
      </c>
      <c r="AK267" s="42" t="str">
        <f t="shared" ref="AK267" si="1159">IF(AK266="","",IF(AK266="12M","1Y",IF(AK266="24M","2Y",AK266)))</f>
        <v/>
      </c>
      <c r="AL267" s="42" t="str">
        <f t="shared" ref="AL267" si="1160">IF(AL266="","",IF(AL266="12M","1Y",IF(AL266="24M","2Y",AL266)))</f>
        <v/>
      </c>
      <c r="AM267" s="42" t="str">
        <f t="shared" ref="AM267" si="1161">IF(AM266="","",IF(AM266="12M","1Y",IF(AM266="24M","2Y",AM266)))</f>
        <v/>
      </c>
      <c r="AN267" s="42" t="str">
        <f t="shared" ref="AN267" si="1162">IF(AN266="","",IF(AN266="12M","1Y",IF(AN266="24M","2Y",AN266)))</f>
        <v/>
      </c>
      <c r="AO267" s="42" t="str">
        <f t="shared" ref="AO267" si="1163">IF(AO266="","",IF(AO266="12M","1Y",IF(AO266="24M","2Y",AO266)))</f>
        <v/>
      </c>
      <c r="AP267" s="42" t="str">
        <f t="shared" ref="AP267" si="1164">IF(AP266="","",IF(AP266="12M","1Y",IF(AP266="24M","2Y",AP266)))</f>
        <v/>
      </c>
      <c r="AQ267" s="42" t="str">
        <f t="shared" ref="AQ267" si="1165">IF(AQ266="","",IF(AQ266="12M","1Y",IF(AQ266="24M","2Y",AQ266)))</f>
        <v/>
      </c>
      <c r="AR267" s="42" t="str">
        <f t="shared" ref="AR267" si="1166">IF(AR266="","",IF(AR266="12M","1Y",IF(AR266="24M","2Y",AR266)))</f>
        <v/>
      </c>
      <c r="AS267" s="42" t="str">
        <f t="shared" ref="AS267" si="1167">IF(AS266="","",IF(AS266="12M","1Y",IF(AS266="24M","2Y",AS266)))</f>
        <v/>
      </c>
      <c r="AT267" s="42" t="str">
        <f t="shared" ref="AT267" si="1168">IF(AT266="","",IF(AT266="12M","1Y",IF(AT266="24M","2Y",AT266)))</f>
        <v/>
      </c>
      <c r="AU267" s="42" t="str">
        <f t="shared" ref="AU267" si="1169">IF(AU266="","",IF(AU266="12M","1Y",IF(AU266="24M","2Y",AU266)))</f>
        <v/>
      </c>
      <c r="AV267" s="42" t="str">
        <f t="shared" ref="AV267" si="1170">IF(AV266="","",IF(AV266="12M","1Y",IF(AV266="24M","2Y",AV266)))</f>
        <v/>
      </c>
      <c r="AW267" s="42" t="str">
        <f t="shared" ref="AW267" si="1171">IF(AW266="","",IF(AW266="12M","1Y",IF(AW266="24M","2Y",AW266)))</f>
        <v/>
      </c>
      <c r="AX267" s="42" t="str">
        <f t="shared" ref="AX267" si="1172">IF(AX266="","",IF(AX266="12M","1Y",IF(AX266="24M","2Y",AX266)))</f>
        <v/>
      </c>
      <c r="AY267" s="42" t="str">
        <f t="shared" ref="AY267" si="1173">IF(AY266="","",IF(AY266="12M","1Y",IF(AY266="24M","2Y",AY266)))</f>
        <v/>
      </c>
      <c r="AZ267" s="42" t="str">
        <f t="shared" ref="AZ267" si="1174">IF(AZ266="","",IF(AZ266="12M","1Y",IF(AZ266="24M","2Y",AZ266)))</f>
        <v/>
      </c>
      <c r="BA267" s="42" t="str">
        <f t="shared" ref="BA267" si="1175">IF(BA266="","",IF(BA266="12M","1Y",IF(BA266="24M","2Y",BA266)))</f>
        <v/>
      </c>
    </row>
    <row r="268" spans="2:53" s="41" customFormat="1" ht="15" customHeight="1">
      <c r="B268" s="7"/>
      <c r="C268" s="153" t="str">
        <f>trans_getMessage("","Name",,LANG_ID)</f>
        <v>Name</v>
      </c>
      <c r="D268" s="154"/>
      <c r="E268" s="49" t="s">
        <v>49</v>
      </c>
      <c r="F268" s="43" t="e" cm="1">
        <f t="array" aca="1" ref="F268" ca="1">IF(LEFT(_xlfn.SINGLE(_xll.BDP(F269, $E268)),1)="#", "-", _xll.BDP(F269, $E268))</f>
        <v>#NAME?</v>
      </c>
      <c r="G268" s="43" t="e" cm="1">
        <f t="array" aca="1" ref="G268" ca="1">IF(LEFT(_xlfn.SINGLE(_xll.BDP(G269, $E268)),1)="#", "-", _xll.BDP(G269, $E268))</f>
        <v>#NAME?</v>
      </c>
      <c r="H268" s="43" t="e" cm="1">
        <f t="array" aca="1" ref="H268" ca="1">IF(LEFT(_xlfn.SINGLE(_xll.BDP(H269, $E268)),1)="#", "-", _xll.BDP(H269, $E268))</f>
        <v>#NAME?</v>
      </c>
      <c r="I268" s="43" t="e" cm="1">
        <f t="array" aca="1" ref="I268" ca="1">IF(LEFT(_xlfn.SINGLE(_xll.BDP(I269, $E268)),1)="#", "-", _xll.BDP(I269, $E268))</f>
        <v>#NAME?</v>
      </c>
      <c r="J268" s="43" t="e" cm="1">
        <f t="array" aca="1" ref="J268" ca="1">IF(LEFT(_xlfn.SINGLE(_xll.BDP(J269, $E268)),1)="#", "-", _xll.BDP(J269, $E268))</f>
        <v>#NAME?</v>
      </c>
      <c r="K268" s="43" t="e" cm="1">
        <f t="array" aca="1" ref="K268" ca="1">IF(LEFT(_xlfn.SINGLE(_xll.BDP(K269, $E268)),1)="#", "-", _xll.BDP(K269, $E268))</f>
        <v>#NAME?</v>
      </c>
      <c r="L268" s="43" t="e" cm="1">
        <f t="array" aca="1" ref="L268" ca="1">IF(LEFT(_xlfn.SINGLE(_xll.BDP(L269, $E268)),1)="#", "-", _xll.BDP(L269, $E268))</f>
        <v>#NAME?</v>
      </c>
      <c r="M268" s="43" t="e" cm="1">
        <f t="array" aca="1" ref="M268" ca="1">IF(LEFT(_xlfn.SINGLE(_xll.BDP(M269, $E268)),1)="#", "-", _xll.BDP(M269, $E268))</f>
        <v>#NAME?</v>
      </c>
      <c r="N268" s="43" t="e" cm="1">
        <f t="array" aca="1" ref="N268" ca="1">IF(LEFT(_xlfn.SINGLE(_xll.BDP(N269, $E268)),1)="#", "-", _xll.BDP(N269, $E268))</f>
        <v>#NAME?</v>
      </c>
      <c r="O268" s="43" t="e" cm="1">
        <f t="array" aca="1" ref="O268" ca="1">IF(LEFT(_xlfn.SINGLE(_xll.BDP(O269, $E268)),1)="#", "-", _xll.BDP(O269, $E268))</f>
        <v>#NAME?</v>
      </c>
      <c r="P268" s="43" t="e" cm="1">
        <f t="array" aca="1" ref="P268" ca="1">IF(LEFT(_xlfn.SINGLE(_xll.BDP(P269, $E268)),1)="#", "-", _xll.BDP(P269, $E268))</f>
        <v>#NAME?</v>
      </c>
      <c r="Q268" s="43" t="e" cm="1">
        <f t="array" aca="1" ref="Q268" ca="1">IF(LEFT(_xlfn.SINGLE(_xll.BDP(Q269, $E268)),1)="#", "-", _xll.BDP(Q269, $E268))</f>
        <v>#NAME?</v>
      </c>
      <c r="R268" s="43" t="e" cm="1">
        <f t="array" aca="1" ref="R268" ca="1">IF(LEFT(_xlfn.SINGLE(_xll.BDP(R269, $E268)),1)="#", "-", _xll.BDP(R269, $E268))</f>
        <v>#NAME?</v>
      </c>
      <c r="S268" s="43" t="e" cm="1">
        <f t="array" aca="1" ref="S268" ca="1">IF(LEFT(_xlfn.SINGLE(_xll.BDP(S269, $E268)),1)="#", "-", _xll.BDP(S269, $E268))</f>
        <v>#NAME?</v>
      </c>
      <c r="T268" s="43" t="e" cm="1">
        <f t="array" aca="1" ref="T268" ca="1">IF(LEFT(_xlfn.SINGLE(_xll.BDP(T269, $E268)),1)="#", "-", _xll.BDP(T269, $E268))</f>
        <v>#NAME?</v>
      </c>
      <c r="U268" s="43" t="e" cm="1">
        <f t="array" aca="1" ref="U268" ca="1">IF(LEFT(_xlfn.SINGLE(_xll.BDP(U269, $E268)),1)="#", "-", _xll.BDP(U269, $E268))</f>
        <v>#NAME?</v>
      </c>
      <c r="V268" s="43" t="e" cm="1">
        <f t="array" aca="1" ref="V268" ca="1">IF(LEFT(_xlfn.SINGLE(_xll.BDP(V269, $E268)),1)="#", "-", _xll.BDP(V269, $E268))</f>
        <v>#NAME?</v>
      </c>
      <c r="W268" s="43" t="e" cm="1">
        <f t="array" aca="1" ref="W268" ca="1">IF(LEFT(_xlfn.SINGLE(_xll.BDP(W269, $E268)),1)="#", "-", _xll.BDP(W269, $E268))</f>
        <v>#NAME?</v>
      </c>
      <c r="X268" s="43" t="e" cm="1">
        <f t="array" aca="1" ref="X268" ca="1">IF(LEFT(_xlfn.SINGLE(_xll.BDP(X269, $E268)),1)="#", "-", _xll.BDP(X269, $E268))</f>
        <v>#NAME?</v>
      </c>
      <c r="Y268" s="43" t="e" cm="1">
        <f t="array" aca="1" ref="Y268" ca="1">IF(LEFT(_xlfn.SINGLE(_xll.BDP(Y269, $E268)),1)="#", "-", _xll.BDP(Y269, $E268))</f>
        <v>#NAME?</v>
      </c>
      <c r="Z268" s="43" t="e" cm="1">
        <f t="array" aca="1" ref="Z268" ca="1">IF(LEFT(_xlfn.SINGLE(_xll.BDP(Z269, $E268)),1)="#", "-", _xll.BDP(Z269, $E268))</f>
        <v>#NAME?</v>
      </c>
      <c r="AA268" s="43" t="e" cm="1">
        <f t="array" aca="1" ref="AA268" ca="1">IF(LEFT(_xlfn.SINGLE(_xll.BDP(AA269, $E268)),1)="#", "-", _xll.BDP(AA269, $E268))</f>
        <v>#NAME?</v>
      </c>
      <c r="AB268" s="43" t="e" cm="1">
        <f t="array" aca="1" ref="AB268" ca="1">IF(LEFT(_xlfn.SINGLE(_xll.BDP(AB269, $E268)),1)="#", "-", _xll.BDP(AB269, $E268))</f>
        <v>#NAME?</v>
      </c>
      <c r="AC268" s="43" t="e" cm="1">
        <f t="array" aca="1" ref="AC268" ca="1">IF(LEFT(_xlfn.SINGLE(_xll.BDP(AC269, $E268)),1)="#", "-", _xll.BDP(AC269, $E268))</f>
        <v>#NAME?</v>
      </c>
      <c r="AD268" s="43" t="e" cm="1">
        <f t="array" aca="1" ref="AD268" ca="1">IF(LEFT(_xlfn.SINGLE(_xll.BDP(AD269, $E268)),1)="#", "-", _xll.BDP(AD269, $E268))</f>
        <v>#NAME?</v>
      </c>
      <c r="AE268" s="43" t="e" cm="1">
        <f t="array" aca="1" ref="AE268" ca="1">IF(LEFT(_xlfn.SINGLE(_xll.BDP(AE269, $E268)),1)="#", "-", _xll.BDP(AE269, $E268))</f>
        <v>#NAME?</v>
      </c>
      <c r="AF268" s="43" t="e" cm="1">
        <f t="array" aca="1" ref="AF268" ca="1">IF(LEFT(_xlfn.SINGLE(_xll.BDP(AF269, $E268)),1)="#", "-", _xll.BDP(AF269, $E268))</f>
        <v>#NAME?</v>
      </c>
      <c r="AG268" s="43" t="e" cm="1">
        <f t="array" aca="1" ref="AG268" ca="1">IF(LEFT(_xlfn.SINGLE(_xll.BDP(AG269, $E268)),1)="#", "-", _xll.BDP(AG269, $E268))</f>
        <v>#NAME?</v>
      </c>
      <c r="AH268" s="43" t="e" cm="1">
        <f t="array" aca="1" ref="AH268" ca="1">IF(LEFT(_xlfn.SINGLE(_xll.BDP(AH269, $E268)),1)="#", "-", _xll.BDP(AH269, $E268))</f>
        <v>#NAME?</v>
      </c>
      <c r="AI268" s="43" t="e" cm="1">
        <f t="array" aca="1" ref="AI268" ca="1">IF(LEFT(_xlfn.SINGLE(_xll.BDP(AI269, $E268)),1)="#", "-", _xll.BDP(AI269, $E268))</f>
        <v>#NAME?</v>
      </c>
      <c r="AJ268" s="43" t="e" cm="1">
        <f t="array" aca="1" ref="AJ268" ca="1">IF(LEFT(_xlfn.SINGLE(_xll.BDP(AJ269, $E268)),1)="#", "-", _xll.BDP(AJ269, $E268))</f>
        <v>#NAME?</v>
      </c>
      <c r="AK268" s="43" t="e" cm="1">
        <f t="array" aca="1" ref="AK268" ca="1">IF(LEFT(_xlfn.SINGLE(_xll.BDP(AK269, $E268)),1)="#", "-", _xll.BDP(AK269, $E268))</f>
        <v>#NAME?</v>
      </c>
      <c r="AL268" s="43" t="e" cm="1">
        <f t="array" aca="1" ref="AL268" ca="1">IF(LEFT(_xlfn.SINGLE(_xll.BDP(AL269, $E268)),1)="#", "-", _xll.BDP(AL269, $E268))</f>
        <v>#NAME?</v>
      </c>
      <c r="AM268" s="43" t="e" cm="1">
        <f t="array" aca="1" ref="AM268" ca="1">IF(LEFT(_xlfn.SINGLE(_xll.BDP(AM269, $E268)),1)="#", "-", _xll.BDP(AM269, $E268))</f>
        <v>#NAME?</v>
      </c>
      <c r="AN268" s="43" t="e" cm="1">
        <f t="array" aca="1" ref="AN268" ca="1">IF(LEFT(_xlfn.SINGLE(_xll.BDP(AN269, $E268)),1)="#", "-", _xll.BDP(AN269, $E268))</f>
        <v>#NAME?</v>
      </c>
      <c r="AO268" s="43" t="e" cm="1">
        <f t="array" aca="1" ref="AO268" ca="1">IF(LEFT(_xlfn.SINGLE(_xll.BDP(AO269, $E268)),1)="#", "-", _xll.BDP(AO269, $E268))</f>
        <v>#NAME?</v>
      </c>
      <c r="AP268" s="43" t="e" cm="1">
        <f t="array" aca="1" ref="AP268" ca="1">IF(LEFT(_xlfn.SINGLE(_xll.BDP(AP269, $E268)),1)="#", "-", _xll.BDP(AP269, $E268))</f>
        <v>#NAME?</v>
      </c>
      <c r="AQ268" s="43" t="e" cm="1">
        <f t="array" aca="1" ref="AQ268" ca="1">IF(LEFT(_xlfn.SINGLE(_xll.BDP(AQ269, $E268)),1)="#", "-", _xll.BDP(AQ269, $E268))</f>
        <v>#NAME?</v>
      </c>
      <c r="AR268" s="43" t="e" cm="1">
        <f t="array" aca="1" ref="AR268" ca="1">IF(LEFT(_xlfn.SINGLE(_xll.BDP(AR269, $E268)),1)="#", "-", _xll.BDP(AR269, $E268))</f>
        <v>#NAME?</v>
      </c>
      <c r="AS268" s="43" t="e" cm="1">
        <f t="array" aca="1" ref="AS268" ca="1">IF(LEFT(_xlfn.SINGLE(_xll.BDP(AS269, $E268)),1)="#", "-", _xll.BDP(AS269, $E268))</f>
        <v>#NAME?</v>
      </c>
      <c r="AT268" s="43" t="e" cm="1">
        <f t="array" aca="1" ref="AT268" ca="1">IF(LEFT(_xlfn.SINGLE(_xll.BDP(AT269, $E268)),1)="#", "-", _xll.BDP(AT269, $E268))</f>
        <v>#NAME?</v>
      </c>
      <c r="AU268" s="43" t="e" cm="1">
        <f t="array" aca="1" ref="AU268" ca="1">IF(LEFT(_xlfn.SINGLE(_xll.BDP(AU269, $E268)),1)="#", "-", _xll.BDP(AU269, $E268))</f>
        <v>#NAME?</v>
      </c>
      <c r="AV268" s="43" t="e" cm="1">
        <f t="array" aca="1" ref="AV268" ca="1">IF(LEFT(_xlfn.SINGLE(_xll.BDP(AV269, $E268)),1)="#", "-", _xll.BDP(AV269, $E268))</f>
        <v>#NAME?</v>
      </c>
      <c r="AW268" s="43" t="e" cm="1">
        <f t="array" aca="1" ref="AW268" ca="1">IF(LEFT(_xlfn.SINGLE(_xll.BDP(AW269, $E268)),1)="#", "-", _xll.BDP(AW269, $E268))</f>
        <v>#NAME?</v>
      </c>
      <c r="AX268" s="43" t="e" cm="1">
        <f t="array" aca="1" ref="AX268" ca="1">IF(LEFT(_xlfn.SINGLE(_xll.BDP(AX269, $E268)),1)="#", "-", _xll.BDP(AX269, $E268))</f>
        <v>#NAME?</v>
      </c>
      <c r="AY268" s="43" t="e" cm="1">
        <f t="array" aca="1" ref="AY268" ca="1">IF(LEFT(_xlfn.SINGLE(_xll.BDP(AY269, $E268)),1)="#", "-", _xll.BDP(AY269, $E268))</f>
        <v>#NAME?</v>
      </c>
      <c r="AZ268" s="43" t="e" cm="1">
        <f t="array" aca="1" ref="AZ268" ca="1">IF(LEFT(_xlfn.SINGLE(_xll.BDP(AZ269, $E268)),1)="#", "-", _xll.BDP(AZ269, $E268))</f>
        <v>#NAME?</v>
      </c>
      <c r="BA268" s="45" t="e" cm="1">
        <f t="array" aca="1" ref="BA268" ca="1">IF(LEFT(_xlfn.SINGLE(_xll.BDP(BA269, $E268)),1)="#", "-", _xll.BDP(BA269, $E268))</f>
        <v>#NAME?</v>
      </c>
    </row>
    <row r="269" spans="2:53" ht="15" customHeight="1">
      <c r="B269" s="40"/>
      <c r="C269" s="145" t="str">
        <f>trans_getMessage("","Curve Tickers",,LANG_ID)</f>
        <v>Curve Tickers</v>
      </c>
      <c r="D269" s="146"/>
      <c r="E269" s="50" t="s">
        <v>46</v>
      </c>
      <c r="F269" s="42" t="e" cm="1">
        <f t="array" aca="1" ref="F269" ca="1">_xll.BDS(E264,E269,"Dir=H",)</f>
        <v>#NAME?</v>
      </c>
      <c r="G269" s="42"/>
      <c r="H269" s="42"/>
      <c r="I269" s="42"/>
      <c r="J269" s="42"/>
      <c r="K269" s="42"/>
      <c r="L269" s="42"/>
      <c r="M269" s="42"/>
      <c r="N269" s="42"/>
      <c r="O269" s="42"/>
      <c r="P269" s="42"/>
      <c r="Q269" s="42"/>
      <c r="R269" s="42"/>
      <c r="S269" s="42"/>
      <c r="T269" s="42"/>
      <c r="U269" s="42"/>
      <c r="V269" s="42"/>
      <c r="W269" s="42"/>
      <c r="X269" s="42"/>
      <c r="Y269" s="42"/>
      <c r="Z269" s="42"/>
      <c r="AA269" s="42"/>
      <c r="AB269" s="42"/>
      <c r="AC269" s="42"/>
      <c r="AD269" s="42"/>
      <c r="AE269" s="42"/>
      <c r="AF269" s="42"/>
      <c r="AG269" s="42"/>
      <c r="AH269" s="42"/>
      <c r="AI269" s="42"/>
      <c r="AJ269" s="42"/>
      <c r="AK269" s="42"/>
      <c r="AL269" s="42"/>
      <c r="AM269" s="42"/>
      <c r="AN269" s="42"/>
      <c r="AO269" s="42"/>
      <c r="AP269" s="42"/>
      <c r="AQ269" s="42"/>
      <c r="AR269" s="42"/>
      <c r="AS269" s="42"/>
      <c r="AT269" s="42"/>
      <c r="AU269" s="42"/>
      <c r="AV269" s="42"/>
      <c r="AW269" s="42"/>
      <c r="AX269" s="42"/>
      <c r="AY269" s="42"/>
      <c r="AZ269" s="42"/>
      <c r="BA269" s="44"/>
    </row>
    <row r="270" spans="2:53" ht="15" customHeight="1">
      <c r="C270" s="138" t="str">
        <f>trans_getMessage("","Rate",,LANG_ID)</f>
        <v>Rate</v>
      </c>
      <c r="D270" s="139"/>
      <c r="E270" s="51" t="s">
        <v>44</v>
      </c>
      <c r="F270" s="46" t="str" cm="1">
        <f t="array" aca="1" ref="F270" ca="1">IF(ISERROR(_xlfn.SINGLE(_xll.BDP(F269, $E270))*1), "-", _xll.BDP(F269, $E270))</f>
        <v>-</v>
      </c>
      <c r="G270" s="46" t="str" cm="1">
        <f t="array" aca="1" ref="G270" ca="1">IF(ISERROR(_xlfn.SINGLE(_xll.BDP(G269, $E270))*1), "-", _xll.BDP(G269, $E270))</f>
        <v>-</v>
      </c>
      <c r="H270" s="46" t="str" cm="1">
        <f t="array" aca="1" ref="H270" ca="1">IF(ISERROR(_xlfn.SINGLE(_xll.BDP(H269, $E270))*1), "-", _xll.BDP(H269, $E270))</f>
        <v>-</v>
      </c>
      <c r="I270" s="46" t="str" cm="1">
        <f t="array" aca="1" ref="I270" ca="1">IF(ISERROR(_xlfn.SINGLE(_xll.BDP(I269, $E270))*1), "-", _xll.BDP(I269, $E270))</f>
        <v>-</v>
      </c>
      <c r="J270" s="46" t="str" cm="1">
        <f t="array" aca="1" ref="J270" ca="1">IF(ISERROR(_xlfn.SINGLE(_xll.BDP(J269, $E270))*1), "-", _xll.BDP(J269, $E270))</f>
        <v>-</v>
      </c>
      <c r="K270" s="46" t="str" cm="1">
        <f t="array" aca="1" ref="K270" ca="1">IF(ISERROR(_xlfn.SINGLE(_xll.BDP(K269, $E270))*1), "-", _xll.BDP(K269, $E270))</f>
        <v>-</v>
      </c>
      <c r="L270" s="46" t="str" cm="1">
        <f t="array" aca="1" ref="L270" ca="1">IF(ISERROR(_xlfn.SINGLE(_xll.BDP(L269, $E270))*1), "-", _xll.BDP(L269, $E270))</f>
        <v>-</v>
      </c>
      <c r="M270" s="46" t="str" cm="1">
        <f t="array" aca="1" ref="M270" ca="1">IF(ISERROR(_xlfn.SINGLE(_xll.BDP(M269, $E270))*1), "-", _xll.BDP(M269, $E270))</f>
        <v>-</v>
      </c>
      <c r="N270" s="46" t="str" cm="1">
        <f t="array" aca="1" ref="N270" ca="1">IF(ISERROR(_xlfn.SINGLE(_xll.BDP(N269, $E270))*1), "-", _xll.BDP(N269, $E270))</f>
        <v>-</v>
      </c>
      <c r="O270" s="46" t="str" cm="1">
        <f t="array" aca="1" ref="O270" ca="1">IF(ISERROR(_xlfn.SINGLE(_xll.BDP(O269, $E270))*1), "-", _xll.BDP(O269, $E270))</f>
        <v>-</v>
      </c>
      <c r="P270" s="46" t="str" cm="1">
        <f t="array" aca="1" ref="P270" ca="1">IF(ISERROR(_xlfn.SINGLE(_xll.BDP(P269, $E270))*1), "-", _xll.BDP(P269, $E270))</f>
        <v>-</v>
      </c>
      <c r="Q270" s="46" t="str" cm="1">
        <f t="array" aca="1" ref="Q270" ca="1">IF(ISERROR(_xlfn.SINGLE(_xll.BDP(Q269, $E270))*1), "-", _xll.BDP(Q269, $E270))</f>
        <v>-</v>
      </c>
      <c r="R270" s="46" t="str" cm="1">
        <f t="array" aca="1" ref="R270" ca="1">IF(ISERROR(_xlfn.SINGLE(_xll.BDP(R269, $E270))*1), "-", _xll.BDP(R269, $E270))</f>
        <v>-</v>
      </c>
      <c r="S270" s="46" t="str" cm="1">
        <f t="array" aca="1" ref="S270" ca="1">IF(ISERROR(_xlfn.SINGLE(_xll.BDP(S269, $E270))*1), "-", _xll.BDP(S269, $E270))</f>
        <v>-</v>
      </c>
      <c r="T270" s="46" t="str" cm="1">
        <f t="array" aca="1" ref="T270" ca="1">IF(ISERROR(_xlfn.SINGLE(_xll.BDP(T269, $E270))*1), "-", _xll.BDP(T269, $E270))</f>
        <v>-</v>
      </c>
      <c r="U270" s="46" t="str" cm="1">
        <f t="array" aca="1" ref="U270" ca="1">IF(ISERROR(_xlfn.SINGLE(_xll.BDP(U269, $E270))*1), "-", _xll.BDP(U269, $E270))</f>
        <v>-</v>
      </c>
      <c r="V270" s="46" t="str" cm="1">
        <f t="array" aca="1" ref="V270" ca="1">IF(ISERROR(_xlfn.SINGLE(_xll.BDP(V269, $E270))*1), "-", _xll.BDP(V269, $E270))</f>
        <v>-</v>
      </c>
      <c r="W270" s="46" t="str" cm="1">
        <f t="array" aca="1" ref="W270" ca="1">IF(ISERROR(_xlfn.SINGLE(_xll.BDP(W269, $E270))*1), "-", _xll.BDP(W269, $E270))</f>
        <v>-</v>
      </c>
      <c r="X270" s="46" t="str" cm="1">
        <f t="array" aca="1" ref="X270" ca="1">IF(ISERROR(_xlfn.SINGLE(_xll.BDP(X269, $E270))*1), "-", _xll.BDP(X269, $E270))</f>
        <v>-</v>
      </c>
      <c r="Y270" s="46" t="str" cm="1">
        <f t="array" aca="1" ref="Y270" ca="1">IF(ISERROR(_xlfn.SINGLE(_xll.BDP(Y269, $E270))*1), "-", _xll.BDP(Y269, $E270))</f>
        <v>-</v>
      </c>
      <c r="Z270" s="46" t="str" cm="1">
        <f t="array" aca="1" ref="Z270" ca="1">IF(ISERROR(_xlfn.SINGLE(_xll.BDP(Z269, $E270))*1), "-", _xll.BDP(Z269, $E270))</f>
        <v>-</v>
      </c>
      <c r="AA270" s="46" t="str" cm="1">
        <f t="array" aca="1" ref="AA270" ca="1">IF(ISERROR(_xlfn.SINGLE(_xll.BDP(AA269, $E270))*1), "-", _xll.BDP(AA269, $E270))</f>
        <v>-</v>
      </c>
      <c r="AB270" s="46" t="str" cm="1">
        <f t="array" aca="1" ref="AB270" ca="1">IF(ISERROR(_xlfn.SINGLE(_xll.BDP(AB269, $E270))*1), "-", _xll.BDP(AB269, $E270))</f>
        <v>-</v>
      </c>
      <c r="AC270" s="46" t="str" cm="1">
        <f t="array" aca="1" ref="AC270" ca="1">IF(ISERROR(_xlfn.SINGLE(_xll.BDP(AC269, $E270))*1), "-", _xll.BDP(AC269, $E270))</f>
        <v>-</v>
      </c>
      <c r="AD270" s="46" t="str" cm="1">
        <f t="array" aca="1" ref="AD270" ca="1">IF(ISERROR(_xlfn.SINGLE(_xll.BDP(AD269, $E270))*1), "-", _xll.BDP(AD269, $E270))</f>
        <v>-</v>
      </c>
      <c r="AE270" s="46" t="str" cm="1">
        <f t="array" aca="1" ref="AE270" ca="1">IF(ISERROR(_xlfn.SINGLE(_xll.BDP(AE269, $E270))*1), "-", _xll.BDP(AE269, $E270))</f>
        <v>-</v>
      </c>
      <c r="AF270" s="46" t="str" cm="1">
        <f t="array" aca="1" ref="AF270" ca="1">IF(ISERROR(_xlfn.SINGLE(_xll.BDP(AF269, $E270))*1), "-", _xll.BDP(AF269, $E270))</f>
        <v>-</v>
      </c>
      <c r="AG270" s="46" t="str" cm="1">
        <f t="array" aca="1" ref="AG270" ca="1">IF(ISERROR(_xlfn.SINGLE(_xll.BDP(AG269, $E270))*1), "-", _xll.BDP(AG269, $E270))</f>
        <v>-</v>
      </c>
      <c r="AH270" s="46" t="str" cm="1">
        <f t="array" aca="1" ref="AH270" ca="1">IF(ISERROR(_xlfn.SINGLE(_xll.BDP(AH269, $E270))*1), "-", _xll.BDP(AH269, $E270))</f>
        <v>-</v>
      </c>
      <c r="AI270" s="46" t="str" cm="1">
        <f t="array" aca="1" ref="AI270" ca="1">IF(ISERROR(_xlfn.SINGLE(_xll.BDP(AI269, $E270))*1), "-", _xll.BDP(AI269, $E270))</f>
        <v>-</v>
      </c>
      <c r="AJ270" s="46" t="str" cm="1">
        <f t="array" aca="1" ref="AJ270" ca="1">IF(ISERROR(_xlfn.SINGLE(_xll.BDP(AJ269, $E270))*1), "-", _xll.BDP(AJ269, $E270))</f>
        <v>-</v>
      </c>
      <c r="AK270" s="46" t="str" cm="1">
        <f t="array" aca="1" ref="AK270" ca="1">IF(ISERROR(_xlfn.SINGLE(_xll.BDP(AK269, $E270))*1), "-", _xll.BDP(AK269, $E270))</f>
        <v>-</v>
      </c>
      <c r="AL270" s="46" t="str" cm="1">
        <f t="array" aca="1" ref="AL270" ca="1">IF(ISERROR(_xlfn.SINGLE(_xll.BDP(AL269, $E270))*1), "-", _xll.BDP(AL269, $E270))</f>
        <v>-</v>
      </c>
      <c r="AM270" s="46" t="str" cm="1">
        <f t="array" aca="1" ref="AM270" ca="1">IF(ISERROR(_xlfn.SINGLE(_xll.BDP(AM269, $E270))*1), "-", _xll.BDP(AM269, $E270))</f>
        <v>-</v>
      </c>
      <c r="AN270" s="46" t="str" cm="1">
        <f t="array" aca="1" ref="AN270" ca="1">IF(ISERROR(_xlfn.SINGLE(_xll.BDP(AN269, $E270))*1), "-", _xll.BDP(AN269, $E270))</f>
        <v>-</v>
      </c>
      <c r="AO270" s="46" t="str" cm="1">
        <f t="array" aca="1" ref="AO270" ca="1">IF(ISERROR(_xlfn.SINGLE(_xll.BDP(AO269, $E270))*1), "-", _xll.BDP(AO269, $E270))</f>
        <v>-</v>
      </c>
      <c r="AP270" s="46" t="str" cm="1">
        <f t="array" aca="1" ref="AP270" ca="1">IF(ISERROR(_xlfn.SINGLE(_xll.BDP(AP269, $E270))*1), "-", _xll.BDP(AP269, $E270))</f>
        <v>-</v>
      </c>
      <c r="AQ270" s="46" t="str" cm="1">
        <f t="array" aca="1" ref="AQ270" ca="1">IF(ISERROR(_xlfn.SINGLE(_xll.BDP(AQ269, $E270))*1), "-", _xll.BDP(AQ269, $E270))</f>
        <v>-</v>
      </c>
      <c r="AR270" s="46" t="str" cm="1">
        <f t="array" aca="1" ref="AR270" ca="1">IF(ISERROR(_xlfn.SINGLE(_xll.BDP(AR269, $E270))*1), "-", _xll.BDP(AR269, $E270))</f>
        <v>-</v>
      </c>
      <c r="AS270" s="46" t="str" cm="1">
        <f t="array" aca="1" ref="AS270" ca="1">IF(ISERROR(_xlfn.SINGLE(_xll.BDP(AS269, $E270))*1), "-", _xll.BDP(AS269, $E270))</f>
        <v>-</v>
      </c>
      <c r="AT270" s="46" t="str" cm="1">
        <f t="array" aca="1" ref="AT270" ca="1">IF(ISERROR(_xlfn.SINGLE(_xll.BDP(AT269, $E270))*1), "-", _xll.BDP(AT269, $E270))</f>
        <v>-</v>
      </c>
      <c r="AU270" s="46" t="str" cm="1">
        <f t="array" aca="1" ref="AU270" ca="1">IF(ISERROR(_xlfn.SINGLE(_xll.BDP(AU269, $E270))*1), "-", _xll.BDP(AU269, $E270))</f>
        <v>-</v>
      </c>
      <c r="AV270" s="46" t="str" cm="1">
        <f t="array" aca="1" ref="AV270" ca="1">IF(ISERROR(_xlfn.SINGLE(_xll.BDP(AV269, $E270))*1), "-", _xll.BDP(AV269, $E270))</f>
        <v>-</v>
      </c>
      <c r="AW270" s="46" t="str" cm="1">
        <f t="array" aca="1" ref="AW270" ca="1">IF(ISERROR(_xlfn.SINGLE(_xll.BDP(AW269, $E270))*1), "-", _xll.BDP(AW269, $E270))</f>
        <v>-</v>
      </c>
      <c r="AX270" s="46" t="str" cm="1">
        <f t="array" aca="1" ref="AX270" ca="1">IF(ISERROR(_xlfn.SINGLE(_xll.BDP(AX269, $E270))*1), "-", _xll.BDP(AX269, $E270))</f>
        <v>-</v>
      </c>
      <c r="AY270" s="46" t="str" cm="1">
        <f t="array" aca="1" ref="AY270" ca="1">IF(ISERROR(_xlfn.SINGLE(_xll.BDP(AY269, $E270))*1), "-", _xll.BDP(AY269, $E270))</f>
        <v>-</v>
      </c>
      <c r="AZ270" s="46" t="str" cm="1">
        <f t="array" aca="1" ref="AZ270" ca="1">IF(ISERROR(_xlfn.SINGLE(_xll.BDP(AZ269, $E270))*1), "-", _xll.BDP(AZ269, $E270))</f>
        <v>-</v>
      </c>
      <c r="BA270" s="47" t="str" cm="1">
        <f t="array" aca="1" ref="BA270" ca="1">IF(ISERROR(_xlfn.SINGLE(_xll.BDP(BA269, $E270))*1), "-", _xll.BDP(BA269, $E270))</f>
        <v>-</v>
      </c>
    </row>
    <row r="271" spans="2:53" ht="15" hidden="1" customHeight="1"/>
    <row r="272" spans="2:53" ht="15" hidden="1" customHeight="1"/>
    <row r="273" spans="2:53" ht="5.15" customHeight="1"/>
    <row r="274" spans="2:53" ht="15" customHeight="1">
      <c r="B274" s="38" t="s">
        <v>90</v>
      </c>
      <c r="C274" s="140" t="str">
        <f>trans_getMessage("","Curve Number",,LANG_ID)</f>
        <v>Curve Number</v>
      </c>
      <c r="D274" s="141"/>
      <c r="E274" s="142">
        <f>VLOOKUP(B274, 'Currency-Curve List'!$C$9:$E$103, 2, FALSE)</f>
        <v>356</v>
      </c>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4"/>
    </row>
    <row r="275" spans="2:53" ht="15" customHeight="1">
      <c r="C275" s="145" t="str">
        <f>trans_getMessage("","Curve Index",,LANG_ID)</f>
        <v>Curve Index</v>
      </c>
      <c r="D275" s="146"/>
      <c r="E275" s="147" t="str">
        <f>VLOOKUP(B274, 'Currency-Curve List'!$C$9:$E$103, 3, FALSE)</f>
        <v>YCSW0356 Index</v>
      </c>
      <c r="F275" s="148"/>
      <c r="G275" s="148" t="s">
        <v>1</v>
      </c>
      <c r="H275" s="148" t="s">
        <v>11</v>
      </c>
      <c r="I275" s="148" t="s">
        <v>2</v>
      </c>
      <c r="J275" s="148" t="s">
        <v>3</v>
      </c>
      <c r="K275" s="148" t="s">
        <v>5</v>
      </c>
      <c r="L275" s="148" t="s">
        <v>6</v>
      </c>
      <c r="M275" s="148" t="s">
        <v>7</v>
      </c>
      <c r="N275" s="148" t="s">
        <v>8</v>
      </c>
      <c r="O275" s="148" t="s">
        <v>9</v>
      </c>
      <c r="P275" s="148" t="s">
        <v>10</v>
      </c>
      <c r="Q275" s="148" t="s">
        <v>17</v>
      </c>
      <c r="R275" s="148" t="s">
        <v>51</v>
      </c>
      <c r="S275" s="148" t="s">
        <v>52</v>
      </c>
      <c r="T275" s="148" t="s">
        <v>18</v>
      </c>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148"/>
      <c r="AR275" s="148"/>
      <c r="AS275" s="148"/>
      <c r="AT275" s="148"/>
      <c r="AU275" s="148"/>
      <c r="AV275" s="148"/>
      <c r="AW275" s="148"/>
      <c r="AX275" s="148"/>
      <c r="AY275" s="148"/>
      <c r="AZ275" s="148"/>
      <c r="BA275" s="149"/>
    </row>
    <row r="276" spans="2:53" ht="15" customHeight="1">
      <c r="C276" s="145" t="str">
        <f>trans_getMessage("","Curve Name",,LANG_ID)</f>
        <v>Curve Name</v>
      </c>
      <c r="D276" s="146"/>
      <c r="E276" s="150" t="e" cm="1">
        <f t="array" aca="1" ref="E276" ca="1">_xll.BDP(E275, "NAME")</f>
        <v>#NAME?</v>
      </c>
      <c r="F276" s="151"/>
      <c r="G276" s="151"/>
      <c r="H276" s="151"/>
      <c r="I276" s="151"/>
      <c r="J276" s="151"/>
      <c r="K276" s="151"/>
      <c r="L276" s="151"/>
      <c r="M276" s="151"/>
      <c r="N276" s="151"/>
      <c r="O276" s="151"/>
      <c r="P276" s="151"/>
      <c r="Q276" s="151"/>
      <c r="R276" s="151"/>
      <c r="S276" s="151"/>
      <c r="T276" s="151"/>
      <c r="U276" s="151"/>
      <c r="V276" s="151"/>
      <c r="W276" s="151"/>
      <c r="X276" s="151"/>
      <c r="Y276" s="151"/>
      <c r="Z276" s="151"/>
      <c r="AA276" s="151"/>
      <c r="AB276" s="151"/>
      <c r="AC276" s="151"/>
      <c r="AD276" s="151"/>
      <c r="AE276" s="151"/>
      <c r="AF276" s="151"/>
      <c r="AG276" s="151"/>
      <c r="AH276" s="151"/>
      <c r="AI276" s="151"/>
      <c r="AJ276" s="151"/>
      <c r="AK276" s="151"/>
      <c r="AL276" s="151"/>
      <c r="AM276" s="151"/>
      <c r="AN276" s="151"/>
      <c r="AO276" s="151"/>
      <c r="AP276" s="151"/>
      <c r="AQ276" s="151"/>
      <c r="AR276" s="151"/>
      <c r="AS276" s="151"/>
      <c r="AT276" s="151"/>
      <c r="AU276" s="151"/>
      <c r="AV276" s="151"/>
      <c r="AW276" s="151"/>
      <c r="AX276" s="151"/>
      <c r="AY276" s="151"/>
      <c r="AZ276" s="151"/>
      <c r="BA276" s="152"/>
    </row>
    <row r="277" spans="2:53" ht="15" customHeight="1">
      <c r="C277" s="145" t="str">
        <f>trans_getMessage("","Tenors",,LANG_ID)</f>
        <v>Tenors</v>
      </c>
      <c r="D277" s="146"/>
      <c r="E277" s="48" t="s">
        <v>50</v>
      </c>
      <c r="F277" s="42" t="e" cm="1">
        <f t="array" aca="1" ref="F277" ca="1">_xll.BDS(E275,E277,"Dir=H",)</f>
        <v>#NAME?</v>
      </c>
      <c r="G277" s="42"/>
      <c r="H277" s="42"/>
      <c r="I277" s="42"/>
      <c r="J277" s="42"/>
      <c r="K277" s="42"/>
      <c r="L277" s="42"/>
      <c r="M277" s="42"/>
      <c r="N277" s="42"/>
      <c r="O277" s="42"/>
      <c r="P277" s="42"/>
      <c r="Q277" s="42"/>
      <c r="R277" s="42"/>
      <c r="S277" s="42"/>
      <c r="T277" s="42"/>
      <c r="U277" s="42"/>
      <c r="V277" s="42"/>
      <c r="W277" s="42"/>
      <c r="X277" s="42"/>
      <c r="Y277" s="42"/>
      <c r="Z277" s="42"/>
      <c r="AA277" s="42"/>
      <c r="AB277" s="42"/>
      <c r="AC277" s="42"/>
      <c r="AD277" s="42"/>
      <c r="AE277" s="42"/>
      <c r="AF277" s="42"/>
      <c r="AG277" s="42"/>
      <c r="AH277" s="42"/>
      <c r="AI277" s="42"/>
      <c r="AJ277" s="42"/>
      <c r="AK277" s="42"/>
      <c r="AL277" s="42"/>
      <c r="AM277" s="42"/>
      <c r="AN277" s="42"/>
      <c r="AO277" s="42"/>
      <c r="AP277" s="42"/>
      <c r="AQ277" s="42"/>
      <c r="AR277" s="42"/>
      <c r="AS277" s="42"/>
      <c r="AT277" s="42"/>
      <c r="AU277" s="42"/>
      <c r="AV277" s="42"/>
      <c r="AW277" s="42"/>
      <c r="AX277" s="42"/>
      <c r="AY277" s="42"/>
      <c r="AZ277" s="42"/>
      <c r="BA277" s="44"/>
    </row>
    <row r="278" spans="2:53" ht="15" hidden="1" customHeight="1">
      <c r="C278" s="145" t="s">
        <v>2211</v>
      </c>
      <c r="D278" s="146"/>
      <c r="E278" s="48"/>
      <c r="F278" s="42" t="e">
        <f ca="1">IF(F277="","",IF(F277="12M","1Y",IF(F277="24M","2Y",F277)))</f>
        <v>#NAME?</v>
      </c>
      <c r="G278" s="42" t="str">
        <f t="shared" ref="G278" si="1176">IF(G277="","",IF(G277="12M","1Y",IF(G277="24M","2Y",G277)))</f>
        <v/>
      </c>
      <c r="H278" s="42" t="str">
        <f t="shared" ref="H278" si="1177">IF(H277="","",IF(H277="12M","1Y",IF(H277="24M","2Y",H277)))</f>
        <v/>
      </c>
      <c r="I278" s="42" t="str">
        <f t="shared" ref="I278" si="1178">IF(I277="","",IF(I277="12M","1Y",IF(I277="24M","2Y",I277)))</f>
        <v/>
      </c>
      <c r="J278" s="42" t="str">
        <f t="shared" ref="J278" si="1179">IF(J277="","",IF(J277="12M","1Y",IF(J277="24M","2Y",J277)))</f>
        <v/>
      </c>
      <c r="K278" s="42" t="str">
        <f t="shared" ref="K278" si="1180">IF(K277="","",IF(K277="12M","1Y",IF(K277="24M","2Y",K277)))</f>
        <v/>
      </c>
      <c r="L278" s="42" t="str">
        <f t="shared" ref="L278" si="1181">IF(L277="","",IF(L277="12M","1Y",IF(L277="24M","2Y",L277)))</f>
        <v/>
      </c>
      <c r="M278" s="42" t="str">
        <f t="shared" ref="M278" si="1182">IF(M277="","",IF(M277="12M","1Y",IF(M277="24M","2Y",M277)))</f>
        <v/>
      </c>
      <c r="N278" s="42" t="str">
        <f t="shared" ref="N278" si="1183">IF(N277="","",IF(N277="12M","1Y",IF(N277="24M","2Y",N277)))</f>
        <v/>
      </c>
      <c r="O278" s="42" t="str">
        <f t="shared" ref="O278" si="1184">IF(O277="","",IF(O277="12M","1Y",IF(O277="24M","2Y",O277)))</f>
        <v/>
      </c>
      <c r="P278" s="42" t="str">
        <f t="shared" ref="P278" si="1185">IF(P277="","",IF(P277="12M","1Y",IF(P277="24M","2Y",P277)))</f>
        <v/>
      </c>
      <c r="Q278" s="42" t="str">
        <f t="shared" ref="Q278" si="1186">IF(Q277="","",IF(Q277="12M","1Y",IF(Q277="24M","2Y",Q277)))</f>
        <v/>
      </c>
      <c r="R278" s="42" t="str">
        <f t="shared" ref="R278" si="1187">IF(R277="","",IF(R277="12M","1Y",IF(R277="24M","2Y",R277)))</f>
        <v/>
      </c>
      <c r="S278" s="42" t="str">
        <f t="shared" ref="S278" si="1188">IF(S277="","",IF(S277="12M","1Y",IF(S277="24M","2Y",S277)))</f>
        <v/>
      </c>
      <c r="T278" s="42" t="str">
        <f t="shared" ref="T278" si="1189">IF(T277="","",IF(T277="12M","1Y",IF(T277="24M","2Y",T277)))</f>
        <v/>
      </c>
      <c r="U278" s="42" t="str">
        <f t="shared" ref="U278" si="1190">IF(U277="","",IF(U277="12M","1Y",IF(U277="24M","2Y",U277)))</f>
        <v/>
      </c>
      <c r="V278" s="42" t="str">
        <f t="shared" ref="V278" si="1191">IF(V277="","",IF(V277="12M","1Y",IF(V277="24M","2Y",V277)))</f>
        <v/>
      </c>
      <c r="W278" s="42" t="str">
        <f t="shared" ref="W278" si="1192">IF(W277="","",IF(W277="12M","1Y",IF(W277="24M","2Y",W277)))</f>
        <v/>
      </c>
      <c r="X278" s="42" t="str">
        <f t="shared" ref="X278" si="1193">IF(X277="","",IF(X277="12M","1Y",IF(X277="24M","2Y",X277)))</f>
        <v/>
      </c>
      <c r="Y278" s="42" t="str">
        <f t="shared" ref="Y278" si="1194">IF(Y277="","",IF(Y277="12M","1Y",IF(Y277="24M","2Y",Y277)))</f>
        <v/>
      </c>
      <c r="Z278" s="42" t="str">
        <f t="shared" ref="Z278" si="1195">IF(Z277="","",IF(Z277="12M","1Y",IF(Z277="24M","2Y",Z277)))</f>
        <v/>
      </c>
      <c r="AA278" s="42" t="str">
        <f t="shared" ref="AA278" si="1196">IF(AA277="","",IF(AA277="12M","1Y",IF(AA277="24M","2Y",AA277)))</f>
        <v/>
      </c>
      <c r="AB278" s="42" t="str">
        <f t="shared" ref="AB278" si="1197">IF(AB277="","",IF(AB277="12M","1Y",IF(AB277="24M","2Y",AB277)))</f>
        <v/>
      </c>
      <c r="AC278" s="42" t="str">
        <f t="shared" ref="AC278" si="1198">IF(AC277="","",IF(AC277="12M","1Y",IF(AC277="24M","2Y",AC277)))</f>
        <v/>
      </c>
      <c r="AD278" s="42" t="str">
        <f t="shared" ref="AD278" si="1199">IF(AD277="","",IF(AD277="12M","1Y",IF(AD277="24M","2Y",AD277)))</f>
        <v/>
      </c>
      <c r="AE278" s="42" t="str">
        <f t="shared" ref="AE278" si="1200">IF(AE277="","",IF(AE277="12M","1Y",IF(AE277="24M","2Y",AE277)))</f>
        <v/>
      </c>
      <c r="AF278" s="42" t="str">
        <f t="shared" ref="AF278" si="1201">IF(AF277="","",IF(AF277="12M","1Y",IF(AF277="24M","2Y",AF277)))</f>
        <v/>
      </c>
      <c r="AG278" s="42" t="str">
        <f t="shared" ref="AG278" si="1202">IF(AG277="","",IF(AG277="12M","1Y",IF(AG277="24M","2Y",AG277)))</f>
        <v/>
      </c>
      <c r="AH278" s="42" t="str">
        <f t="shared" ref="AH278" si="1203">IF(AH277="","",IF(AH277="12M","1Y",IF(AH277="24M","2Y",AH277)))</f>
        <v/>
      </c>
      <c r="AI278" s="42" t="str">
        <f t="shared" ref="AI278" si="1204">IF(AI277="","",IF(AI277="12M","1Y",IF(AI277="24M","2Y",AI277)))</f>
        <v/>
      </c>
      <c r="AJ278" s="42" t="str">
        <f t="shared" ref="AJ278" si="1205">IF(AJ277="","",IF(AJ277="12M","1Y",IF(AJ277="24M","2Y",AJ277)))</f>
        <v/>
      </c>
      <c r="AK278" s="42" t="str">
        <f t="shared" ref="AK278" si="1206">IF(AK277="","",IF(AK277="12M","1Y",IF(AK277="24M","2Y",AK277)))</f>
        <v/>
      </c>
      <c r="AL278" s="42" t="str">
        <f t="shared" ref="AL278" si="1207">IF(AL277="","",IF(AL277="12M","1Y",IF(AL277="24M","2Y",AL277)))</f>
        <v/>
      </c>
      <c r="AM278" s="42" t="str">
        <f t="shared" ref="AM278" si="1208">IF(AM277="","",IF(AM277="12M","1Y",IF(AM277="24M","2Y",AM277)))</f>
        <v/>
      </c>
      <c r="AN278" s="42" t="str">
        <f t="shared" ref="AN278" si="1209">IF(AN277="","",IF(AN277="12M","1Y",IF(AN277="24M","2Y",AN277)))</f>
        <v/>
      </c>
      <c r="AO278" s="42" t="str">
        <f t="shared" ref="AO278" si="1210">IF(AO277="","",IF(AO277="12M","1Y",IF(AO277="24M","2Y",AO277)))</f>
        <v/>
      </c>
      <c r="AP278" s="42" t="str">
        <f t="shared" ref="AP278" si="1211">IF(AP277="","",IF(AP277="12M","1Y",IF(AP277="24M","2Y",AP277)))</f>
        <v/>
      </c>
      <c r="AQ278" s="42" t="str">
        <f t="shared" ref="AQ278" si="1212">IF(AQ277="","",IF(AQ277="12M","1Y",IF(AQ277="24M","2Y",AQ277)))</f>
        <v/>
      </c>
      <c r="AR278" s="42" t="str">
        <f t="shared" ref="AR278" si="1213">IF(AR277="","",IF(AR277="12M","1Y",IF(AR277="24M","2Y",AR277)))</f>
        <v/>
      </c>
      <c r="AS278" s="42" t="str">
        <f t="shared" ref="AS278" si="1214">IF(AS277="","",IF(AS277="12M","1Y",IF(AS277="24M","2Y",AS277)))</f>
        <v/>
      </c>
      <c r="AT278" s="42" t="str">
        <f t="shared" ref="AT278" si="1215">IF(AT277="","",IF(AT277="12M","1Y",IF(AT277="24M","2Y",AT277)))</f>
        <v/>
      </c>
      <c r="AU278" s="42" t="str">
        <f t="shared" ref="AU278" si="1216">IF(AU277="","",IF(AU277="12M","1Y",IF(AU277="24M","2Y",AU277)))</f>
        <v/>
      </c>
      <c r="AV278" s="42" t="str">
        <f t="shared" ref="AV278" si="1217">IF(AV277="","",IF(AV277="12M","1Y",IF(AV277="24M","2Y",AV277)))</f>
        <v/>
      </c>
      <c r="AW278" s="42" t="str">
        <f t="shared" ref="AW278" si="1218">IF(AW277="","",IF(AW277="12M","1Y",IF(AW277="24M","2Y",AW277)))</f>
        <v/>
      </c>
      <c r="AX278" s="42" t="str">
        <f t="shared" ref="AX278" si="1219">IF(AX277="","",IF(AX277="12M","1Y",IF(AX277="24M","2Y",AX277)))</f>
        <v/>
      </c>
      <c r="AY278" s="42" t="str">
        <f t="shared" ref="AY278" si="1220">IF(AY277="","",IF(AY277="12M","1Y",IF(AY277="24M","2Y",AY277)))</f>
        <v/>
      </c>
      <c r="AZ278" s="42" t="str">
        <f t="shared" ref="AZ278" si="1221">IF(AZ277="","",IF(AZ277="12M","1Y",IF(AZ277="24M","2Y",AZ277)))</f>
        <v/>
      </c>
      <c r="BA278" s="42" t="str">
        <f t="shared" ref="BA278" si="1222">IF(BA277="","",IF(BA277="12M","1Y",IF(BA277="24M","2Y",BA277)))</f>
        <v/>
      </c>
    </row>
    <row r="279" spans="2:53" s="41" customFormat="1" ht="15" customHeight="1">
      <c r="B279" s="7"/>
      <c r="C279" s="153" t="str">
        <f>trans_getMessage("","Name",,LANG_ID)</f>
        <v>Name</v>
      </c>
      <c r="D279" s="154"/>
      <c r="E279" s="49" t="s">
        <v>49</v>
      </c>
      <c r="F279" s="43" t="e" cm="1">
        <f t="array" aca="1" ref="F279" ca="1">IF(LEFT(_xlfn.SINGLE(_xll.BDP(F280, $E279)),1)="#", "-", _xll.BDP(F280, $E279))</f>
        <v>#NAME?</v>
      </c>
      <c r="G279" s="43" t="e" cm="1">
        <f t="array" aca="1" ref="G279" ca="1">IF(LEFT(_xlfn.SINGLE(_xll.BDP(G280, $E279)),1)="#", "-", _xll.BDP(G280, $E279))</f>
        <v>#NAME?</v>
      </c>
      <c r="H279" s="43" t="e" cm="1">
        <f t="array" aca="1" ref="H279" ca="1">IF(LEFT(_xlfn.SINGLE(_xll.BDP(H280, $E279)),1)="#", "-", _xll.BDP(H280, $E279))</f>
        <v>#NAME?</v>
      </c>
      <c r="I279" s="43" t="e" cm="1">
        <f t="array" aca="1" ref="I279" ca="1">IF(LEFT(_xlfn.SINGLE(_xll.BDP(I280, $E279)),1)="#", "-", _xll.BDP(I280, $E279))</f>
        <v>#NAME?</v>
      </c>
      <c r="J279" s="43" t="e" cm="1">
        <f t="array" aca="1" ref="J279" ca="1">IF(LEFT(_xlfn.SINGLE(_xll.BDP(J280, $E279)),1)="#", "-", _xll.BDP(J280, $E279))</f>
        <v>#NAME?</v>
      </c>
      <c r="K279" s="43" t="e" cm="1">
        <f t="array" aca="1" ref="K279" ca="1">IF(LEFT(_xlfn.SINGLE(_xll.BDP(K280, $E279)),1)="#", "-", _xll.BDP(K280, $E279))</f>
        <v>#NAME?</v>
      </c>
      <c r="L279" s="43" t="e" cm="1">
        <f t="array" aca="1" ref="L279" ca="1">IF(LEFT(_xlfn.SINGLE(_xll.BDP(L280, $E279)),1)="#", "-", _xll.BDP(L280, $E279))</f>
        <v>#NAME?</v>
      </c>
      <c r="M279" s="43" t="e" cm="1">
        <f t="array" aca="1" ref="M279" ca="1">IF(LEFT(_xlfn.SINGLE(_xll.BDP(M280, $E279)),1)="#", "-", _xll.BDP(M280, $E279))</f>
        <v>#NAME?</v>
      </c>
      <c r="N279" s="43" t="e" cm="1">
        <f t="array" aca="1" ref="N279" ca="1">IF(LEFT(_xlfn.SINGLE(_xll.BDP(N280, $E279)),1)="#", "-", _xll.BDP(N280, $E279))</f>
        <v>#NAME?</v>
      </c>
      <c r="O279" s="43" t="e" cm="1">
        <f t="array" aca="1" ref="O279" ca="1">IF(LEFT(_xlfn.SINGLE(_xll.BDP(O280, $E279)),1)="#", "-", _xll.BDP(O280, $E279))</f>
        <v>#NAME?</v>
      </c>
      <c r="P279" s="43" t="e" cm="1">
        <f t="array" aca="1" ref="P279" ca="1">IF(LEFT(_xlfn.SINGLE(_xll.BDP(P280, $E279)),1)="#", "-", _xll.BDP(P280, $E279))</f>
        <v>#NAME?</v>
      </c>
      <c r="Q279" s="43" t="e" cm="1">
        <f t="array" aca="1" ref="Q279" ca="1">IF(LEFT(_xlfn.SINGLE(_xll.BDP(Q280, $E279)),1)="#", "-", _xll.BDP(Q280, $E279))</f>
        <v>#NAME?</v>
      </c>
      <c r="R279" s="43" t="e" cm="1">
        <f t="array" aca="1" ref="R279" ca="1">IF(LEFT(_xlfn.SINGLE(_xll.BDP(R280, $E279)),1)="#", "-", _xll.BDP(R280, $E279))</f>
        <v>#NAME?</v>
      </c>
      <c r="S279" s="43" t="e" cm="1">
        <f t="array" aca="1" ref="S279" ca="1">IF(LEFT(_xlfn.SINGLE(_xll.BDP(S280, $E279)),1)="#", "-", _xll.BDP(S280, $E279))</f>
        <v>#NAME?</v>
      </c>
      <c r="T279" s="43" t="e" cm="1">
        <f t="array" aca="1" ref="T279" ca="1">IF(LEFT(_xlfn.SINGLE(_xll.BDP(T280, $E279)),1)="#", "-", _xll.BDP(T280, $E279))</f>
        <v>#NAME?</v>
      </c>
      <c r="U279" s="43" t="e" cm="1">
        <f t="array" aca="1" ref="U279" ca="1">IF(LEFT(_xlfn.SINGLE(_xll.BDP(U280, $E279)),1)="#", "-", _xll.BDP(U280, $E279))</f>
        <v>#NAME?</v>
      </c>
      <c r="V279" s="43" t="e" cm="1">
        <f t="array" aca="1" ref="V279" ca="1">IF(LEFT(_xlfn.SINGLE(_xll.BDP(V280, $E279)),1)="#", "-", _xll.BDP(V280, $E279))</f>
        <v>#NAME?</v>
      </c>
      <c r="W279" s="43" t="e" cm="1">
        <f t="array" aca="1" ref="W279" ca="1">IF(LEFT(_xlfn.SINGLE(_xll.BDP(W280, $E279)),1)="#", "-", _xll.BDP(W280, $E279))</f>
        <v>#NAME?</v>
      </c>
      <c r="X279" s="43" t="e" cm="1">
        <f t="array" aca="1" ref="X279" ca="1">IF(LEFT(_xlfn.SINGLE(_xll.BDP(X280, $E279)),1)="#", "-", _xll.BDP(X280, $E279))</f>
        <v>#NAME?</v>
      </c>
      <c r="Y279" s="43" t="e" cm="1">
        <f t="array" aca="1" ref="Y279" ca="1">IF(LEFT(_xlfn.SINGLE(_xll.BDP(Y280, $E279)),1)="#", "-", _xll.BDP(Y280, $E279))</f>
        <v>#NAME?</v>
      </c>
      <c r="Z279" s="43" t="e" cm="1">
        <f t="array" aca="1" ref="Z279" ca="1">IF(LEFT(_xlfn.SINGLE(_xll.BDP(Z280, $E279)),1)="#", "-", _xll.BDP(Z280, $E279))</f>
        <v>#NAME?</v>
      </c>
      <c r="AA279" s="43" t="e" cm="1">
        <f t="array" aca="1" ref="AA279" ca="1">IF(LEFT(_xlfn.SINGLE(_xll.BDP(AA280, $E279)),1)="#", "-", _xll.BDP(AA280, $E279))</f>
        <v>#NAME?</v>
      </c>
      <c r="AB279" s="43" t="e" cm="1">
        <f t="array" aca="1" ref="AB279" ca="1">IF(LEFT(_xlfn.SINGLE(_xll.BDP(AB280, $E279)),1)="#", "-", _xll.BDP(AB280, $E279))</f>
        <v>#NAME?</v>
      </c>
      <c r="AC279" s="43" t="e" cm="1">
        <f t="array" aca="1" ref="AC279" ca="1">IF(LEFT(_xlfn.SINGLE(_xll.BDP(AC280, $E279)),1)="#", "-", _xll.BDP(AC280, $E279))</f>
        <v>#NAME?</v>
      </c>
      <c r="AD279" s="43" t="e" cm="1">
        <f t="array" aca="1" ref="AD279" ca="1">IF(LEFT(_xlfn.SINGLE(_xll.BDP(AD280, $E279)),1)="#", "-", _xll.BDP(AD280, $E279))</f>
        <v>#NAME?</v>
      </c>
      <c r="AE279" s="43" t="e" cm="1">
        <f t="array" aca="1" ref="AE279" ca="1">IF(LEFT(_xlfn.SINGLE(_xll.BDP(AE280, $E279)),1)="#", "-", _xll.BDP(AE280, $E279))</f>
        <v>#NAME?</v>
      </c>
      <c r="AF279" s="43" t="e" cm="1">
        <f t="array" aca="1" ref="AF279" ca="1">IF(LEFT(_xlfn.SINGLE(_xll.BDP(AF280, $E279)),1)="#", "-", _xll.BDP(AF280, $E279))</f>
        <v>#NAME?</v>
      </c>
      <c r="AG279" s="43" t="e" cm="1">
        <f t="array" aca="1" ref="AG279" ca="1">IF(LEFT(_xlfn.SINGLE(_xll.BDP(AG280, $E279)),1)="#", "-", _xll.BDP(AG280, $E279))</f>
        <v>#NAME?</v>
      </c>
      <c r="AH279" s="43" t="e" cm="1">
        <f t="array" aca="1" ref="AH279" ca="1">IF(LEFT(_xlfn.SINGLE(_xll.BDP(AH280, $E279)),1)="#", "-", _xll.BDP(AH280, $E279))</f>
        <v>#NAME?</v>
      </c>
      <c r="AI279" s="43" t="e" cm="1">
        <f t="array" aca="1" ref="AI279" ca="1">IF(LEFT(_xlfn.SINGLE(_xll.BDP(AI280, $E279)),1)="#", "-", _xll.BDP(AI280, $E279))</f>
        <v>#NAME?</v>
      </c>
      <c r="AJ279" s="43" t="e" cm="1">
        <f t="array" aca="1" ref="AJ279" ca="1">IF(LEFT(_xlfn.SINGLE(_xll.BDP(AJ280, $E279)),1)="#", "-", _xll.BDP(AJ280, $E279))</f>
        <v>#NAME?</v>
      </c>
      <c r="AK279" s="43" t="e" cm="1">
        <f t="array" aca="1" ref="AK279" ca="1">IF(LEFT(_xlfn.SINGLE(_xll.BDP(AK280, $E279)),1)="#", "-", _xll.BDP(AK280, $E279))</f>
        <v>#NAME?</v>
      </c>
      <c r="AL279" s="43" t="e" cm="1">
        <f t="array" aca="1" ref="AL279" ca="1">IF(LEFT(_xlfn.SINGLE(_xll.BDP(AL280, $E279)),1)="#", "-", _xll.BDP(AL280, $E279))</f>
        <v>#NAME?</v>
      </c>
      <c r="AM279" s="43" t="e" cm="1">
        <f t="array" aca="1" ref="AM279" ca="1">IF(LEFT(_xlfn.SINGLE(_xll.BDP(AM280, $E279)),1)="#", "-", _xll.BDP(AM280, $E279))</f>
        <v>#NAME?</v>
      </c>
      <c r="AN279" s="43" t="e" cm="1">
        <f t="array" aca="1" ref="AN279" ca="1">IF(LEFT(_xlfn.SINGLE(_xll.BDP(AN280, $E279)),1)="#", "-", _xll.BDP(AN280, $E279))</f>
        <v>#NAME?</v>
      </c>
      <c r="AO279" s="43" t="e" cm="1">
        <f t="array" aca="1" ref="AO279" ca="1">IF(LEFT(_xlfn.SINGLE(_xll.BDP(AO280, $E279)),1)="#", "-", _xll.BDP(AO280, $E279))</f>
        <v>#NAME?</v>
      </c>
      <c r="AP279" s="43" t="e" cm="1">
        <f t="array" aca="1" ref="AP279" ca="1">IF(LEFT(_xlfn.SINGLE(_xll.BDP(AP280, $E279)),1)="#", "-", _xll.BDP(AP280, $E279))</f>
        <v>#NAME?</v>
      </c>
      <c r="AQ279" s="43" t="e" cm="1">
        <f t="array" aca="1" ref="AQ279" ca="1">IF(LEFT(_xlfn.SINGLE(_xll.BDP(AQ280, $E279)),1)="#", "-", _xll.BDP(AQ280, $E279))</f>
        <v>#NAME?</v>
      </c>
      <c r="AR279" s="43" t="e" cm="1">
        <f t="array" aca="1" ref="AR279" ca="1">IF(LEFT(_xlfn.SINGLE(_xll.BDP(AR280, $E279)),1)="#", "-", _xll.BDP(AR280, $E279))</f>
        <v>#NAME?</v>
      </c>
      <c r="AS279" s="43" t="e" cm="1">
        <f t="array" aca="1" ref="AS279" ca="1">IF(LEFT(_xlfn.SINGLE(_xll.BDP(AS280, $E279)),1)="#", "-", _xll.BDP(AS280, $E279))</f>
        <v>#NAME?</v>
      </c>
      <c r="AT279" s="43" t="e" cm="1">
        <f t="array" aca="1" ref="AT279" ca="1">IF(LEFT(_xlfn.SINGLE(_xll.BDP(AT280, $E279)),1)="#", "-", _xll.BDP(AT280, $E279))</f>
        <v>#NAME?</v>
      </c>
      <c r="AU279" s="43" t="e" cm="1">
        <f t="array" aca="1" ref="AU279" ca="1">IF(LEFT(_xlfn.SINGLE(_xll.BDP(AU280, $E279)),1)="#", "-", _xll.BDP(AU280, $E279))</f>
        <v>#NAME?</v>
      </c>
      <c r="AV279" s="43" t="e" cm="1">
        <f t="array" aca="1" ref="AV279" ca="1">IF(LEFT(_xlfn.SINGLE(_xll.BDP(AV280, $E279)),1)="#", "-", _xll.BDP(AV280, $E279))</f>
        <v>#NAME?</v>
      </c>
      <c r="AW279" s="43" t="e" cm="1">
        <f t="array" aca="1" ref="AW279" ca="1">IF(LEFT(_xlfn.SINGLE(_xll.BDP(AW280, $E279)),1)="#", "-", _xll.BDP(AW280, $E279))</f>
        <v>#NAME?</v>
      </c>
      <c r="AX279" s="43" t="e" cm="1">
        <f t="array" aca="1" ref="AX279" ca="1">IF(LEFT(_xlfn.SINGLE(_xll.BDP(AX280, $E279)),1)="#", "-", _xll.BDP(AX280, $E279))</f>
        <v>#NAME?</v>
      </c>
      <c r="AY279" s="43" t="e" cm="1">
        <f t="array" aca="1" ref="AY279" ca="1">IF(LEFT(_xlfn.SINGLE(_xll.BDP(AY280, $E279)),1)="#", "-", _xll.BDP(AY280, $E279))</f>
        <v>#NAME?</v>
      </c>
      <c r="AZ279" s="43" t="e" cm="1">
        <f t="array" aca="1" ref="AZ279" ca="1">IF(LEFT(_xlfn.SINGLE(_xll.BDP(AZ280, $E279)),1)="#", "-", _xll.BDP(AZ280, $E279))</f>
        <v>#NAME?</v>
      </c>
      <c r="BA279" s="45" t="e" cm="1">
        <f t="array" aca="1" ref="BA279" ca="1">IF(LEFT(_xlfn.SINGLE(_xll.BDP(BA280, $E279)),1)="#", "-", _xll.BDP(BA280, $E279))</f>
        <v>#NAME?</v>
      </c>
    </row>
    <row r="280" spans="2:53" ht="15" customHeight="1">
      <c r="B280" s="40"/>
      <c r="C280" s="145" t="str">
        <f>trans_getMessage("","Curve Tickers",,LANG_ID)</f>
        <v>Curve Tickers</v>
      </c>
      <c r="D280" s="146"/>
      <c r="E280" s="50" t="s">
        <v>46</v>
      </c>
      <c r="F280" s="42" t="e" cm="1">
        <f t="array" aca="1" ref="F280" ca="1">_xll.BDS(E275,E280,"Dir=H",)</f>
        <v>#NAME?</v>
      </c>
      <c r="G280" s="42"/>
      <c r="H280" s="42"/>
      <c r="I280" s="42"/>
      <c r="J280" s="42"/>
      <c r="K280" s="42"/>
      <c r="L280" s="42"/>
      <c r="M280" s="42"/>
      <c r="N280" s="42"/>
      <c r="O280" s="42"/>
      <c r="P280" s="42"/>
      <c r="Q280" s="42"/>
      <c r="R280" s="42"/>
      <c r="S280" s="42"/>
      <c r="T280" s="42"/>
      <c r="U280" s="42"/>
      <c r="V280" s="42"/>
      <c r="W280" s="42"/>
      <c r="X280" s="42"/>
      <c r="Y280" s="42"/>
      <c r="Z280" s="42"/>
      <c r="AA280" s="42"/>
      <c r="AB280" s="42"/>
      <c r="AC280" s="42"/>
      <c r="AD280" s="42"/>
      <c r="AE280" s="42"/>
      <c r="AF280" s="42"/>
      <c r="AG280" s="42"/>
      <c r="AH280" s="42"/>
      <c r="AI280" s="42"/>
      <c r="AJ280" s="42"/>
      <c r="AK280" s="42"/>
      <c r="AL280" s="42"/>
      <c r="AM280" s="42"/>
      <c r="AN280" s="42"/>
      <c r="AO280" s="42"/>
      <c r="AP280" s="42"/>
      <c r="AQ280" s="42"/>
      <c r="AR280" s="42"/>
      <c r="AS280" s="42"/>
      <c r="AT280" s="42"/>
      <c r="AU280" s="42"/>
      <c r="AV280" s="42"/>
      <c r="AW280" s="42"/>
      <c r="AX280" s="42"/>
      <c r="AY280" s="42"/>
      <c r="AZ280" s="42"/>
      <c r="BA280" s="44"/>
    </row>
    <row r="281" spans="2:53" ht="15" customHeight="1">
      <c r="C281" s="138" t="str">
        <f>trans_getMessage("","Rate",,LANG_ID)</f>
        <v>Rate</v>
      </c>
      <c r="D281" s="139"/>
      <c r="E281" s="51" t="s">
        <v>44</v>
      </c>
      <c r="F281" s="46" t="str" cm="1">
        <f t="array" aca="1" ref="F281" ca="1">IF(ISERROR(_xlfn.SINGLE(_xll.BDP(F280, $E281))*1), "-", _xll.BDP(F280, $E281))</f>
        <v>-</v>
      </c>
      <c r="G281" s="46" t="str" cm="1">
        <f t="array" aca="1" ref="G281" ca="1">IF(ISERROR(_xlfn.SINGLE(_xll.BDP(G280, $E281))*1), "-", _xll.BDP(G280, $E281))</f>
        <v>-</v>
      </c>
      <c r="H281" s="46" t="str" cm="1">
        <f t="array" aca="1" ref="H281" ca="1">IF(ISERROR(_xlfn.SINGLE(_xll.BDP(H280, $E281))*1), "-", _xll.BDP(H280, $E281))</f>
        <v>-</v>
      </c>
      <c r="I281" s="46" t="str" cm="1">
        <f t="array" aca="1" ref="I281" ca="1">IF(ISERROR(_xlfn.SINGLE(_xll.BDP(I280, $E281))*1), "-", _xll.BDP(I280, $E281))</f>
        <v>-</v>
      </c>
      <c r="J281" s="46" t="str" cm="1">
        <f t="array" aca="1" ref="J281" ca="1">IF(ISERROR(_xlfn.SINGLE(_xll.BDP(J280, $E281))*1), "-", _xll.BDP(J280, $E281))</f>
        <v>-</v>
      </c>
      <c r="K281" s="46" t="str" cm="1">
        <f t="array" aca="1" ref="K281" ca="1">IF(ISERROR(_xlfn.SINGLE(_xll.BDP(K280, $E281))*1), "-", _xll.BDP(K280, $E281))</f>
        <v>-</v>
      </c>
      <c r="L281" s="46" t="str" cm="1">
        <f t="array" aca="1" ref="L281" ca="1">IF(ISERROR(_xlfn.SINGLE(_xll.BDP(L280, $E281))*1), "-", _xll.BDP(L280, $E281))</f>
        <v>-</v>
      </c>
      <c r="M281" s="46" t="str" cm="1">
        <f t="array" aca="1" ref="M281" ca="1">IF(ISERROR(_xlfn.SINGLE(_xll.BDP(M280, $E281))*1), "-", _xll.BDP(M280, $E281))</f>
        <v>-</v>
      </c>
      <c r="N281" s="46" t="str" cm="1">
        <f t="array" aca="1" ref="N281" ca="1">IF(ISERROR(_xlfn.SINGLE(_xll.BDP(N280, $E281))*1), "-", _xll.BDP(N280, $E281))</f>
        <v>-</v>
      </c>
      <c r="O281" s="46" t="str" cm="1">
        <f t="array" aca="1" ref="O281" ca="1">IF(ISERROR(_xlfn.SINGLE(_xll.BDP(O280, $E281))*1), "-", _xll.BDP(O280, $E281))</f>
        <v>-</v>
      </c>
      <c r="P281" s="46" t="str" cm="1">
        <f t="array" aca="1" ref="P281" ca="1">IF(ISERROR(_xlfn.SINGLE(_xll.BDP(P280, $E281))*1), "-", _xll.BDP(P280, $E281))</f>
        <v>-</v>
      </c>
      <c r="Q281" s="46" t="str" cm="1">
        <f t="array" aca="1" ref="Q281" ca="1">IF(ISERROR(_xlfn.SINGLE(_xll.BDP(Q280, $E281))*1), "-", _xll.BDP(Q280, $E281))</f>
        <v>-</v>
      </c>
      <c r="R281" s="46" t="str" cm="1">
        <f t="array" aca="1" ref="R281" ca="1">IF(ISERROR(_xlfn.SINGLE(_xll.BDP(R280, $E281))*1), "-", _xll.BDP(R280, $E281))</f>
        <v>-</v>
      </c>
      <c r="S281" s="46" t="str" cm="1">
        <f t="array" aca="1" ref="S281" ca="1">IF(ISERROR(_xlfn.SINGLE(_xll.BDP(S280, $E281))*1), "-", _xll.BDP(S280, $E281))</f>
        <v>-</v>
      </c>
      <c r="T281" s="46" t="str" cm="1">
        <f t="array" aca="1" ref="T281" ca="1">IF(ISERROR(_xlfn.SINGLE(_xll.BDP(T280, $E281))*1), "-", _xll.BDP(T280, $E281))</f>
        <v>-</v>
      </c>
      <c r="U281" s="46" t="str" cm="1">
        <f t="array" aca="1" ref="U281" ca="1">IF(ISERROR(_xlfn.SINGLE(_xll.BDP(U280, $E281))*1), "-", _xll.BDP(U280, $E281))</f>
        <v>-</v>
      </c>
      <c r="V281" s="46" t="str" cm="1">
        <f t="array" aca="1" ref="V281" ca="1">IF(ISERROR(_xlfn.SINGLE(_xll.BDP(V280, $E281))*1), "-", _xll.BDP(V280, $E281))</f>
        <v>-</v>
      </c>
      <c r="W281" s="46" t="str" cm="1">
        <f t="array" aca="1" ref="W281" ca="1">IF(ISERROR(_xlfn.SINGLE(_xll.BDP(W280, $E281))*1), "-", _xll.BDP(W280, $E281))</f>
        <v>-</v>
      </c>
      <c r="X281" s="46" t="str" cm="1">
        <f t="array" aca="1" ref="X281" ca="1">IF(ISERROR(_xlfn.SINGLE(_xll.BDP(X280, $E281))*1), "-", _xll.BDP(X280, $E281))</f>
        <v>-</v>
      </c>
      <c r="Y281" s="46" t="str" cm="1">
        <f t="array" aca="1" ref="Y281" ca="1">IF(ISERROR(_xlfn.SINGLE(_xll.BDP(Y280, $E281))*1), "-", _xll.BDP(Y280, $E281))</f>
        <v>-</v>
      </c>
      <c r="Z281" s="46" t="str" cm="1">
        <f t="array" aca="1" ref="Z281" ca="1">IF(ISERROR(_xlfn.SINGLE(_xll.BDP(Z280, $E281))*1), "-", _xll.BDP(Z280, $E281))</f>
        <v>-</v>
      </c>
      <c r="AA281" s="46" t="str" cm="1">
        <f t="array" aca="1" ref="AA281" ca="1">IF(ISERROR(_xlfn.SINGLE(_xll.BDP(AA280, $E281))*1), "-", _xll.BDP(AA280, $E281))</f>
        <v>-</v>
      </c>
      <c r="AB281" s="46" t="str" cm="1">
        <f t="array" aca="1" ref="AB281" ca="1">IF(ISERROR(_xlfn.SINGLE(_xll.BDP(AB280, $E281))*1), "-", _xll.BDP(AB280, $E281))</f>
        <v>-</v>
      </c>
      <c r="AC281" s="46" t="str" cm="1">
        <f t="array" aca="1" ref="AC281" ca="1">IF(ISERROR(_xlfn.SINGLE(_xll.BDP(AC280, $E281))*1), "-", _xll.BDP(AC280, $E281))</f>
        <v>-</v>
      </c>
      <c r="AD281" s="46" t="str" cm="1">
        <f t="array" aca="1" ref="AD281" ca="1">IF(ISERROR(_xlfn.SINGLE(_xll.BDP(AD280, $E281))*1), "-", _xll.BDP(AD280, $E281))</f>
        <v>-</v>
      </c>
      <c r="AE281" s="46" t="str" cm="1">
        <f t="array" aca="1" ref="AE281" ca="1">IF(ISERROR(_xlfn.SINGLE(_xll.BDP(AE280, $E281))*1), "-", _xll.BDP(AE280, $E281))</f>
        <v>-</v>
      </c>
      <c r="AF281" s="46" t="str" cm="1">
        <f t="array" aca="1" ref="AF281" ca="1">IF(ISERROR(_xlfn.SINGLE(_xll.BDP(AF280, $E281))*1), "-", _xll.BDP(AF280, $E281))</f>
        <v>-</v>
      </c>
      <c r="AG281" s="46" t="str" cm="1">
        <f t="array" aca="1" ref="AG281" ca="1">IF(ISERROR(_xlfn.SINGLE(_xll.BDP(AG280, $E281))*1), "-", _xll.BDP(AG280, $E281))</f>
        <v>-</v>
      </c>
      <c r="AH281" s="46" t="str" cm="1">
        <f t="array" aca="1" ref="AH281" ca="1">IF(ISERROR(_xlfn.SINGLE(_xll.BDP(AH280, $E281))*1), "-", _xll.BDP(AH280, $E281))</f>
        <v>-</v>
      </c>
      <c r="AI281" s="46" t="str" cm="1">
        <f t="array" aca="1" ref="AI281" ca="1">IF(ISERROR(_xlfn.SINGLE(_xll.BDP(AI280, $E281))*1), "-", _xll.BDP(AI280, $E281))</f>
        <v>-</v>
      </c>
      <c r="AJ281" s="46" t="str" cm="1">
        <f t="array" aca="1" ref="AJ281" ca="1">IF(ISERROR(_xlfn.SINGLE(_xll.BDP(AJ280, $E281))*1), "-", _xll.BDP(AJ280, $E281))</f>
        <v>-</v>
      </c>
      <c r="AK281" s="46" t="str" cm="1">
        <f t="array" aca="1" ref="AK281" ca="1">IF(ISERROR(_xlfn.SINGLE(_xll.BDP(AK280, $E281))*1), "-", _xll.BDP(AK280, $E281))</f>
        <v>-</v>
      </c>
      <c r="AL281" s="46" t="str" cm="1">
        <f t="array" aca="1" ref="AL281" ca="1">IF(ISERROR(_xlfn.SINGLE(_xll.BDP(AL280, $E281))*1), "-", _xll.BDP(AL280, $E281))</f>
        <v>-</v>
      </c>
      <c r="AM281" s="46" t="str" cm="1">
        <f t="array" aca="1" ref="AM281" ca="1">IF(ISERROR(_xlfn.SINGLE(_xll.BDP(AM280, $E281))*1), "-", _xll.BDP(AM280, $E281))</f>
        <v>-</v>
      </c>
      <c r="AN281" s="46" t="str" cm="1">
        <f t="array" aca="1" ref="AN281" ca="1">IF(ISERROR(_xlfn.SINGLE(_xll.BDP(AN280, $E281))*1), "-", _xll.BDP(AN280, $E281))</f>
        <v>-</v>
      </c>
      <c r="AO281" s="46" t="str" cm="1">
        <f t="array" aca="1" ref="AO281" ca="1">IF(ISERROR(_xlfn.SINGLE(_xll.BDP(AO280, $E281))*1), "-", _xll.BDP(AO280, $E281))</f>
        <v>-</v>
      </c>
      <c r="AP281" s="46" t="str" cm="1">
        <f t="array" aca="1" ref="AP281" ca="1">IF(ISERROR(_xlfn.SINGLE(_xll.BDP(AP280, $E281))*1), "-", _xll.BDP(AP280, $E281))</f>
        <v>-</v>
      </c>
      <c r="AQ281" s="46" t="str" cm="1">
        <f t="array" aca="1" ref="AQ281" ca="1">IF(ISERROR(_xlfn.SINGLE(_xll.BDP(AQ280, $E281))*1), "-", _xll.BDP(AQ280, $E281))</f>
        <v>-</v>
      </c>
      <c r="AR281" s="46" t="str" cm="1">
        <f t="array" aca="1" ref="AR281" ca="1">IF(ISERROR(_xlfn.SINGLE(_xll.BDP(AR280, $E281))*1), "-", _xll.BDP(AR280, $E281))</f>
        <v>-</v>
      </c>
      <c r="AS281" s="46" t="str" cm="1">
        <f t="array" aca="1" ref="AS281" ca="1">IF(ISERROR(_xlfn.SINGLE(_xll.BDP(AS280, $E281))*1), "-", _xll.BDP(AS280, $E281))</f>
        <v>-</v>
      </c>
      <c r="AT281" s="46" t="str" cm="1">
        <f t="array" aca="1" ref="AT281" ca="1">IF(ISERROR(_xlfn.SINGLE(_xll.BDP(AT280, $E281))*1), "-", _xll.BDP(AT280, $E281))</f>
        <v>-</v>
      </c>
      <c r="AU281" s="46" t="str" cm="1">
        <f t="array" aca="1" ref="AU281" ca="1">IF(ISERROR(_xlfn.SINGLE(_xll.BDP(AU280, $E281))*1), "-", _xll.BDP(AU280, $E281))</f>
        <v>-</v>
      </c>
      <c r="AV281" s="46" t="str" cm="1">
        <f t="array" aca="1" ref="AV281" ca="1">IF(ISERROR(_xlfn.SINGLE(_xll.BDP(AV280, $E281))*1), "-", _xll.BDP(AV280, $E281))</f>
        <v>-</v>
      </c>
      <c r="AW281" s="46" t="str" cm="1">
        <f t="array" aca="1" ref="AW281" ca="1">IF(ISERROR(_xlfn.SINGLE(_xll.BDP(AW280, $E281))*1), "-", _xll.BDP(AW280, $E281))</f>
        <v>-</v>
      </c>
      <c r="AX281" s="46" t="str" cm="1">
        <f t="array" aca="1" ref="AX281" ca="1">IF(ISERROR(_xlfn.SINGLE(_xll.BDP(AX280, $E281))*1), "-", _xll.BDP(AX280, $E281))</f>
        <v>-</v>
      </c>
      <c r="AY281" s="46" t="str" cm="1">
        <f t="array" aca="1" ref="AY281" ca="1">IF(ISERROR(_xlfn.SINGLE(_xll.BDP(AY280, $E281))*1), "-", _xll.BDP(AY280, $E281))</f>
        <v>-</v>
      </c>
      <c r="AZ281" s="46" t="str" cm="1">
        <f t="array" aca="1" ref="AZ281" ca="1">IF(ISERROR(_xlfn.SINGLE(_xll.BDP(AZ280, $E281))*1), "-", _xll.BDP(AZ280, $E281))</f>
        <v>-</v>
      </c>
      <c r="BA281" s="47" t="str" cm="1">
        <f t="array" aca="1" ref="BA281" ca="1">IF(ISERROR(_xlfn.SINGLE(_xll.BDP(BA280, $E281))*1), "-", _xll.BDP(BA280, $E281))</f>
        <v>-</v>
      </c>
    </row>
    <row r="282" spans="2:53" ht="15" hidden="1" customHeight="1"/>
    <row r="283" spans="2:53" ht="5.15" customHeight="1"/>
    <row r="284" spans="2:53" ht="15" customHeight="1">
      <c r="B284" s="38" t="s">
        <v>96</v>
      </c>
      <c r="C284" s="140" t="str">
        <f>trans_getMessage("","Curve Number",,LANG_ID)</f>
        <v>Curve Number</v>
      </c>
      <c r="D284" s="141"/>
      <c r="E284" s="142">
        <f>VLOOKUP(B284, 'Currency-Curve List'!$C$9:$E$103, 2, FALSE)</f>
        <v>166</v>
      </c>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4"/>
    </row>
    <row r="285" spans="2:53" ht="15" customHeight="1">
      <c r="C285" s="145" t="str">
        <f>trans_getMessage("","Curve Index",,LANG_ID)</f>
        <v>Curve Index</v>
      </c>
      <c r="D285" s="146"/>
      <c r="E285" s="147" t="str">
        <f>VLOOKUP(B284, 'Currency-Curve List'!$C$9:$E$103, 3, FALSE)</f>
        <v>YCSW0166 Index</v>
      </c>
      <c r="F285" s="148"/>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148"/>
      <c r="AS285" s="148"/>
      <c r="AT285" s="148"/>
      <c r="AU285" s="148"/>
      <c r="AV285" s="148"/>
      <c r="AW285" s="148"/>
      <c r="AX285" s="148"/>
      <c r="AY285" s="148"/>
      <c r="AZ285" s="148"/>
      <c r="BA285" s="149"/>
    </row>
    <row r="286" spans="2:53" ht="15" customHeight="1">
      <c r="C286" s="145" t="str">
        <f>trans_getMessage("","Curve Name",,LANG_ID)</f>
        <v>Curve Name</v>
      </c>
      <c r="D286" s="146"/>
      <c r="E286" s="150" t="e" cm="1">
        <f t="array" aca="1" ref="E286" ca="1">_xll.BDP(E285, "NAME")</f>
        <v>#NAME?</v>
      </c>
      <c r="F286" s="151"/>
      <c r="G286" s="151"/>
      <c r="H286" s="151"/>
      <c r="I286" s="151"/>
      <c r="J286" s="151"/>
      <c r="K286" s="151"/>
      <c r="L286" s="151"/>
      <c r="M286" s="151"/>
      <c r="N286" s="151"/>
      <c r="O286" s="151"/>
      <c r="P286" s="151"/>
      <c r="Q286" s="151"/>
      <c r="R286" s="151"/>
      <c r="S286" s="151"/>
      <c r="T286" s="151"/>
      <c r="U286" s="151"/>
      <c r="V286" s="151"/>
      <c r="W286" s="151"/>
      <c r="X286" s="151"/>
      <c r="Y286" s="151"/>
      <c r="Z286" s="151"/>
      <c r="AA286" s="151"/>
      <c r="AB286" s="151"/>
      <c r="AC286" s="151"/>
      <c r="AD286" s="151"/>
      <c r="AE286" s="151"/>
      <c r="AF286" s="151"/>
      <c r="AG286" s="151"/>
      <c r="AH286" s="151"/>
      <c r="AI286" s="151"/>
      <c r="AJ286" s="151"/>
      <c r="AK286" s="151"/>
      <c r="AL286" s="151"/>
      <c r="AM286" s="151"/>
      <c r="AN286" s="151"/>
      <c r="AO286" s="151"/>
      <c r="AP286" s="151"/>
      <c r="AQ286" s="151"/>
      <c r="AR286" s="151"/>
      <c r="AS286" s="151"/>
      <c r="AT286" s="151"/>
      <c r="AU286" s="151"/>
      <c r="AV286" s="151"/>
      <c r="AW286" s="151"/>
      <c r="AX286" s="151"/>
      <c r="AY286" s="151"/>
      <c r="AZ286" s="151"/>
      <c r="BA286" s="152"/>
    </row>
    <row r="287" spans="2:53" ht="15" customHeight="1">
      <c r="C287" s="145" t="str">
        <f>trans_getMessage("","Tenors",,LANG_ID)</f>
        <v>Tenors</v>
      </c>
      <c r="D287" s="146"/>
      <c r="E287" s="48" t="s">
        <v>50</v>
      </c>
      <c r="F287" s="42" t="e" cm="1">
        <f t="array" aca="1" ref="F287" ca="1">_xll.BDS(E285,E287,"Dir=H",)</f>
        <v>#NAME?</v>
      </c>
      <c r="G287" s="42"/>
      <c r="H287" s="42"/>
      <c r="I287" s="42"/>
      <c r="J287" s="42"/>
      <c r="K287" s="42"/>
      <c r="L287" s="42"/>
      <c r="M287" s="42"/>
      <c r="N287" s="42"/>
      <c r="O287" s="42"/>
      <c r="P287" s="42"/>
      <c r="Q287" s="42"/>
      <c r="R287" s="42"/>
      <c r="S287" s="42"/>
      <c r="T287" s="42"/>
      <c r="U287" s="42"/>
      <c r="V287" s="42"/>
      <c r="W287" s="42"/>
      <c r="X287" s="42"/>
      <c r="Y287" s="42"/>
      <c r="Z287" s="42"/>
      <c r="AA287" s="42"/>
      <c r="AB287" s="42"/>
      <c r="AC287" s="42"/>
      <c r="AD287" s="42"/>
      <c r="AE287" s="42"/>
      <c r="AF287" s="42"/>
      <c r="AG287" s="42"/>
      <c r="AH287" s="42"/>
      <c r="AI287" s="42"/>
      <c r="AJ287" s="42"/>
      <c r="AK287" s="42"/>
      <c r="AL287" s="42"/>
      <c r="AM287" s="42"/>
      <c r="AN287" s="42"/>
      <c r="AO287" s="42"/>
      <c r="AP287" s="42"/>
      <c r="AQ287" s="42"/>
      <c r="AR287" s="42"/>
      <c r="AS287" s="42"/>
      <c r="AT287" s="42"/>
      <c r="AU287" s="42"/>
      <c r="AV287" s="42"/>
      <c r="AW287" s="42"/>
      <c r="AX287" s="42"/>
      <c r="AY287" s="42"/>
      <c r="AZ287" s="42"/>
      <c r="BA287" s="44"/>
    </row>
    <row r="288" spans="2:53" ht="15" hidden="1" customHeight="1">
      <c r="C288" s="145" t="s">
        <v>2211</v>
      </c>
      <c r="D288" s="146"/>
      <c r="E288" s="48"/>
      <c r="F288" s="42" t="e">
        <f ca="1">IF(F287="","",IF(F287="12M","1Y",IF(F287="24M","2Y",F287)))</f>
        <v>#NAME?</v>
      </c>
      <c r="G288" s="42" t="str">
        <f t="shared" ref="G288" si="1223">IF(G287="","",IF(G287="12M","1Y",IF(G287="24M","2Y",G287)))</f>
        <v/>
      </c>
      <c r="H288" s="42" t="str">
        <f t="shared" ref="H288" si="1224">IF(H287="","",IF(H287="12M","1Y",IF(H287="24M","2Y",H287)))</f>
        <v/>
      </c>
      <c r="I288" s="42" t="str">
        <f t="shared" ref="I288" si="1225">IF(I287="","",IF(I287="12M","1Y",IF(I287="24M","2Y",I287)))</f>
        <v/>
      </c>
      <c r="J288" s="42" t="str">
        <f t="shared" ref="J288" si="1226">IF(J287="","",IF(J287="12M","1Y",IF(J287="24M","2Y",J287)))</f>
        <v/>
      </c>
      <c r="K288" s="42" t="str">
        <f t="shared" ref="K288" si="1227">IF(K287="","",IF(K287="12M","1Y",IF(K287="24M","2Y",K287)))</f>
        <v/>
      </c>
      <c r="L288" s="42" t="str">
        <f t="shared" ref="L288" si="1228">IF(L287="","",IF(L287="12M","1Y",IF(L287="24M","2Y",L287)))</f>
        <v/>
      </c>
      <c r="M288" s="42" t="str">
        <f t="shared" ref="M288" si="1229">IF(M287="","",IF(M287="12M","1Y",IF(M287="24M","2Y",M287)))</f>
        <v/>
      </c>
      <c r="N288" s="42" t="str">
        <f t="shared" ref="N288" si="1230">IF(N287="","",IF(N287="12M","1Y",IF(N287="24M","2Y",N287)))</f>
        <v/>
      </c>
      <c r="O288" s="42" t="str">
        <f t="shared" ref="O288" si="1231">IF(O287="","",IF(O287="12M","1Y",IF(O287="24M","2Y",O287)))</f>
        <v/>
      </c>
      <c r="P288" s="42" t="str">
        <f t="shared" ref="P288" si="1232">IF(P287="","",IF(P287="12M","1Y",IF(P287="24M","2Y",P287)))</f>
        <v/>
      </c>
      <c r="Q288" s="42" t="str">
        <f t="shared" ref="Q288" si="1233">IF(Q287="","",IF(Q287="12M","1Y",IF(Q287="24M","2Y",Q287)))</f>
        <v/>
      </c>
      <c r="R288" s="42" t="str">
        <f t="shared" ref="R288" si="1234">IF(R287="","",IF(R287="12M","1Y",IF(R287="24M","2Y",R287)))</f>
        <v/>
      </c>
      <c r="S288" s="42" t="str">
        <f t="shared" ref="S288" si="1235">IF(S287="","",IF(S287="12M","1Y",IF(S287="24M","2Y",S287)))</f>
        <v/>
      </c>
      <c r="T288" s="42" t="str">
        <f t="shared" ref="T288" si="1236">IF(T287="","",IF(T287="12M","1Y",IF(T287="24M","2Y",T287)))</f>
        <v/>
      </c>
      <c r="U288" s="42" t="str">
        <f t="shared" ref="U288" si="1237">IF(U287="","",IF(U287="12M","1Y",IF(U287="24M","2Y",U287)))</f>
        <v/>
      </c>
      <c r="V288" s="42" t="str">
        <f t="shared" ref="V288" si="1238">IF(V287="","",IF(V287="12M","1Y",IF(V287="24M","2Y",V287)))</f>
        <v/>
      </c>
      <c r="W288" s="42" t="str">
        <f t="shared" ref="W288" si="1239">IF(W287="","",IF(W287="12M","1Y",IF(W287="24M","2Y",W287)))</f>
        <v/>
      </c>
      <c r="X288" s="42" t="str">
        <f t="shared" ref="X288" si="1240">IF(X287="","",IF(X287="12M","1Y",IF(X287="24M","2Y",X287)))</f>
        <v/>
      </c>
      <c r="Y288" s="42" t="str">
        <f t="shared" ref="Y288" si="1241">IF(Y287="","",IF(Y287="12M","1Y",IF(Y287="24M","2Y",Y287)))</f>
        <v/>
      </c>
      <c r="Z288" s="42" t="str">
        <f t="shared" ref="Z288" si="1242">IF(Z287="","",IF(Z287="12M","1Y",IF(Z287="24M","2Y",Z287)))</f>
        <v/>
      </c>
      <c r="AA288" s="42" t="str">
        <f t="shared" ref="AA288" si="1243">IF(AA287="","",IF(AA287="12M","1Y",IF(AA287="24M","2Y",AA287)))</f>
        <v/>
      </c>
      <c r="AB288" s="42" t="str">
        <f t="shared" ref="AB288" si="1244">IF(AB287="","",IF(AB287="12M","1Y",IF(AB287="24M","2Y",AB287)))</f>
        <v/>
      </c>
      <c r="AC288" s="42" t="str">
        <f t="shared" ref="AC288" si="1245">IF(AC287="","",IF(AC287="12M","1Y",IF(AC287="24M","2Y",AC287)))</f>
        <v/>
      </c>
      <c r="AD288" s="42" t="str">
        <f t="shared" ref="AD288" si="1246">IF(AD287="","",IF(AD287="12M","1Y",IF(AD287="24M","2Y",AD287)))</f>
        <v/>
      </c>
      <c r="AE288" s="42" t="str">
        <f t="shared" ref="AE288" si="1247">IF(AE287="","",IF(AE287="12M","1Y",IF(AE287="24M","2Y",AE287)))</f>
        <v/>
      </c>
      <c r="AF288" s="42" t="str">
        <f t="shared" ref="AF288" si="1248">IF(AF287="","",IF(AF287="12M","1Y",IF(AF287="24M","2Y",AF287)))</f>
        <v/>
      </c>
      <c r="AG288" s="42" t="str">
        <f t="shared" ref="AG288" si="1249">IF(AG287="","",IF(AG287="12M","1Y",IF(AG287="24M","2Y",AG287)))</f>
        <v/>
      </c>
      <c r="AH288" s="42" t="str">
        <f t="shared" ref="AH288" si="1250">IF(AH287="","",IF(AH287="12M","1Y",IF(AH287="24M","2Y",AH287)))</f>
        <v/>
      </c>
      <c r="AI288" s="42" t="str">
        <f t="shared" ref="AI288" si="1251">IF(AI287="","",IF(AI287="12M","1Y",IF(AI287="24M","2Y",AI287)))</f>
        <v/>
      </c>
      <c r="AJ288" s="42" t="str">
        <f t="shared" ref="AJ288" si="1252">IF(AJ287="","",IF(AJ287="12M","1Y",IF(AJ287="24M","2Y",AJ287)))</f>
        <v/>
      </c>
      <c r="AK288" s="42" t="str">
        <f t="shared" ref="AK288" si="1253">IF(AK287="","",IF(AK287="12M","1Y",IF(AK287="24M","2Y",AK287)))</f>
        <v/>
      </c>
      <c r="AL288" s="42" t="str">
        <f t="shared" ref="AL288" si="1254">IF(AL287="","",IF(AL287="12M","1Y",IF(AL287="24M","2Y",AL287)))</f>
        <v/>
      </c>
      <c r="AM288" s="42" t="str">
        <f t="shared" ref="AM288" si="1255">IF(AM287="","",IF(AM287="12M","1Y",IF(AM287="24M","2Y",AM287)))</f>
        <v/>
      </c>
      <c r="AN288" s="42" t="str">
        <f t="shared" ref="AN288" si="1256">IF(AN287="","",IF(AN287="12M","1Y",IF(AN287="24M","2Y",AN287)))</f>
        <v/>
      </c>
      <c r="AO288" s="42" t="str">
        <f t="shared" ref="AO288" si="1257">IF(AO287="","",IF(AO287="12M","1Y",IF(AO287="24M","2Y",AO287)))</f>
        <v/>
      </c>
      <c r="AP288" s="42" t="str">
        <f t="shared" ref="AP288" si="1258">IF(AP287="","",IF(AP287="12M","1Y",IF(AP287="24M","2Y",AP287)))</f>
        <v/>
      </c>
      <c r="AQ288" s="42" t="str">
        <f t="shared" ref="AQ288" si="1259">IF(AQ287="","",IF(AQ287="12M","1Y",IF(AQ287="24M","2Y",AQ287)))</f>
        <v/>
      </c>
      <c r="AR288" s="42" t="str">
        <f t="shared" ref="AR288" si="1260">IF(AR287="","",IF(AR287="12M","1Y",IF(AR287="24M","2Y",AR287)))</f>
        <v/>
      </c>
      <c r="AS288" s="42" t="str">
        <f t="shared" ref="AS288" si="1261">IF(AS287="","",IF(AS287="12M","1Y",IF(AS287="24M","2Y",AS287)))</f>
        <v/>
      </c>
      <c r="AT288" s="42" t="str">
        <f t="shared" ref="AT288" si="1262">IF(AT287="","",IF(AT287="12M","1Y",IF(AT287="24M","2Y",AT287)))</f>
        <v/>
      </c>
      <c r="AU288" s="42" t="str">
        <f t="shared" ref="AU288" si="1263">IF(AU287="","",IF(AU287="12M","1Y",IF(AU287="24M","2Y",AU287)))</f>
        <v/>
      </c>
      <c r="AV288" s="42" t="str">
        <f t="shared" ref="AV288" si="1264">IF(AV287="","",IF(AV287="12M","1Y",IF(AV287="24M","2Y",AV287)))</f>
        <v/>
      </c>
      <c r="AW288" s="42" t="str">
        <f t="shared" ref="AW288" si="1265">IF(AW287="","",IF(AW287="12M","1Y",IF(AW287="24M","2Y",AW287)))</f>
        <v/>
      </c>
      <c r="AX288" s="42" t="str">
        <f t="shared" ref="AX288" si="1266">IF(AX287="","",IF(AX287="12M","1Y",IF(AX287="24M","2Y",AX287)))</f>
        <v/>
      </c>
      <c r="AY288" s="42" t="str">
        <f t="shared" ref="AY288" si="1267">IF(AY287="","",IF(AY287="12M","1Y",IF(AY287="24M","2Y",AY287)))</f>
        <v/>
      </c>
      <c r="AZ288" s="42" t="str">
        <f t="shared" ref="AZ288" si="1268">IF(AZ287="","",IF(AZ287="12M","1Y",IF(AZ287="24M","2Y",AZ287)))</f>
        <v/>
      </c>
      <c r="BA288" s="42" t="str">
        <f t="shared" ref="BA288" si="1269">IF(BA287="","",IF(BA287="12M","1Y",IF(BA287="24M","2Y",BA287)))</f>
        <v/>
      </c>
    </row>
    <row r="289" spans="2:53" s="41" customFormat="1" ht="15" customHeight="1">
      <c r="B289" s="7"/>
      <c r="C289" s="153" t="str">
        <f>trans_getMessage("","Name",,LANG_ID)</f>
        <v>Name</v>
      </c>
      <c r="D289" s="154"/>
      <c r="E289" s="49" t="s">
        <v>49</v>
      </c>
      <c r="F289" s="43" t="e" cm="1">
        <f t="array" aca="1" ref="F289" ca="1">IF(LEFT(_xlfn.SINGLE(_xll.BDP(F290, $E289)),1)="#", "-", _xll.BDP(F290, $E289))</f>
        <v>#NAME?</v>
      </c>
      <c r="G289" s="43" t="e" cm="1">
        <f t="array" aca="1" ref="G289" ca="1">IF(LEFT(_xlfn.SINGLE(_xll.BDP(G290, $E289)),1)="#", "-", _xll.BDP(G290, $E289))</f>
        <v>#NAME?</v>
      </c>
      <c r="H289" s="43" t="e" cm="1">
        <f t="array" aca="1" ref="H289" ca="1">IF(LEFT(_xlfn.SINGLE(_xll.BDP(H290, $E289)),1)="#", "-", _xll.BDP(H290, $E289))</f>
        <v>#NAME?</v>
      </c>
      <c r="I289" s="43" t="e" cm="1">
        <f t="array" aca="1" ref="I289" ca="1">IF(LEFT(_xlfn.SINGLE(_xll.BDP(I290, $E289)),1)="#", "-", _xll.BDP(I290, $E289))</f>
        <v>#NAME?</v>
      </c>
      <c r="J289" s="43" t="e" cm="1">
        <f t="array" aca="1" ref="J289" ca="1">IF(LEFT(_xlfn.SINGLE(_xll.BDP(J290, $E289)),1)="#", "-", _xll.BDP(J290, $E289))</f>
        <v>#NAME?</v>
      </c>
      <c r="K289" s="43" t="e" cm="1">
        <f t="array" aca="1" ref="K289" ca="1">IF(LEFT(_xlfn.SINGLE(_xll.BDP(K290, $E289)),1)="#", "-", _xll.BDP(K290, $E289))</f>
        <v>#NAME?</v>
      </c>
      <c r="L289" s="43" t="e" cm="1">
        <f t="array" aca="1" ref="L289" ca="1">IF(LEFT(_xlfn.SINGLE(_xll.BDP(L290, $E289)),1)="#", "-", _xll.BDP(L290, $E289))</f>
        <v>#NAME?</v>
      </c>
      <c r="M289" s="43" t="e" cm="1">
        <f t="array" aca="1" ref="M289" ca="1">IF(LEFT(_xlfn.SINGLE(_xll.BDP(M290, $E289)),1)="#", "-", _xll.BDP(M290, $E289))</f>
        <v>#NAME?</v>
      </c>
      <c r="N289" s="43" t="e" cm="1">
        <f t="array" aca="1" ref="N289" ca="1">IF(LEFT(_xlfn.SINGLE(_xll.BDP(N290, $E289)),1)="#", "-", _xll.BDP(N290, $E289))</f>
        <v>#NAME?</v>
      </c>
      <c r="O289" s="43" t="e" cm="1">
        <f t="array" aca="1" ref="O289" ca="1">IF(LEFT(_xlfn.SINGLE(_xll.BDP(O290, $E289)),1)="#", "-", _xll.BDP(O290, $E289))</f>
        <v>#NAME?</v>
      </c>
      <c r="P289" s="43" t="e" cm="1">
        <f t="array" aca="1" ref="P289" ca="1">IF(LEFT(_xlfn.SINGLE(_xll.BDP(P290, $E289)),1)="#", "-", _xll.BDP(P290, $E289))</f>
        <v>#NAME?</v>
      </c>
      <c r="Q289" s="43" t="e" cm="1">
        <f t="array" aca="1" ref="Q289" ca="1">IF(LEFT(_xlfn.SINGLE(_xll.BDP(Q290, $E289)),1)="#", "-", _xll.BDP(Q290, $E289))</f>
        <v>#NAME?</v>
      </c>
      <c r="R289" s="43" t="e" cm="1">
        <f t="array" aca="1" ref="R289" ca="1">IF(LEFT(_xlfn.SINGLE(_xll.BDP(R290, $E289)),1)="#", "-", _xll.BDP(R290, $E289))</f>
        <v>#NAME?</v>
      </c>
      <c r="S289" s="43" t="e" cm="1">
        <f t="array" aca="1" ref="S289" ca="1">IF(LEFT(_xlfn.SINGLE(_xll.BDP(S290, $E289)),1)="#", "-", _xll.BDP(S290, $E289))</f>
        <v>#NAME?</v>
      </c>
      <c r="T289" s="43" t="e" cm="1">
        <f t="array" aca="1" ref="T289" ca="1">IF(LEFT(_xlfn.SINGLE(_xll.BDP(T290, $E289)),1)="#", "-", _xll.BDP(T290, $E289))</f>
        <v>#NAME?</v>
      </c>
      <c r="U289" s="43" t="e" cm="1">
        <f t="array" aca="1" ref="U289" ca="1">IF(LEFT(_xlfn.SINGLE(_xll.BDP(U290, $E289)),1)="#", "-", _xll.BDP(U290, $E289))</f>
        <v>#NAME?</v>
      </c>
      <c r="V289" s="43" t="e" cm="1">
        <f t="array" aca="1" ref="V289" ca="1">IF(LEFT(_xlfn.SINGLE(_xll.BDP(V290, $E289)),1)="#", "-", _xll.BDP(V290, $E289))</f>
        <v>#NAME?</v>
      </c>
      <c r="W289" s="43" t="e" cm="1">
        <f t="array" aca="1" ref="W289" ca="1">IF(LEFT(_xlfn.SINGLE(_xll.BDP(W290, $E289)),1)="#", "-", _xll.BDP(W290, $E289))</f>
        <v>#NAME?</v>
      </c>
      <c r="X289" s="43" t="e" cm="1">
        <f t="array" aca="1" ref="X289" ca="1">IF(LEFT(_xlfn.SINGLE(_xll.BDP(X290, $E289)),1)="#", "-", _xll.BDP(X290, $E289))</f>
        <v>#NAME?</v>
      </c>
      <c r="Y289" s="43" t="e" cm="1">
        <f t="array" aca="1" ref="Y289" ca="1">IF(LEFT(_xlfn.SINGLE(_xll.BDP(Y290, $E289)),1)="#", "-", _xll.BDP(Y290, $E289))</f>
        <v>#NAME?</v>
      </c>
      <c r="Z289" s="43" t="e" cm="1">
        <f t="array" aca="1" ref="Z289" ca="1">IF(LEFT(_xlfn.SINGLE(_xll.BDP(Z290, $E289)),1)="#", "-", _xll.BDP(Z290, $E289))</f>
        <v>#NAME?</v>
      </c>
      <c r="AA289" s="43" t="e" cm="1">
        <f t="array" aca="1" ref="AA289" ca="1">IF(LEFT(_xlfn.SINGLE(_xll.BDP(AA290, $E289)),1)="#", "-", _xll.BDP(AA290, $E289))</f>
        <v>#NAME?</v>
      </c>
      <c r="AB289" s="43" t="e" cm="1">
        <f t="array" aca="1" ref="AB289" ca="1">IF(LEFT(_xlfn.SINGLE(_xll.BDP(AB290, $E289)),1)="#", "-", _xll.BDP(AB290, $E289))</f>
        <v>#NAME?</v>
      </c>
      <c r="AC289" s="43" t="e" cm="1">
        <f t="array" aca="1" ref="AC289" ca="1">IF(LEFT(_xlfn.SINGLE(_xll.BDP(AC290, $E289)),1)="#", "-", _xll.BDP(AC290, $E289))</f>
        <v>#NAME?</v>
      </c>
      <c r="AD289" s="43" t="e" cm="1">
        <f t="array" aca="1" ref="AD289" ca="1">IF(LEFT(_xlfn.SINGLE(_xll.BDP(AD290, $E289)),1)="#", "-", _xll.BDP(AD290, $E289))</f>
        <v>#NAME?</v>
      </c>
      <c r="AE289" s="43" t="e" cm="1">
        <f t="array" aca="1" ref="AE289" ca="1">IF(LEFT(_xlfn.SINGLE(_xll.BDP(AE290, $E289)),1)="#", "-", _xll.BDP(AE290, $E289))</f>
        <v>#NAME?</v>
      </c>
      <c r="AF289" s="43" t="e" cm="1">
        <f t="array" aca="1" ref="AF289" ca="1">IF(LEFT(_xlfn.SINGLE(_xll.BDP(AF290, $E289)),1)="#", "-", _xll.BDP(AF290, $E289))</f>
        <v>#NAME?</v>
      </c>
      <c r="AG289" s="43" t="e" cm="1">
        <f t="array" aca="1" ref="AG289" ca="1">IF(LEFT(_xlfn.SINGLE(_xll.BDP(AG290, $E289)),1)="#", "-", _xll.BDP(AG290, $E289))</f>
        <v>#NAME?</v>
      </c>
      <c r="AH289" s="43" t="e" cm="1">
        <f t="array" aca="1" ref="AH289" ca="1">IF(LEFT(_xlfn.SINGLE(_xll.BDP(AH290, $E289)),1)="#", "-", _xll.BDP(AH290, $E289))</f>
        <v>#NAME?</v>
      </c>
      <c r="AI289" s="43" t="e" cm="1">
        <f t="array" aca="1" ref="AI289" ca="1">IF(LEFT(_xlfn.SINGLE(_xll.BDP(AI290, $E289)),1)="#", "-", _xll.BDP(AI290, $E289))</f>
        <v>#NAME?</v>
      </c>
      <c r="AJ289" s="43" t="e" cm="1">
        <f t="array" aca="1" ref="AJ289" ca="1">IF(LEFT(_xlfn.SINGLE(_xll.BDP(AJ290, $E289)),1)="#", "-", _xll.BDP(AJ290, $E289))</f>
        <v>#NAME?</v>
      </c>
      <c r="AK289" s="43" t="e" cm="1">
        <f t="array" aca="1" ref="AK289" ca="1">IF(LEFT(_xlfn.SINGLE(_xll.BDP(AK290, $E289)),1)="#", "-", _xll.BDP(AK290, $E289))</f>
        <v>#NAME?</v>
      </c>
      <c r="AL289" s="43" t="e" cm="1">
        <f t="array" aca="1" ref="AL289" ca="1">IF(LEFT(_xlfn.SINGLE(_xll.BDP(AL290, $E289)),1)="#", "-", _xll.BDP(AL290, $E289))</f>
        <v>#NAME?</v>
      </c>
      <c r="AM289" s="43" t="e" cm="1">
        <f t="array" aca="1" ref="AM289" ca="1">IF(LEFT(_xlfn.SINGLE(_xll.BDP(AM290, $E289)),1)="#", "-", _xll.BDP(AM290, $E289))</f>
        <v>#NAME?</v>
      </c>
      <c r="AN289" s="43" t="e" cm="1">
        <f t="array" aca="1" ref="AN289" ca="1">IF(LEFT(_xlfn.SINGLE(_xll.BDP(AN290, $E289)),1)="#", "-", _xll.BDP(AN290, $E289))</f>
        <v>#NAME?</v>
      </c>
      <c r="AO289" s="43" t="e" cm="1">
        <f t="array" aca="1" ref="AO289" ca="1">IF(LEFT(_xlfn.SINGLE(_xll.BDP(AO290, $E289)),1)="#", "-", _xll.BDP(AO290, $E289))</f>
        <v>#NAME?</v>
      </c>
      <c r="AP289" s="43" t="e" cm="1">
        <f t="array" aca="1" ref="AP289" ca="1">IF(LEFT(_xlfn.SINGLE(_xll.BDP(AP290, $E289)),1)="#", "-", _xll.BDP(AP290, $E289))</f>
        <v>#NAME?</v>
      </c>
      <c r="AQ289" s="43" t="e" cm="1">
        <f t="array" aca="1" ref="AQ289" ca="1">IF(LEFT(_xlfn.SINGLE(_xll.BDP(AQ290, $E289)),1)="#", "-", _xll.BDP(AQ290, $E289))</f>
        <v>#NAME?</v>
      </c>
      <c r="AR289" s="43" t="e" cm="1">
        <f t="array" aca="1" ref="AR289" ca="1">IF(LEFT(_xlfn.SINGLE(_xll.BDP(AR290, $E289)),1)="#", "-", _xll.BDP(AR290, $E289))</f>
        <v>#NAME?</v>
      </c>
      <c r="AS289" s="43" t="e" cm="1">
        <f t="array" aca="1" ref="AS289" ca="1">IF(LEFT(_xlfn.SINGLE(_xll.BDP(AS290, $E289)),1)="#", "-", _xll.BDP(AS290, $E289))</f>
        <v>#NAME?</v>
      </c>
      <c r="AT289" s="43" t="e" cm="1">
        <f t="array" aca="1" ref="AT289" ca="1">IF(LEFT(_xlfn.SINGLE(_xll.BDP(AT290, $E289)),1)="#", "-", _xll.BDP(AT290, $E289))</f>
        <v>#NAME?</v>
      </c>
      <c r="AU289" s="43" t="e" cm="1">
        <f t="array" aca="1" ref="AU289" ca="1">IF(LEFT(_xlfn.SINGLE(_xll.BDP(AU290, $E289)),1)="#", "-", _xll.BDP(AU290, $E289))</f>
        <v>#NAME?</v>
      </c>
      <c r="AV289" s="43" t="e" cm="1">
        <f t="array" aca="1" ref="AV289" ca="1">IF(LEFT(_xlfn.SINGLE(_xll.BDP(AV290, $E289)),1)="#", "-", _xll.BDP(AV290, $E289))</f>
        <v>#NAME?</v>
      </c>
      <c r="AW289" s="43" t="e" cm="1">
        <f t="array" aca="1" ref="AW289" ca="1">IF(LEFT(_xlfn.SINGLE(_xll.BDP(AW290, $E289)),1)="#", "-", _xll.BDP(AW290, $E289))</f>
        <v>#NAME?</v>
      </c>
      <c r="AX289" s="43" t="e" cm="1">
        <f t="array" aca="1" ref="AX289" ca="1">IF(LEFT(_xlfn.SINGLE(_xll.BDP(AX290, $E289)),1)="#", "-", _xll.BDP(AX290, $E289))</f>
        <v>#NAME?</v>
      </c>
      <c r="AY289" s="43" t="e" cm="1">
        <f t="array" aca="1" ref="AY289" ca="1">IF(LEFT(_xlfn.SINGLE(_xll.BDP(AY290, $E289)),1)="#", "-", _xll.BDP(AY290, $E289))</f>
        <v>#NAME?</v>
      </c>
      <c r="AZ289" s="43" t="e" cm="1">
        <f t="array" aca="1" ref="AZ289" ca="1">IF(LEFT(_xlfn.SINGLE(_xll.BDP(AZ290, $E289)),1)="#", "-", _xll.BDP(AZ290, $E289))</f>
        <v>#NAME?</v>
      </c>
      <c r="BA289" s="45" t="e" cm="1">
        <f t="array" aca="1" ref="BA289" ca="1">IF(LEFT(_xlfn.SINGLE(_xll.BDP(BA290, $E289)),1)="#", "-", _xll.BDP(BA290, $E289))</f>
        <v>#NAME?</v>
      </c>
    </row>
    <row r="290" spans="2:53" ht="15" customHeight="1">
      <c r="B290" s="40"/>
      <c r="C290" s="145" t="str">
        <f>trans_getMessage("","Curve Tickers",,LANG_ID)</f>
        <v>Curve Tickers</v>
      </c>
      <c r="D290" s="146"/>
      <c r="E290" s="50" t="s">
        <v>46</v>
      </c>
      <c r="F290" s="42" t="e" cm="1">
        <f t="array" aca="1" ref="F290" ca="1">_xll.BDS(E285,E290,"Dir=H",)</f>
        <v>#NAME?</v>
      </c>
      <c r="G290" s="42"/>
      <c r="H290" s="42"/>
      <c r="I290" s="42"/>
      <c r="J290" s="42"/>
      <c r="K290" s="42"/>
      <c r="L290" s="42"/>
      <c r="M290" s="42"/>
      <c r="N290" s="42"/>
      <c r="O290" s="42"/>
      <c r="P290" s="42"/>
      <c r="Q290" s="42"/>
      <c r="R290" s="42"/>
      <c r="S290" s="42"/>
      <c r="T290" s="42"/>
      <c r="U290" s="42"/>
      <c r="V290" s="42"/>
      <c r="W290" s="42"/>
      <c r="X290" s="42"/>
      <c r="Y290" s="42"/>
      <c r="Z290" s="42"/>
      <c r="AA290" s="42"/>
      <c r="AB290" s="42"/>
      <c r="AC290" s="42"/>
      <c r="AD290" s="42"/>
      <c r="AE290" s="42"/>
      <c r="AF290" s="42"/>
      <c r="AG290" s="42"/>
      <c r="AH290" s="42"/>
      <c r="AI290" s="42"/>
      <c r="AJ290" s="42"/>
      <c r="AK290" s="42"/>
      <c r="AL290" s="42"/>
      <c r="AM290" s="42"/>
      <c r="AN290" s="42"/>
      <c r="AO290" s="42"/>
      <c r="AP290" s="42"/>
      <c r="AQ290" s="42"/>
      <c r="AR290" s="42"/>
      <c r="AS290" s="42"/>
      <c r="AT290" s="42"/>
      <c r="AU290" s="42"/>
      <c r="AV290" s="42"/>
      <c r="AW290" s="42"/>
      <c r="AX290" s="42"/>
      <c r="AY290" s="42"/>
      <c r="AZ290" s="42"/>
      <c r="BA290" s="44"/>
    </row>
    <row r="291" spans="2:53" ht="15" customHeight="1">
      <c r="C291" s="138" t="str">
        <f>trans_getMessage("","Rate",,LANG_ID)</f>
        <v>Rate</v>
      </c>
      <c r="D291" s="139"/>
      <c r="E291" s="51" t="s">
        <v>44</v>
      </c>
      <c r="F291" s="46" t="str" cm="1">
        <f t="array" aca="1" ref="F291" ca="1">IF(ISERROR(_xlfn.SINGLE(_xll.BDP(F290, $E291))*1), "-", _xll.BDP(F290, $E291))</f>
        <v>-</v>
      </c>
      <c r="G291" s="46" t="str" cm="1">
        <f t="array" aca="1" ref="G291" ca="1">IF(ISERROR(_xlfn.SINGLE(_xll.BDP(G290, $E291))*1), "-", _xll.BDP(G290, $E291))</f>
        <v>-</v>
      </c>
      <c r="H291" s="46" t="str" cm="1">
        <f t="array" aca="1" ref="H291" ca="1">IF(ISERROR(_xlfn.SINGLE(_xll.BDP(H290, $E291))*1), "-", _xll.BDP(H290, $E291))</f>
        <v>-</v>
      </c>
      <c r="I291" s="46" t="str" cm="1">
        <f t="array" aca="1" ref="I291" ca="1">IF(ISERROR(_xlfn.SINGLE(_xll.BDP(I290, $E291))*1), "-", _xll.BDP(I290, $E291))</f>
        <v>-</v>
      </c>
      <c r="J291" s="46" t="str" cm="1">
        <f t="array" aca="1" ref="J291" ca="1">IF(ISERROR(_xlfn.SINGLE(_xll.BDP(J290, $E291))*1), "-", _xll.BDP(J290, $E291))</f>
        <v>-</v>
      </c>
      <c r="K291" s="46" t="str" cm="1">
        <f t="array" aca="1" ref="K291" ca="1">IF(ISERROR(_xlfn.SINGLE(_xll.BDP(K290, $E291))*1), "-", _xll.BDP(K290, $E291))</f>
        <v>-</v>
      </c>
      <c r="L291" s="46" t="str" cm="1">
        <f t="array" aca="1" ref="L291" ca="1">IF(ISERROR(_xlfn.SINGLE(_xll.BDP(L290, $E291))*1), "-", _xll.BDP(L290, $E291))</f>
        <v>-</v>
      </c>
      <c r="M291" s="46" t="str" cm="1">
        <f t="array" aca="1" ref="M291" ca="1">IF(ISERROR(_xlfn.SINGLE(_xll.BDP(M290, $E291))*1), "-", _xll.BDP(M290, $E291))</f>
        <v>-</v>
      </c>
      <c r="N291" s="46" t="str" cm="1">
        <f t="array" aca="1" ref="N291" ca="1">IF(ISERROR(_xlfn.SINGLE(_xll.BDP(N290, $E291))*1), "-", _xll.BDP(N290, $E291))</f>
        <v>-</v>
      </c>
      <c r="O291" s="46" t="str" cm="1">
        <f t="array" aca="1" ref="O291" ca="1">IF(ISERROR(_xlfn.SINGLE(_xll.BDP(O290, $E291))*1), "-", _xll.BDP(O290, $E291))</f>
        <v>-</v>
      </c>
      <c r="P291" s="46" t="str" cm="1">
        <f t="array" aca="1" ref="P291" ca="1">IF(ISERROR(_xlfn.SINGLE(_xll.BDP(P290, $E291))*1), "-", _xll.BDP(P290, $E291))</f>
        <v>-</v>
      </c>
      <c r="Q291" s="46" t="str" cm="1">
        <f t="array" aca="1" ref="Q291" ca="1">IF(ISERROR(_xlfn.SINGLE(_xll.BDP(Q290, $E291))*1), "-", _xll.BDP(Q290, $E291))</f>
        <v>-</v>
      </c>
      <c r="R291" s="46" t="str" cm="1">
        <f t="array" aca="1" ref="R291" ca="1">IF(ISERROR(_xlfn.SINGLE(_xll.BDP(R290, $E291))*1), "-", _xll.BDP(R290, $E291))</f>
        <v>-</v>
      </c>
      <c r="S291" s="46" t="str" cm="1">
        <f t="array" aca="1" ref="S291" ca="1">IF(ISERROR(_xlfn.SINGLE(_xll.BDP(S290, $E291))*1), "-", _xll.BDP(S290, $E291))</f>
        <v>-</v>
      </c>
      <c r="T291" s="46" t="str" cm="1">
        <f t="array" aca="1" ref="T291" ca="1">IF(ISERROR(_xlfn.SINGLE(_xll.BDP(T290, $E291))*1), "-", _xll.BDP(T290, $E291))</f>
        <v>-</v>
      </c>
      <c r="U291" s="46" t="str" cm="1">
        <f t="array" aca="1" ref="U291" ca="1">IF(ISERROR(_xlfn.SINGLE(_xll.BDP(U290, $E291))*1), "-", _xll.BDP(U290, $E291))</f>
        <v>-</v>
      </c>
      <c r="V291" s="46" t="str" cm="1">
        <f t="array" aca="1" ref="V291" ca="1">IF(ISERROR(_xlfn.SINGLE(_xll.BDP(V290, $E291))*1), "-", _xll.BDP(V290, $E291))</f>
        <v>-</v>
      </c>
      <c r="W291" s="46" t="str" cm="1">
        <f t="array" aca="1" ref="W291" ca="1">IF(ISERROR(_xlfn.SINGLE(_xll.BDP(W290, $E291))*1), "-", _xll.BDP(W290, $E291))</f>
        <v>-</v>
      </c>
      <c r="X291" s="46" t="str" cm="1">
        <f t="array" aca="1" ref="X291" ca="1">IF(ISERROR(_xlfn.SINGLE(_xll.BDP(X290, $E291))*1), "-", _xll.BDP(X290, $E291))</f>
        <v>-</v>
      </c>
      <c r="Y291" s="46" t="str" cm="1">
        <f t="array" aca="1" ref="Y291" ca="1">IF(ISERROR(_xlfn.SINGLE(_xll.BDP(Y290, $E291))*1), "-", _xll.BDP(Y290, $E291))</f>
        <v>-</v>
      </c>
      <c r="Z291" s="46" t="str" cm="1">
        <f t="array" aca="1" ref="Z291" ca="1">IF(ISERROR(_xlfn.SINGLE(_xll.BDP(Z290, $E291))*1), "-", _xll.BDP(Z290, $E291))</f>
        <v>-</v>
      </c>
      <c r="AA291" s="46" t="str" cm="1">
        <f t="array" aca="1" ref="AA291" ca="1">IF(ISERROR(_xlfn.SINGLE(_xll.BDP(AA290, $E291))*1), "-", _xll.BDP(AA290, $E291))</f>
        <v>-</v>
      </c>
      <c r="AB291" s="46" t="str" cm="1">
        <f t="array" aca="1" ref="AB291" ca="1">IF(ISERROR(_xlfn.SINGLE(_xll.BDP(AB290, $E291))*1), "-", _xll.BDP(AB290, $E291))</f>
        <v>-</v>
      </c>
      <c r="AC291" s="46" t="str" cm="1">
        <f t="array" aca="1" ref="AC291" ca="1">IF(ISERROR(_xlfn.SINGLE(_xll.BDP(AC290, $E291))*1), "-", _xll.BDP(AC290, $E291))</f>
        <v>-</v>
      </c>
      <c r="AD291" s="46" t="str" cm="1">
        <f t="array" aca="1" ref="AD291" ca="1">IF(ISERROR(_xlfn.SINGLE(_xll.BDP(AD290, $E291))*1), "-", _xll.BDP(AD290, $E291))</f>
        <v>-</v>
      </c>
      <c r="AE291" s="46" t="str" cm="1">
        <f t="array" aca="1" ref="AE291" ca="1">IF(ISERROR(_xlfn.SINGLE(_xll.BDP(AE290, $E291))*1), "-", _xll.BDP(AE290, $E291))</f>
        <v>-</v>
      </c>
      <c r="AF291" s="46" t="str" cm="1">
        <f t="array" aca="1" ref="AF291" ca="1">IF(ISERROR(_xlfn.SINGLE(_xll.BDP(AF290, $E291))*1), "-", _xll.BDP(AF290, $E291))</f>
        <v>-</v>
      </c>
      <c r="AG291" s="46" t="str" cm="1">
        <f t="array" aca="1" ref="AG291" ca="1">IF(ISERROR(_xlfn.SINGLE(_xll.BDP(AG290, $E291))*1), "-", _xll.BDP(AG290, $E291))</f>
        <v>-</v>
      </c>
      <c r="AH291" s="46" t="str" cm="1">
        <f t="array" aca="1" ref="AH291" ca="1">IF(ISERROR(_xlfn.SINGLE(_xll.BDP(AH290, $E291))*1), "-", _xll.BDP(AH290, $E291))</f>
        <v>-</v>
      </c>
      <c r="AI291" s="46" t="str" cm="1">
        <f t="array" aca="1" ref="AI291" ca="1">IF(ISERROR(_xlfn.SINGLE(_xll.BDP(AI290, $E291))*1), "-", _xll.BDP(AI290, $E291))</f>
        <v>-</v>
      </c>
      <c r="AJ291" s="46" t="str" cm="1">
        <f t="array" aca="1" ref="AJ291" ca="1">IF(ISERROR(_xlfn.SINGLE(_xll.BDP(AJ290, $E291))*1), "-", _xll.BDP(AJ290, $E291))</f>
        <v>-</v>
      </c>
      <c r="AK291" s="46" t="str" cm="1">
        <f t="array" aca="1" ref="AK291" ca="1">IF(ISERROR(_xlfn.SINGLE(_xll.BDP(AK290, $E291))*1), "-", _xll.BDP(AK290, $E291))</f>
        <v>-</v>
      </c>
      <c r="AL291" s="46" t="str" cm="1">
        <f t="array" aca="1" ref="AL291" ca="1">IF(ISERROR(_xlfn.SINGLE(_xll.BDP(AL290, $E291))*1), "-", _xll.BDP(AL290, $E291))</f>
        <v>-</v>
      </c>
      <c r="AM291" s="46" t="str" cm="1">
        <f t="array" aca="1" ref="AM291" ca="1">IF(ISERROR(_xlfn.SINGLE(_xll.BDP(AM290, $E291))*1), "-", _xll.BDP(AM290, $E291))</f>
        <v>-</v>
      </c>
      <c r="AN291" s="46" t="str" cm="1">
        <f t="array" aca="1" ref="AN291" ca="1">IF(ISERROR(_xlfn.SINGLE(_xll.BDP(AN290, $E291))*1), "-", _xll.BDP(AN290, $E291))</f>
        <v>-</v>
      </c>
      <c r="AO291" s="46" t="str" cm="1">
        <f t="array" aca="1" ref="AO291" ca="1">IF(ISERROR(_xlfn.SINGLE(_xll.BDP(AO290, $E291))*1), "-", _xll.BDP(AO290, $E291))</f>
        <v>-</v>
      </c>
      <c r="AP291" s="46" t="str" cm="1">
        <f t="array" aca="1" ref="AP291" ca="1">IF(ISERROR(_xlfn.SINGLE(_xll.BDP(AP290, $E291))*1), "-", _xll.BDP(AP290, $E291))</f>
        <v>-</v>
      </c>
      <c r="AQ291" s="46" t="str" cm="1">
        <f t="array" aca="1" ref="AQ291" ca="1">IF(ISERROR(_xlfn.SINGLE(_xll.BDP(AQ290, $E291))*1), "-", _xll.BDP(AQ290, $E291))</f>
        <v>-</v>
      </c>
      <c r="AR291" s="46" t="str" cm="1">
        <f t="array" aca="1" ref="AR291" ca="1">IF(ISERROR(_xlfn.SINGLE(_xll.BDP(AR290, $E291))*1), "-", _xll.BDP(AR290, $E291))</f>
        <v>-</v>
      </c>
      <c r="AS291" s="46" t="str" cm="1">
        <f t="array" aca="1" ref="AS291" ca="1">IF(ISERROR(_xlfn.SINGLE(_xll.BDP(AS290, $E291))*1), "-", _xll.BDP(AS290, $E291))</f>
        <v>-</v>
      </c>
      <c r="AT291" s="46" t="str" cm="1">
        <f t="array" aca="1" ref="AT291" ca="1">IF(ISERROR(_xlfn.SINGLE(_xll.BDP(AT290, $E291))*1), "-", _xll.BDP(AT290, $E291))</f>
        <v>-</v>
      </c>
      <c r="AU291" s="46" t="str" cm="1">
        <f t="array" aca="1" ref="AU291" ca="1">IF(ISERROR(_xlfn.SINGLE(_xll.BDP(AU290, $E291))*1), "-", _xll.BDP(AU290, $E291))</f>
        <v>-</v>
      </c>
      <c r="AV291" s="46" t="str" cm="1">
        <f t="array" aca="1" ref="AV291" ca="1">IF(ISERROR(_xlfn.SINGLE(_xll.BDP(AV290, $E291))*1), "-", _xll.BDP(AV290, $E291))</f>
        <v>-</v>
      </c>
      <c r="AW291" s="46" t="str" cm="1">
        <f t="array" aca="1" ref="AW291" ca="1">IF(ISERROR(_xlfn.SINGLE(_xll.BDP(AW290, $E291))*1), "-", _xll.BDP(AW290, $E291))</f>
        <v>-</v>
      </c>
      <c r="AX291" s="46" t="str" cm="1">
        <f t="array" aca="1" ref="AX291" ca="1">IF(ISERROR(_xlfn.SINGLE(_xll.BDP(AX290, $E291))*1), "-", _xll.BDP(AX290, $E291))</f>
        <v>-</v>
      </c>
      <c r="AY291" s="46" t="str" cm="1">
        <f t="array" aca="1" ref="AY291" ca="1">IF(ISERROR(_xlfn.SINGLE(_xll.BDP(AY290, $E291))*1), "-", _xll.BDP(AY290, $E291))</f>
        <v>-</v>
      </c>
      <c r="AZ291" s="46" t="str" cm="1">
        <f t="array" aca="1" ref="AZ291" ca="1">IF(ISERROR(_xlfn.SINGLE(_xll.BDP(AZ290, $E291))*1), "-", _xll.BDP(AZ290, $E291))</f>
        <v>-</v>
      </c>
      <c r="BA291" s="47" t="str" cm="1">
        <f t="array" aca="1" ref="BA291" ca="1">IF(ISERROR(_xlfn.SINGLE(_xll.BDP(BA290, $E291))*1), "-", _xll.BDP(BA290, $E291))</f>
        <v>-</v>
      </c>
    </row>
    <row r="292" spans="2:53" ht="15" hidden="1" customHeight="1"/>
    <row r="293" spans="2:53" ht="5.15" customHeight="1"/>
    <row r="294" spans="2:53" ht="15" customHeight="1">
      <c r="B294" s="38" t="s">
        <v>33</v>
      </c>
      <c r="C294" s="140" t="str">
        <f>trans_getMessage("","Curve Number",,LANG_ID)</f>
        <v>Curve Number</v>
      </c>
      <c r="D294" s="141"/>
      <c r="E294" s="142">
        <f>VLOOKUP(B294, 'Currency-Curve List'!$C$9:$E$103, 2, FALSE)</f>
        <v>20</v>
      </c>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4"/>
    </row>
    <row r="295" spans="2:53" ht="15" customHeight="1">
      <c r="C295" s="145" t="str">
        <f>trans_getMessage("","Curve Index",,LANG_ID)</f>
        <v>Curve Index</v>
      </c>
      <c r="D295" s="146"/>
      <c r="E295" s="147" t="str">
        <f>VLOOKUP(B294, 'Currency-Curve List'!$C$9:$E$103, 3, FALSE)</f>
        <v>YCSW0020 Index</v>
      </c>
      <c r="F295" s="148"/>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148"/>
      <c r="AS295" s="148"/>
      <c r="AT295" s="148"/>
      <c r="AU295" s="148"/>
      <c r="AV295" s="148"/>
      <c r="AW295" s="148"/>
      <c r="AX295" s="148"/>
      <c r="AY295" s="148"/>
      <c r="AZ295" s="148"/>
      <c r="BA295" s="149"/>
    </row>
    <row r="296" spans="2:53" ht="15" customHeight="1">
      <c r="C296" s="145" t="str">
        <f>trans_getMessage("","Curve Name",,LANG_ID)</f>
        <v>Curve Name</v>
      </c>
      <c r="D296" s="146"/>
      <c r="E296" s="150" t="e" cm="1">
        <f t="array" aca="1" ref="E296" ca="1">_xll.BDP(E295, "NAME")</f>
        <v>#NAME?</v>
      </c>
      <c r="F296" s="151"/>
      <c r="G296" s="151"/>
      <c r="H296" s="151"/>
      <c r="I296" s="151"/>
      <c r="J296" s="151"/>
      <c r="K296" s="151"/>
      <c r="L296" s="151"/>
      <c r="M296" s="151"/>
      <c r="N296" s="151"/>
      <c r="O296" s="151"/>
      <c r="P296" s="151"/>
      <c r="Q296" s="151"/>
      <c r="R296" s="151"/>
      <c r="S296" s="151"/>
      <c r="T296" s="151"/>
      <c r="U296" s="151"/>
      <c r="V296" s="151"/>
      <c r="W296" s="151"/>
      <c r="X296" s="151"/>
      <c r="Y296" s="151"/>
      <c r="Z296" s="151"/>
      <c r="AA296" s="151"/>
      <c r="AB296" s="151"/>
      <c r="AC296" s="151"/>
      <c r="AD296" s="151"/>
      <c r="AE296" s="151"/>
      <c r="AF296" s="151"/>
      <c r="AG296" s="151"/>
      <c r="AH296" s="151"/>
      <c r="AI296" s="151"/>
      <c r="AJ296" s="151"/>
      <c r="AK296" s="151"/>
      <c r="AL296" s="151"/>
      <c r="AM296" s="151"/>
      <c r="AN296" s="151"/>
      <c r="AO296" s="151"/>
      <c r="AP296" s="151"/>
      <c r="AQ296" s="151"/>
      <c r="AR296" s="151"/>
      <c r="AS296" s="151"/>
      <c r="AT296" s="151"/>
      <c r="AU296" s="151"/>
      <c r="AV296" s="151"/>
      <c r="AW296" s="151"/>
      <c r="AX296" s="151"/>
      <c r="AY296" s="151"/>
      <c r="AZ296" s="151"/>
      <c r="BA296" s="152"/>
    </row>
    <row r="297" spans="2:53" ht="15" customHeight="1">
      <c r="C297" s="145" t="str">
        <f>trans_getMessage("","Tenors",,LANG_ID)</f>
        <v>Tenors</v>
      </c>
      <c r="D297" s="146"/>
      <c r="E297" s="48" t="s">
        <v>50</v>
      </c>
      <c r="F297" s="42" t="e" cm="1">
        <f t="array" aca="1" ref="F297" ca="1">_xll.BDS(E295,E297,"Dir=H",)</f>
        <v>#NAME?</v>
      </c>
      <c r="G297" s="42"/>
      <c r="H297" s="42"/>
      <c r="I297" s="42"/>
      <c r="J297" s="42"/>
      <c r="K297" s="42"/>
      <c r="L297" s="42"/>
      <c r="M297" s="42"/>
      <c r="N297" s="42"/>
      <c r="O297" s="42"/>
      <c r="P297" s="42"/>
      <c r="Q297" s="42"/>
      <c r="R297" s="42"/>
      <c r="S297" s="42"/>
      <c r="T297" s="42"/>
      <c r="U297" s="42"/>
      <c r="V297" s="42"/>
      <c r="W297" s="42"/>
      <c r="X297" s="42"/>
      <c r="Y297" s="42"/>
      <c r="Z297" s="42"/>
      <c r="AA297" s="42"/>
      <c r="AB297" s="42"/>
      <c r="AC297" s="42"/>
      <c r="AD297" s="42"/>
      <c r="AE297" s="42"/>
      <c r="AF297" s="42"/>
      <c r="AG297" s="42"/>
      <c r="AH297" s="42"/>
      <c r="AI297" s="42"/>
      <c r="AJ297" s="42"/>
      <c r="AK297" s="42"/>
      <c r="AL297" s="42"/>
      <c r="AM297" s="42"/>
      <c r="AN297" s="42"/>
      <c r="AO297" s="42"/>
      <c r="AP297" s="42"/>
      <c r="AQ297" s="42"/>
      <c r="AR297" s="42"/>
      <c r="AS297" s="42"/>
      <c r="AT297" s="42"/>
      <c r="AU297" s="42"/>
      <c r="AV297" s="42"/>
      <c r="AW297" s="42"/>
      <c r="AX297" s="42"/>
      <c r="AY297" s="42"/>
      <c r="AZ297" s="42"/>
      <c r="BA297" s="44"/>
    </row>
    <row r="298" spans="2:53" ht="15" hidden="1" customHeight="1">
      <c r="C298" s="145" t="s">
        <v>2211</v>
      </c>
      <c r="D298" s="146"/>
      <c r="E298" s="48"/>
      <c r="F298" s="42" t="e">
        <f ca="1">IF(F297="","",IF(F297="12M","1Y",IF(F297="24M","2Y",F297)))</f>
        <v>#NAME?</v>
      </c>
      <c r="G298" s="42" t="str">
        <f t="shared" ref="G298" si="1270">IF(G297="","",IF(G297="12M","1Y",IF(G297="24M","2Y",G297)))</f>
        <v/>
      </c>
      <c r="H298" s="42" t="str">
        <f t="shared" ref="H298" si="1271">IF(H297="","",IF(H297="12M","1Y",IF(H297="24M","2Y",H297)))</f>
        <v/>
      </c>
      <c r="I298" s="42" t="str">
        <f t="shared" ref="I298" si="1272">IF(I297="","",IF(I297="12M","1Y",IF(I297="24M","2Y",I297)))</f>
        <v/>
      </c>
      <c r="J298" s="42" t="str">
        <f t="shared" ref="J298" si="1273">IF(J297="","",IF(J297="12M","1Y",IF(J297="24M","2Y",J297)))</f>
        <v/>
      </c>
      <c r="K298" s="42" t="str">
        <f t="shared" ref="K298" si="1274">IF(K297="","",IF(K297="12M","1Y",IF(K297="24M","2Y",K297)))</f>
        <v/>
      </c>
      <c r="L298" s="42" t="str">
        <f t="shared" ref="L298" si="1275">IF(L297="","",IF(L297="12M","1Y",IF(L297="24M","2Y",L297)))</f>
        <v/>
      </c>
      <c r="M298" s="42" t="str">
        <f t="shared" ref="M298" si="1276">IF(M297="","",IF(M297="12M","1Y",IF(M297="24M","2Y",M297)))</f>
        <v/>
      </c>
      <c r="N298" s="42" t="str">
        <f t="shared" ref="N298" si="1277">IF(N297="","",IF(N297="12M","1Y",IF(N297="24M","2Y",N297)))</f>
        <v/>
      </c>
      <c r="O298" s="42" t="str">
        <f t="shared" ref="O298" si="1278">IF(O297="","",IF(O297="12M","1Y",IF(O297="24M","2Y",O297)))</f>
        <v/>
      </c>
      <c r="P298" s="42" t="str">
        <f t="shared" ref="P298" si="1279">IF(P297="","",IF(P297="12M","1Y",IF(P297="24M","2Y",P297)))</f>
        <v/>
      </c>
      <c r="Q298" s="42" t="str">
        <f t="shared" ref="Q298" si="1280">IF(Q297="","",IF(Q297="12M","1Y",IF(Q297="24M","2Y",Q297)))</f>
        <v/>
      </c>
      <c r="R298" s="42" t="str">
        <f t="shared" ref="R298" si="1281">IF(R297="","",IF(R297="12M","1Y",IF(R297="24M","2Y",R297)))</f>
        <v/>
      </c>
      <c r="S298" s="42" t="str">
        <f t="shared" ref="S298" si="1282">IF(S297="","",IF(S297="12M","1Y",IF(S297="24M","2Y",S297)))</f>
        <v/>
      </c>
      <c r="T298" s="42" t="str">
        <f t="shared" ref="T298" si="1283">IF(T297="","",IF(T297="12M","1Y",IF(T297="24M","2Y",T297)))</f>
        <v/>
      </c>
      <c r="U298" s="42" t="str">
        <f t="shared" ref="U298" si="1284">IF(U297="","",IF(U297="12M","1Y",IF(U297="24M","2Y",U297)))</f>
        <v/>
      </c>
      <c r="V298" s="42" t="str">
        <f t="shared" ref="V298" si="1285">IF(V297="","",IF(V297="12M","1Y",IF(V297="24M","2Y",V297)))</f>
        <v/>
      </c>
      <c r="W298" s="42" t="str">
        <f t="shared" ref="W298" si="1286">IF(W297="","",IF(W297="12M","1Y",IF(W297="24M","2Y",W297)))</f>
        <v/>
      </c>
      <c r="X298" s="42" t="str">
        <f t="shared" ref="X298" si="1287">IF(X297="","",IF(X297="12M","1Y",IF(X297="24M","2Y",X297)))</f>
        <v/>
      </c>
      <c r="Y298" s="42" t="str">
        <f t="shared" ref="Y298" si="1288">IF(Y297="","",IF(Y297="12M","1Y",IF(Y297="24M","2Y",Y297)))</f>
        <v/>
      </c>
      <c r="Z298" s="42" t="str">
        <f t="shared" ref="Z298" si="1289">IF(Z297="","",IF(Z297="12M","1Y",IF(Z297="24M","2Y",Z297)))</f>
        <v/>
      </c>
      <c r="AA298" s="42" t="str">
        <f t="shared" ref="AA298" si="1290">IF(AA297="","",IF(AA297="12M","1Y",IF(AA297="24M","2Y",AA297)))</f>
        <v/>
      </c>
      <c r="AB298" s="42" t="str">
        <f t="shared" ref="AB298" si="1291">IF(AB297="","",IF(AB297="12M","1Y",IF(AB297="24M","2Y",AB297)))</f>
        <v/>
      </c>
      <c r="AC298" s="42" t="str">
        <f t="shared" ref="AC298" si="1292">IF(AC297="","",IF(AC297="12M","1Y",IF(AC297="24M","2Y",AC297)))</f>
        <v/>
      </c>
      <c r="AD298" s="42" t="str">
        <f t="shared" ref="AD298" si="1293">IF(AD297="","",IF(AD297="12M","1Y",IF(AD297="24M","2Y",AD297)))</f>
        <v/>
      </c>
      <c r="AE298" s="42" t="str">
        <f t="shared" ref="AE298" si="1294">IF(AE297="","",IF(AE297="12M","1Y",IF(AE297="24M","2Y",AE297)))</f>
        <v/>
      </c>
      <c r="AF298" s="42" t="str">
        <f t="shared" ref="AF298" si="1295">IF(AF297="","",IF(AF297="12M","1Y",IF(AF297="24M","2Y",AF297)))</f>
        <v/>
      </c>
      <c r="AG298" s="42" t="str">
        <f t="shared" ref="AG298" si="1296">IF(AG297="","",IF(AG297="12M","1Y",IF(AG297="24M","2Y",AG297)))</f>
        <v/>
      </c>
      <c r="AH298" s="42" t="str">
        <f t="shared" ref="AH298" si="1297">IF(AH297="","",IF(AH297="12M","1Y",IF(AH297="24M","2Y",AH297)))</f>
        <v/>
      </c>
      <c r="AI298" s="42" t="str">
        <f t="shared" ref="AI298" si="1298">IF(AI297="","",IF(AI297="12M","1Y",IF(AI297="24M","2Y",AI297)))</f>
        <v/>
      </c>
      <c r="AJ298" s="42" t="str">
        <f t="shared" ref="AJ298" si="1299">IF(AJ297="","",IF(AJ297="12M","1Y",IF(AJ297="24M","2Y",AJ297)))</f>
        <v/>
      </c>
      <c r="AK298" s="42" t="str">
        <f t="shared" ref="AK298" si="1300">IF(AK297="","",IF(AK297="12M","1Y",IF(AK297="24M","2Y",AK297)))</f>
        <v/>
      </c>
      <c r="AL298" s="42" t="str">
        <f t="shared" ref="AL298" si="1301">IF(AL297="","",IF(AL297="12M","1Y",IF(AL297="24M","2Y",AL297)))</f>
        <v/>
      </c>
      <c r="AM298" s="42" t="str">
        <f t="shared" ref="AM298" si="1302">IF(AM297="","",IF(AM297="12M","1Y",IF(AM297="24M","2Y",AM297)))</f>
        <v/>
      </c>
      <c r="AN298" s="42" t="str">
        <f t="shared" ref="AN298" si="1303">IF(AN297="","",IF(AN297="12M","1Y",IF(AN297="24M","2Y",AN297)))</f>
        <v/>
      </c>
      <c r="AO298" s="42" t="str">
        <f t="shared" ref="AO298" si="1304">IF(AO297="","",IF(AO297="12M","1Y",IF(AO297="24M","2Y",AO297)))</f>
        <v/>
      </c>
      <c r="AP298" s="42" t="str">
        <f t="shared" ref="AP298" si="1305">IF(AP297="","",IF(AP297="12M","1Y",IF(AP297="24M","2Y",AP297)))</f>
        <v/>
      </c>
      <c r="AQ298" s="42" t="str">
        <f t="shared" ref="AQ298" si="1306">IF(AQ297="","",IF(AQ297="12M","1Y",IF(AQ297="24M","2Y",AQ297)))</f>
        <v/>
      </c>
      <c r="AR298" s="42" t="str">
        <f t="shared" ref="AR298" si="1307">IF(AR297="","",IF(AR297="12M","1Y",IF(AR297="24M","2Y",AR297)))</f>
        <v/>
      </c>
      <c r="AS298" s="42" t="str">
        <f t="shared" ref="AS298" si="1308">IF(AS297="","",IF(AS297="12M","1Y",IF(AS297="24M","2Y",AS297)))</f>
        <v/>
      </c>
      <c r="AT298" s="42" t="str">
        <f t="shared" ref="AT298" si="1309">IF(AT297="","",IF(AT297="12M","1Y",IF(AT297="24M","2Y",AT297)))</f>
        <v/>
      </c>
      <c r="AU298" s="42" t="str">
        <f t="shared" ref="AU298" si="1310">IF(AU297="","",IF(AU297="12M","1Y",IF(AU297="24M","2Y",AU297)))</f>
        <v/>
      </c>
      <c r="AV298" s="42" t="str">
        <f t="shared" ref="AV298" si="1311">IF(AV297="","",IF(AV297="12M","1Y",IF(AV297="24M","2Y",AV297)))</f>
        <v/>
      </c>
      <c r="AW298" s="42" t="str">
        <f t="shared" ref="AW298" si="1312">IF(AW297="","",IF(AW297="12M","1Y",IF(AW297="24M","2Y",AW297)))</f>
        <v/>
      </c>
      <c r="AX298" s="42" t="str">
        <f t="shared" ref="AX298" si="1313">IF(AX297="","",IF(AX297="12M","1Y",IF(AX297="24M","2Y",AX297)))</f>
        <v/>
      </c>
      <c r="AY298" s="42" t="str">
        <f t="shared" ref="AY298" si="1314">IF(AY297="","",IF(AY297="12M","1Y",IF(AY297="24M","2Y",AY297)))</f>
        <v/>
      </c>
      <c r="AZ298" s="42" t="str">
        <f t="shared" ref="AZ298" si="1315">IF(AZ297="","",IF(AZ297="12M","1Y",IF(AZ297="24M","2Y",AZ297)))</f>
        <v/>
      </c>
      <c r="BA298" s="42" t="str">
        <f t="shared" ref="BA298" si="1316">IF(BA297="","",IF(BA297="12M","1Y",IF(BA297="24M","2Y",BA297)))</f>
        <v/>
      </c>
    </row>
    <row r="299" spans="2:53" s="41" customFormat="1" ht="15" customHeight="1">
      <c r="B299" s="7"/>
      <c r="C299" s="153" t="str">
        <f>trans_getMessage("","Name",,LANG_ID)</f>
        <v>Name</v>
      </c>
      <c r="D299" s="154"/>
      <c r="E299" s="49" t="s">
        <v>49</v>
      </c>
      <c r="F299" s="43" t="e" cm="1">
        <f t="array" aca="1" ref="F299" ca="1">IF(LEFT(_xlfn.SINGLE(_xll.BDP(F300, $E299)),1)="#", "-", _xll.BDP(F300, $E299))</f>
        <v>#NAME?</v>
      </c>
      <c r="G299" s="43" t="e" cm="1">
        <f t="array" aca="1" ref="G299" ca="1">IF(LEFT(_xlfn.SINGLE(_xll.BDP(G300, $E299)),1)="#", "-", _xll.BDP(G300, $E299))</f>
        <v>#NAME?</v>
      </c>
      <c r="H299" s="43" t="e" cm="1">
        <f t="array" aca="1" ref="H299" ca="1">IF(LEFT(_xlfn.SINGLE(_xll.BDP(H300, $E299)),1)="#", "-", _xll.BDP(H300, $E299))</f>
        <v>#NAME?</v>
      </c>
      <c r="I299" s="43" t="e" cm="1">
        <f t="array" aca="1" ref="I299" ca="1">IF(LEFT(_xlfn.SINGLE(_xll.BDP(I300, $E299)),1)="#", "-", _xll.BDP(I300, $E299))</f>
        <v>#NAME?</v>
      </c>
      <c r="J299" s="43" t="e" cm="1">
        <f t="array" aca="1" ref="J299" ca="1">IF(LEFT(_xlfn.SINGLE(_xll.BDP(J300, $E299)),1)="#", "-", _xll.BDP(J300, $E299))</f>
        <v>#NAME?</v>
      </c>
      <c r="K299" s="43" t="e" cm="1">
        <f t="array" aca="1" ref="K299" ca="1">IF(LEFT(_xlfn.SINGLE(_xll.BDP(K300, $E299)),1)="#", "-", _xll.BDP(K300, $E299))</f>
        <v>#NAME?</v>
      </c>
      <c r="L299" s="43" t="e" cm="1">
        <f t="array" aca="1" ref="L299" ca="1">IF(LEFT(_xlfn.SINGLE(_xll.BDP(L300, $E299)),1)="#", "-", _xll.BDP(L300, $E299))</f>
        <v>#NAME?</v>
      </c>
      <c r="M299" s="43" t="e" cm="1">
        <f t="array" aca="1" ref="M299" ca="1">IF(LEFT(_xlfn.SINGLE(_xll.BDP(M300, $E299)),1)="#", "-", _xll.BDP(M300, $E299))</f>
        <v>#NAME?</v>
      </c>
      <c r="N299" s="43" t="e" cm="1">
        <f t="array" aca="1" ref="N299" ca="1">IF(LEFT(_xlfn.SINGLE(_xll.BDP(N300, $E299)),1)="#", "-", _xll.BDP(N300, $E299))</f>
        <v>#NAME?</v>
      </c>
      <c r="O299" s="43" t="e" cm="1">
        <f t="array" aca="1" ref="O299" ca="1">IF(LEFT(_xlfn.SINGLE(_xll.BDP(O300, $E299)),1)="#", "-", _xll.BDP(O300, $E299))</f>
        <v>#NAME?</v>
      </c>
      <c r="P299" s="43" t="e" cm="1">
        <f t="array" aca="1" ref="P299" ca="1">IF(LEFT(_xlfn.SINGLE(_xll.BDP(P300, $E299)),1)="#", "-", _xll.BDP(P300, $E299))</f>
        <v>#NAME?</v>
      </c>
      <c r="Q299" s="43" t="e" cm="1">
        <f t="array" aca="1" ref="Q299" ca="1">IF(LEFT(_xlfn.SINGLE(_xll.BDP(Q300, $E299)),1)="#", "-", _xll.BDP(Q300, $E299))</f>
        <v>#NAME?</v>
      </c>
      <c r="R299" s="43" t="e" cm="1">
        <f t="array" aca="1" ref="R299" ca="1">IF(LEFT(_xlfn.SINGLE(_xll.BDP(R300, $E299)),1)="#", "-", _xll.BDP(R300, $E299))</f>
        <v>#NAME?</v>
      </c>
      <c r="S299" s="43" t="e" cm="1">
        <f t="array" aca="1" ref="S299" ca="1">IF(LEFT(_xlfn.SINGLE(_xll.BDP(S300, $E299)),1)="#", "-", _xll.BDP(S300, $E299))</f>
        <v>#NAME?</v>
      </c>
      <c r="T299" s="43" t="e" cm="1">
        <f t="array" aca="1" ref="T299" ca="1">IF(LEFT(_xlfn.SINGLE(_xll.BDP(T300, $E299)),1)="#", "-", _xll.BDP(T300, $E299))</f>
        <v>#NAME?</v>
      </c>
      <c r="U299" s="43" t="e" cm="1">
        <f t="array" aca="1" ref="U299" ca="1">IF(LEFT(_xlfn.SINGLE(_xll.BDP(U300, $E299)),1)="#", "-", _xll.BDP(U300, $E299))</f>
        <v>#NAME?</v>
      </c>
      <c r="V299" s="43" t="e" cm="1">
        <f t="array" aca="1" ref="V299" ca="1">IF(LEFT(_xlfn.SINGLE(_xll.BDP(V300, $E299)),1)="#", "-", _xll.BDP(V300, $E299))</f>
        <v>#NAME?</v>
      </c>
      <c r="W299" s="43" t="e" cm="1">
        <f t="array" aca="1" ref="W299" ca="1">IF(LEFT(_xlfn.SINGLE(_xll.BDP(W300, $E299)),1)="#", "-", _xll.BDP(W300, $E299))</f>
        <v>#NAME?</v>
      </c>
      <c r="X299" s="43" t="e" cm="1">
        <f t="array" aca="1" ref="X299" ca="1">IF(LEFT(_xlfn.SINGLE(_xll.BDP(X300, $E299)),1)="#", "-", _xll.BDP(X300, $E299))</f>
        <v>#NAME?</v>
      </c>
      <c r="Y299" s="43" t="e" cm="1">
        <f t="array" aca="1" ref="Y299" ca="1">IF(LEFT(_xlfn.SINGLE(_xll.BDP(Y300, $E299)),1)="#", "-", _xll.BDP(Y300, $E299))</f>
        <v>#NAME?</v>
      </c>
      <c r="Z299" s="43" t="e" cm="1">
        <f t="array" aca="1" ref="Z299" ca="1">IF(LEFT(_xlfn.SINGLE(_xll.BDP(Z300, $E299)),1)="#", "-", _xll.BDP(Z300, $E299))</f>
        <v>#NAME?</v>
      </c>
      <c r="AA299" s="43" t="e" cm="1">
        <f t="array" aca="1" ref="AA299" ca="1">IF(LEFT(_xlfn.SINGLE(_xll.BDP(AA300, $E299)),1)="#", "-", _xll.BDP(AA300, $E299))</f>
        <v>#NAME?</v>
      </c>
      <c r="AB299" s="43" t="e" cm="1">
        <f t="array" aca="1" ref="AB299" ca="1">IF(LEFT(_xlfn.SINGLE(_xll.BDP(AB300, $E299)),1)="#", "-", _xll.BDP(AB300, $E299))</f>
        <v>#NAME?</v>
      </c>
      <c r="AC299" s="43" t="e" cm="1">
        <f t="array" aca="1" ref="AC299" ca="1">IF(LEFT(_xlfn.SINGLE(_xll.BDP(AC300, $E299)),1)="#", "-", _xll.BDP(AC300, $E299))</f>
        <v>#NAME?</v>
      </c>
      <c r="AD299" s="43" t="e" cm="1">
        <f t="array" aca="1" ref="AD299" ca="1">IF(LEFT(_xlfn.SINGLE(_xll.BDP(AD300, $E299)),1)="#", "-", _xll.BDP(AD300, $E299))</f>
        <v>#NAME?</v>
      </c>
      <c r="AE299" s="43" t="e" cm="1">
        <f t="array" aca="1" ref="AE299" ca="1">IF(LEFT(_xlfn.SINGLE(_xll.BDP(AE300, $E299)),1)="#", "-", _xll.BDP(AE300, $E299))</f>
        <v>#NAME?</v>
      </c>
      <c r="AF299" s="43" t="e" cm="1">
        <f t="array" aca="1" ref="AF299" ca="1">IF(LEFT(_xlfn.SINGLE(_xll.BDP(AF300, $E299)),1)="#", "-", _xll.BDP(AF300, $E299))</f>
        <v>#NAME?</v>
      </c>
      <c r="AG299" s="43" t="e" cm="1">
        <f t="array" aca="1" ref="AG299" ca="1">IF(LEFT(_xlfn.SINGLE(_xll.BDP(AG300, $E299)),1)="#", "-", _xll.BDP(AG300, $E299))</f>
        <v>#NAME?</v>
      </c>
      <c r="AH299" s="43" t="e" cm="1">
        <f t="array" aca="1" ref="AH299" ca="1">IF(LEFT(_xlfn.SINGLE(_xll.BDP(AH300, $E299)),1)="#", "-", _xll.BDP(AH300, $E299))</f>
        <v>#NAME?</v>
      </c>
      <c r="AI299" s="43" t="e" cm="1">
        <f t="array" aca="1" ref="AI299" ca="1">IF(LEFT(_xlfn.SINGLE(_xll.BDP(AI300, $E299)),1)="#", "-", _xll.BDP(AI300, $E299))</f>
        <v>#NAME?</v>
      </c>
      <c r="AJ299" s="43" t="e" cm="1">
        <f t="array" aca="1" ref="AJ299" ca="1">IF(LEFT(_xlfn.SINGLE(_xll.BDP(AJ300, $E299)),1)="#", "-", _xll.BDP(AJ300, $E299))</f>
        <v>#NAME?</v>
      </c>
      <c r="AK299" s="43" t="e" cm="1">
        <f t="array" aca="1" ref="AK299" ca="1">IF(LEFT(_xlfn.SINGLE(_xll.BDP(AK300, $E299)),1)="#", "-", _xll.BDP(AK300, $E299))</f>
        <v>#NAME?</v>
      </c>
      <c r="AL299" s="43" t="e" cm="1">
        <f t="array" aca="1" ref="AL299" ca="1">IF(LEFT(_xlfn.SINGLE(_xll.BDP(AL300, $E299)),1)="#", "-", _xll.BDP(AL300, $E299))</f>
        <v>#NAME?</v>
      </c>
      <c r="AM299" s="43" t="e" cm="1">
        <f t="array" aca="1" ref="AM299" ca="1">IF(LEFT(_xlfn.SINGLE(_xll.BDP(AM300, $E299)),1)="#", "-", _xll.BDP(AM300, $E299))</f>
        <v>#NAME?</v>
      </c>
      <c r="AN299" s="43" t="e" cm="1">
        <f t="array" aca="1" ref="AN299" ca="1">IF(LEFT(_xlfn.SINGLE(_xll.BDP(AN300, $E299)),1)="#", "-", _xll.BDP(AN300, $E299))</f>
        <v>#NAME?</v>
      </c>
      <c r="AO299" s="43" t="e" cm="1">
        <f t="array" aca="1" ref="AO299" ca="1">IF(LEFT(_xlfn.SINGLE(_xll.BDP(AO300, $E299)),1)="#", "-", _xll.BDP(AO300, $E299))</f>
        <v>#NAME?</v>
      </c>
      <c r="AP299" s="43" t="e" cm="1">
        <f t="array" aca="1" ref="AP299" ca="1">IF(LEFT(_xlfn.SINGLE(_xll.BDP(AP300, $E299)),1)="#", "-", _xll.BDP(AP300, $E299))</f>
        <v>#NAME?</v>
      </c>
      <c r="AQ299" s="43" t="e" cm="1">
        <f t="array" aca="1" ref="AQ299" ca="1">IF(LEFT(_xlfn.SINGLE(_xll.BDP(AQ300, $E299)),1)="#", "-", _xll.BDP(AQ300, $E299))</f>
        <v>#NAME?</v>
      </c>
      <c r="AR299" s="43" t="e" cm="1">
        <f t="array" aca="1" ref="AR299" ca="1">IF(LEFT(_xlfn.SINGLE(_xll.BDP(AR300, $E299)),1)="#", "-", _xll.BDP(AR300, $E299))</f>
        <v>#NAME?</v>
      </c>
      <c r="AS299" s="43" t="e" cm="1">
        <f t="array" aca="1" ref="AS299" ca="1">IF(LEFT(_xlfn.SINGLE(_xll.BDP(AS300, $E299)),1)="#", "-", _xll.BDP(AS300, $E299))</f>
        <v>#NAME?</v>
      </c>
      <c r="AT299" s="43" t="e" cm="1">
        <f t="array" aca="1" ref="AT299" ca="1">IF(LEFT(_xlfn.SINGLE(_xll.BDP(AT300, $E299)),1)="#", "-", _xll.BDP(AT300, $E299))</f>
        <v>#NAME?</v>
      </c>
      <c r="AU299" s="43" t="e" cm="1">
        <f t="array" aca="1" ref="AU299" ca="1">IF(LEFT(_xlfn.SINGLE(_xll.BDP(AU300, $E299)),1)="#", "-", _xll.BDP(AU300, $E299))</f>
        <v>#NAME?</v>
      </c>
      <c r="AV299" s="43" t="e" cm="1">
        <f t="array" aca="1" ref="AV299" ca="1">IF(LEFT(_xlfn.SINGLE(_xll.BDP(AV300, $E299)),1)="#", "-", _xll.BDP(AV300, $E299))</f>
        <v>#NAME?</v>
      </c>
      <c r="AW299" s="43" t="e" cm="1">
        <f t="array" aca="1" ref="AW299" ca="1">IF(LEFT(_xlfn.SINGLE(_xll.BDP(AW300, $E299)),1)="#", "-", _xll.BDP(AW300, $E299))</f>
        <v>#NAME?</v>
      </c>
      <c r="AX299" s="43" t="e" cm="1">
        <f t="array" aca="1" ref="AX299" ca="1">IF(LEFT(_xlfn.SINGLE(_xll.BDP(AX300, $E299)),1)="#", "-", _xll.BDP(AX300, $E299))</f>
        <v>#NAME?</v>
      </c>
      <c r="AY299" s="43" t="e" cm="1">
        <f t="array" aca="1" ref="AY299" ca="1">IF(LEFT(_xlfn.SINGLE(_xll.BDP(AY300, $E299)),1)="#", "-", _xll.BDP(AY300, $E299))</f>
        <v>#NAME?</v>
      </c>
      <c r="AZ299" s="43" t="e" cm="1">
        <f t="array" aca="1" ref="AZ299" ca="1">IF(LEFT(_xlfn.SINGLE(_xll.BDP(AZ300, $E299)),1)="#", "-", _xll.BDP(AZ300, $E299))</f>
        <v>#NAME?</v>
      </c>
      <c r="BA299" s="45" t="e" cm="1">
        <f t="array" aca="1" ref="BA299" ca="1">IF(LEFT(_xlfn.SINGLE(_xll.BDP(BA300, $E299)),1)="#", "-", _xll.BDP(BA300, $E299))</f>
        <v>#NAME?</v>
      </c>
    </row>
    <row r="300" spans="2:53" ht="15" customHeight="1">
      <c r="B300" s="40"/>
      <c r="C300" s="145" t="str">
        <f>trans_getMessage("","Curve Tickers",,LANG_ID)</f>
        <v>Curve Tickers</v>
      </c>
      <c r="D300" s="146"/>
      <c r="E300" s="50" t="s">
        <v>46</v>
      </c>
      <c r="F300" s="42" t="e" cm="1">
        <f t="array" aca="1" ref="F300" ca="1">_xll.BDS(E295,E300,"Dir=H",)</f>
        <v>#NAME?</v>
      </c>
      <c r="G300" s="42"/>
      <c r="H300" s="42"/>
      <c r="I300" s="42"/>
      <c r="J300" s="42"/>
      <c r="K300" s="42"/>
      <c r="L300" s="42"/>
      <c r="M300" s="42"/>
      <c r="N300" s="42"/>
      <c r="O300" s="42"/>
      <c r="P300" s="42"/>
      <c r="Q300" s="42"/>
      <c r="R300" s="42"/>
      <c r="S300" s="42"/>
      <c r="T300" s="42"/>
      <c r="U300" s="42"/>
      <c r="V300" s="42"/>
      <c r="W300" s="42"/>
      <c r="X300" s="42"/>
      <c r="Y300" s="42"/>
      <c r="Z300" s="42"/>
      <c r="AA300" s="42"/>
      <c r="AB300" s="42"/>
      <c r="AC300" s="42"/>
      <c r="AD300" s="42"/>
      <c r="AE300" s="42"/>
      <c r="AF300" s="42"/>
      <c r="AG300" s="42"/>
      <c r="AH300" s="42"/>
      <c r="AI300" s="42"/>
      <c r="AJ300" s="42"/>
      <c r="AK300" s="42"/>
      <c r="AL300" s="42"/>
      <c r="AM300" s="42"/>
      <c r="AN300" s="42"/>
      <c r="AO300" s="42"/>
      <c r="AP300" s="42"/>
      <c r="AQ300" s="42"/>
      <c r="AR300" s="42"/>
      <c r="AS300" s="42"/>
      <c r="AT300" s="42"/>
      <c r="AU300" s="42"/>
      <c r="AV300" s="42"/>
      <c r="AW300" s="42"/>
      <c r="AX300" s="42"/>
      <c r="AY300" s="42"/>
      <c r="AZ300" s="42"/>
      <c r="BA300" s="44"/>
    </row>
    <row r="301" spans="2:53" ht="15" customHeight="1">
      <c r="C301" s="138" t="str">
        <f>trans_getMessage("","Rate",,LANG_ID)</f>
        <v>Rate</v>
      </c>
      <c r="D301" s="139"/>
      <c r="E301" s="51" t="s">
        <v>44</v>
      </c>
      <c r="F301" s="46" t="str" cm="1">
        <f t="array" aca="1" ref="F301" ca="1">IF(ISERROR(_xlfn.SINGLE(_xll.BDP(F300, $E301))*1), "-", _xll.BDP(F300, $E301))</f>
        <v>-</v>
      </c>
      <c r="G301" s="46" t="str" cm="1">
        <f t="array" aca="1" ref="G301" ca="1">IF(ISERROR(_xlfn.SINGLE(_xll.BDP(G300, $E301))*1), "-", _xll.BDP(G300, $E301))</f>
        <v>-</v>
      </c>
      <c r="H301" s="46" t="str" cm="1">
        <f t="array" aca="1" ref="H301" ca="1">IF(ISERROR(_xlfn.SINGLE(_xll.BDP(H300, $E301))*1), "-", _xll.BDP(H300, $E301))</f>
        <v>-</v>
      </c>
      <c r="I301" s="46" t="str" cm="1">
        <f t="array" aca="1" ref="I301" ca="1">IF(ISERROR(_xlfn.SINGLE(_xll.BDP(I300, $E301))*1), "-", _xll.BDP(I300, $E301))</f>
        <v>-</v>
      </c>
      <c r="J301" s="46" t="str" cm="1">
        <f t="array" aca="1" ref="J301" ca="1">IF(ISERROR(_xlfn.SINGLE(_xll.BDP(J300, $E301))*1), "-", _xll.BDP(J300, $E301))</f>
        <v>-</v>
      </c>
      <c r="K301" s="46" t="str" cm="1">
        <f t="array" aca="1" ref="K301" ca="1">IF(ISERROR(_xlfn.SINGLE(_xll.BDP(K300, $E301))*1), "-", _xll.BDP(K300, $E301))</f>
        <v>-</v>
      </c>
      <c r="L301" s="46" t="str" cm="1">
        <f t="array" aca="1" ref="L301" ca="1">IF(ISERROR(_xlfn.SINGLE(_xll.BDP(L300, $E301))*1), "-", _xll.BDP(L300, $E301))</f>
        <v>-</v>
      </c>
      <c r="M301" s="46" t="str" cm="1">
        <f t="array" aca="1" ref="M301" ca="1">IF(ISERROR(_xlfn.SINGLE(_xll.BDP(M300, $E301))*1), "-", _xll.BDP(M300, $E301))</f>
        <v>-</v>
      </c>
      <c r="N301" s="46" t="str" cm="1">
        <f t="array" aca="1" ref="N301" ca="1">IF(ISERROR(_xlfn.SINGLE(_xll.BDP(N300, $E301))*1), "-", _xll.BDP(N300, $E301))</f>
        <v>-</v>
      </c>
      <c r="O301" s="46" t="str" cm="1">
        <f t="array" aca="1" ref="O301" ca="1">IF(ISERROR(_xlfn.SINGLE(_xll.BDP(O300, $E301))*1), "-", _xll.BDP(O300, $E301))</f>
        <v>-</v>
      </c>
      <c r="P301" s="46" t="str" cm="1">
        <f t="array" aca="1" ref="P301" ca="1">IF(ISERROR(_xlfn.SINGLE(_xll.BDP(P300, $E301))*1), "-", _xll.BDP(P300, $E301))</f>
        <v>-</v>
      </c>
      <c r="Q301" s="46" t="str" cm="1">
        <f t="array" aca="1" ref="Q301" ca="1">IF(ISERROR(_xlfn.SINGLE(_xll.BDP(Q300, $E301))*1), "-", _xll.BDP(Q300, $E301))</f>
        <v>-</v>
      </c>
      <c r="R301" s="46" t="str" cm="1">
        <f t="array" aca="1" ref="R301" ca="1">IF(ISERROR(_xlfn.SINGLE(_xll.BDP(R300, $E301))*1), "-", _xll.BDP(R300, $E301))</f>
        <v>-</v>
      </c>
      <c r="S301" s="46" t="str" cm="1">
        <f t="array" aca="1" ref="S301" ca="1">IF(ISERROR(_xlfn.SINGLE(_xll.BDP(S300, $E301))*1), "-", _xll.BDP(S300, $E301))</f>
        <v>-</v>
      </c>
      <c r="T301" s="46" t="str" cm="1">
        <f t="array" aca="1" ref="T301" ca="1">IF(ISERROR(_xlfn.SINGLE(_xll.BDP(T300, $E301))*1), "-", _xll.BDP(T300, $E301))</f>
        <v>-</v>
      </c>
      <c r="U301" s="46" t="str" cm="1">
        <f t="array" aca="1" ref="U301" ca="1">IF(ISERROR(_xlfn.SINGLE(_xll.BDP(U300, $E301))*1), "-", _xll.BDP(U300, $E301))</f>
        <v>-</v>
      </c>
      <c r="V301" s="46" t="str" cm="1">
        <f t="array" aca="1" ref="V301" ca="1">IF(ISERROR(_xlfn.SINGLE(_xll.BDP(V300, $E301))*1), "-", _xll.BDP(V300, $E301))</f>
        <v>-</v>
      </c>
      <c r="W301" s="46" t="str" cm="1">
        <f t="array" aca="1" ref="W301" ca="1">IF(ISERROR(_xlfn.SINGLE(_xll.BDP(W300, $E301))*1), "-", _xll.BDP(W300, $E301))</f>
        <v>-</v>
      </c>
      <c r="X301" s="46" t="str" cm="1">
        <f t="array" aca="1" ref="X301" ca="1">IF(ISERROR(_xlfn.SINGLE(_xll.BDP(X300, $E301))*1), "-", _xll.BDP(X300, $E301))</f>
        <v>-</v>
      </c>
      <c r="Y301" s="46" t="str" cm="1">
        <f t="array" aca="1" ref="Y301" ca="1">IF(ISERROR(_xlfn.SINGLE(_xll.BDP(Y300, $E301))*1), "-", _xll.BDP(Y300, $E301))</f>
        <v>-</v>
      </c>
      <c r="Z301" s="46" t="str" cm="1">
        <f t="array" aca="1" ref="Z301" ca="1">IF(ISERROR(_xlfn.SINGLE(_xll.BDP(Z300, $E301))*1), "-", _xll.BDP(Z300, $E301))</f>
        <v>-</v>
      </c>
      <c r="AA301" s="46" t="str" cm="1">
        <f t="array" aca="1" ref="AA301" ca="1">IF(ISERROR(_xlfn.SINGLE(_xll.BDP(AA300, $E301))*1), "-", _xll.BDP(AA300, $E301))</f>
        <v>-</v>
      </c>
      <c r="AB301" s="46" t="str" cm="1">
        <f t="array" aca="1" ref="AB301" ca="1">IF(ISERROR(_xlfn.SINGLE(_xll.BDP(AB300, $E301))*1), "-", _xll.BDP(AB300, $E301))</f>
        <v>-</v>
      </c>
      <c r="AC301" s="46" t="str" cm="1">
        <f t="array" aca="1" ref="AC301" ca="1">IF(ISERROR(_xlfn.SINGLE(_xll.BDP(AC300, $E301))*1), "-", _xll.BDP(AC300, $E301))</f>
        <v>-</v>
      </c>
      <c r="AD301" s="46" t="str" cm="1">
        <f t="array" aca="1" ref="AD301" ca="1">IF(ISERROR(_xlfn.SINGLE(_xll.BDP(AD300, $E301))*1), "-", _xll.BDP(AD300, $E301))</f>
        <v>-</v>
      </c>
      <c r="AE301" s="46" t="str" cm="1">
        <f t="array" aca="1" ref="AE301" ca="1">IF(ISERROR(_xlfn.SINGLE(_xll.BDP(AE300, $E301))*1), "-", _xll.BDP(AE300, $E301))</f>
        <v>-</v>
      </c>
      <c r="AF301" s="46" t="str" cm="1">
        <f t="array" aca="1" ref="AF301" ca="1">IF(ISERROR(_xlfn.SINGLE(_xll.BDP(AF300, $E301))*1), "-", _xll.BDP(AF300, $E301))</f>
        <v>-</v>
      </c>
      <c r="AG301" s="46" t="str" cm="1">
        <f t="array" aca="1" ref="AG301" ca="1">IF(ISERROR(_xlfn.SINGLE(_xll.BDP(AG300, $E301))*1), "-", _xll.BDP(AG300, $E301))</f>
        <v>-</v>
      </c>
      <c r="AH301" s="46" t="str" cm="1">
        <f t="array" aca="1" ref="AH301" ca="1">IF(ISERROR(_xlfn.SINGLE(_xll.BDP(AH300, $E301))*1), "-", _xll.BDP(AH300, $E301))</f>
        <v>-</v>
      </c>
      <c r="AI301" s="46" t="str" cm="1">
        <f t="array" aca="1" ref="AI301" ca="1">IF(ISERROR(_xlfn.SINGLE(_xll.BDP(AI300, $E301))*1), "-", _xll.BDP(AI300, $E301))</f>
        <v>-</v>
      </c>
      <c r="AJ301" s="46" t="str" cm="1">
        <f t="array" aca="1" ref="AJ301" ca="1">IF(ISERROR(_xlfn.SINGLE(_xll.BDP(AJ300, $E301))*1), "-", _xll.BDP(AJ300, $E301))</f>
        <v>-</v>
      </c>
      <c r="AK301" s="46" t="str" cm="1">
        <f t="array" aca="1" ref="AK301" ca="1">IF(ISERROR(_xlfn.SINGLE(_xll.BDP(AK300, $E301))*1), "-", _xll.BDP(AK300, $E301))</f>
        <v>-</v>
      </c>
      <c r="AL301" s="46" t="str" cm="1">
        <f t="array" aca="1" ref="AL301" ca="1">IF(ISERROR(_xlfn.SINGLE(_xll.BDP(AL300, $E301))*1), "-", _xll.BDP(AL300, $E301))</f>
        <v>-</v>
      </c>
      <c r="AM301" s="46" t="str" cm="1">
        <f t="array" aca="1" ref="AM301" ca="1">IF(ISERROR(_xlfn.SINGLE(_xll.BDP(AM300, $E301))*1), "-", _xll.BDP(AM300, $E301))</f>
        <v>-</v>
      </c>
      <c r="AN301" s="46" t="str" cm="1">
        <f t="array" aca="1" ref="AN301" ca="1">IF(ISERROR(_xlfn.SINGLE(_xll.BDP(AN300, $E301))*1), "-", _xll.BDP(AN300, $E301))</f>
        <v>-</v>
      </c>
      <c r="AO301" s="46" t="str" cm="1">
        <f t="array" aca="1" ref="AO301" ca="1">IF(ISERROR(_xlfn.SINGLE(_xll.BDP(AO300, $E301))*1), "-", _xll.BDP(AO300, $E301))</f>
        <v>-</v>
      </c>
      <c r="AP301" s="46" t="str" cm="1">
        <f t="array" aca="1" ref="AP301" ca="1">IF(ISERROR(_xlfn.SINGLE(_xll.BDP(AP300, $E301))*1), "-", _xll.BDP(AP300, $E301))</f>
        <v>-</v>
      </c>
      <c r="AQ301" s="46" t="str" cm="1">
        <f t="array" aca="1" ref="AQ301" ca="1">IF(ISERROR(_xlfn.SINGLE(_xll.BDP(AQ300, $E301))*1), "-", _xll.BDP(AQ300, $E301))</f>
        <v>-</v>
      </c>
      <c r="AR301" s="46" t="str" cm="1">
        <f t="array" aca="1" ref="AR301" ca="1">IF(ISERROR(_xlfn.SINGLE(_xll.BDP(AR300, $E301))*1), "-", _xll.BDP(AR300, $E301))</f>
        <v>-</v>
      </c>
      <c r="AS301" s="46" t="str" cm="1">
        <f t="array" aca="1" ref="AS301" ca="1">IF(ISERROR(_xlfn.SINGLE(_xll.BDP(AS300, $E301))*1), "-", _xll.BDP(AS300, $E301))</f>
        <v>-</v>
      </c>
      <c r="AT301" s="46" t="str" cm="1">
        <f t="array" aca="1" ref="AT301" ca="1">IF(ISERROR(_xlfn.SINGLE(_xll.BDP(AT300, $E301))*1), "-", _xll.BDP(AT300, $E301))</f>
        <v>-</v>
      </c>
      <c r="AU301" s="46" t="str" cm="1">
        <f t="array" aca="1" ref="AU301" ca="1">IF(ISERROR(_xlfn.SINGLE(_xll.BDP(AU300, $E301))*1), "-", _xll.BDP(AU300, $E301))</f>
        <v>-</v>
      </c>
      <c r="AV301" s="46" t="str" cm="1">
        <f t="array" aca="1" ref="AV301" ca="1">IF(ISERROR(_xlfn.SINGLE(_xll.BDP(AV300, $E301))*1), "-", _xll.BDP(AV300, $E301))</f>
        <v>-</v>
      </c>
      <c r="AW301" s="46" t="str" cm="1">
        <f t="array" aca="1" ref="AW301" ca="1">IF(ISERROR(_xlfn.SINGLE(_xll.BDP(AW300, $E301))*1), "-", _xll.BDP(AW300, $E301))</f>
        <v>-</v>
      </c>
      <c r="AX301" s="46" t="str" cm="1">
        <f t="array" aca="1" ref="AX301" ca="1">IF(ISERROR(_xlfn.SINGLE(_xll.BDP(AX300, $E301))*1), "-", _xll.BDP(AX300, $E301))</f>
        <v>-</v>
      </c>
      <c r="AY301" s="46" t="str" cm="1">
        <f t="array" aca="1" ref="AY301" ca="1">IF(ISERROR(_xlfn.SINGLE(_xll.BDP(AY300, $E301))*1), "-", _xll.BDP(AY300, $E301))</f>
        <v>-</v>
      </c>
      <c r="AZ301" s="46" t="str" cm="1">
        <f t="array" aca="1" ref="AZ301" ca="1">IF(ISERROR(_xlfn.SINGLE(_xll.BDP(AZ300, $E301))*1), "-", _xll.BDP(AZ300, $E301))</f>
        <v>-</v>
      </c>
      <c r="BA301" s="47" t="str" cm="1">
        <f t="array" aca="1" ref="BA301" ca="1">IF(ISERROR(_xlfn.SINGLE(_xll.BDP(BA300, $E301))*1), "-", _xll.BDP(BA300, $E301))</f>
        <v>-</v>
      </c>
    </row>
    <row r="302" spans="2:53" ht="15" hidden="1" customHeight="1"/>
    <row r="303" spans="2:53" ht="5.15" customHeight="1"/>
    <row r="304" spans="2:53" ht="15" customHeight="1">
      <c r="B304" s="38" t="s">
        <v>42</v>
      </c>
      <c r="C304" s="140" t="str">
        <f>trans_getMessage("","Curve Number",,LANG_ID)</f>
        <v>Curve Number</v>
      </c>
      <c r="D304" s="141"/>
      <c r="E304" s="142">
        <f>VLOOKUP(B304, 'Currency-Curve List'!$C$9:$E$103, 2, FALSE)</f>
        <v>527</v>
      </c>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4"/>
    </row>
    <row r="305" spans="2:53" ht="15" customHeight="1">
      <c r="C305" s="145" t="str">
        <f>trans_getMessage("","Curve Index",,LANG_ID)</f>
        <v>Curve Index</v>
      </c>
      <c r="D305" s="146"/>
      <c r="E305" s="147" t="str">
        <f>VLOOKUP(B304, 'Currency-Curve List'!$C$9:$E$103, 3, FALSE)</f>
        <v>YCSW0527 Index</v>
      </c>
      <c r="F305" s="148"/>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148"/>
      <c r="AU305" s="148"/>
      <c r="AV305" s="148"/>
      <c r="AW305" s="148"/>
      <c r="AX305" s="148"/>
      <c r="AY305" s="148"/>
      <c r="AZ305" s="148"/>
      <c r="BA305" s="149"/>
    </row>
    <row r="306" spans="2:53" ht="15" customHeight="1">
      <c r="C306" s="145" t="str">
        <f>trans_getMessage("","Curve Name",,LANG_ID)</f>
        <v>Curve Name</v>
      </c>
      <c r="D306" s="146"/>
      <c r="E306" s="150" t="e" cm="1">
        <f t="array" aca="1" ref="E306" ca="1">_xll.BDP(E305, "NAME")</f>
        <v>#NAME?</v>
      </c>
      <c r="F306" s="151"/>
      <c r="G306" s="151"/>
      <c r="H306" s="151"/>
      <c r="I306" s="151"/>
      <c r="J306" s="151"/>
      <c r="K306" s="151"/>
      <c r="L306" s="151"/>
      <c r="M306" s="151"/>
      <c r="N306" s="151"/>
      <c r="O306" s="151"/>
      <c r="P306" s="151"/>
      <c r="Q306" s="151"/>
      <c r="R306" s="151"/>
      <c r="S306" s="151"/>
      <c r="T306" s="151"/>
      <c r="U306" s="151"/>
      <c r="V306" s="151"/>
      <c r="W306" s="151"/>
      <c r="X306" s="151"/>
      <c r="Y306" s="151"/>
      <c r="Z306" s="151"/>
      <c r="AA306" s="151"/>
      <c r="AB306" s="151"/>
      <c r="AC306" s="151"/>
      <c r="AD306" s="151"/>
      <c r="AE306" s="151"/>
      <c r="AF306" s="151"/>
      <c r="AG306" s="151"/>
      <c r="AH306" s="151"/>
      <c r="AI306" s="151"/>
      <c r="AJ306" s="151"/>
      <c r="AK306" s="151"/>
      <c r="AL306" s="151"/>
      <c r="AM306" s="151"/>
      <c r="AN306" s="151"/>
      <c r="AO306" s="151"/>
      <c r="AP306" s="151"/>
      <c r="AQ306" s="151"/>
      <c r="AR306" s="151"/>
      <c r="AS306" s="151"/>
      <c r="AT306" s="151"/>
      <c r="AU306" s="151"/>
      <c r="AV306" s="151"/>
      <c r="AW306" s="151"/>
      <c r="AX306" s="151"/>
      <c r="AY306" s="151"/>
      <c r="AZ306" s="151"/>
      <c r="BA306" s="152"/>
    </row>
    <row r="307" spans="2:53" ht="15" customHeight="1">
      <c r="C307" s="145" t="str">
        <f>trans_getMessage("","Tenors",,LANG_ID)</f>
        <v>Tenors</v>
      </c>
      <c r="D307" s="146"/>
      <c r="E307" s="48" t="s">
        <v>50</v>
      </c>
      <c r="F307" s="42" t="e" cm="1">
        <f t="array" aca="1" ref="F307" ca="1">_xll.BDS(E305,E307,"Dir=H",)</f>
        <v>#NAME?</v>
      </c>
      <c r="G307" s="42"/>
      <c r="H307" s="42"/>
      <c r="I307" s="42"/>
      <c r="J307" s="42"/>
      <c r="K307" s="42"/>
      <c r="L307" s="42"/>
      <c r="M307" s="42"/>
      <c r="N307" s="42"/>
      <c r="O307" s="42"/>
      <c r="P307" s="42"/>
      <c r="Q307" s="42"/>
      <c r="R307" s="42"/>
      <c r="S307" s="42"/>
      <c r="T307" s="42"/>
      <c r="U307" s="42"/>
      <c r="V307" s="42"/>
      <c r="W307" s="42"/>
      <c r="X307" s="42"/>
      <c r="Y307" s="42"/>
      <c r="Z307" s="42"/>
      <c r="AA307" s="42"/>
      <c r="AB307" s="42"/>
      <c r="AC307" s="42"/>
      <c r="AD307" s="42"/>
      <c r="AE307" s="42"/>
      <c r="AF307" s="42"/>
      <c r="AG307" s="42"/>
      <c r="AH307" s="42"/>
      <c r="AI307" s="42"/>
      <c r="AJ307" s="42"/>
      <c r="AK307" s="42"/>
      <c r="AL307" s="42"/>
      <c r="AM307" s="42"/>
      <c r="AN307" s="42"/>
      <c r="AO307" s="42"/>
      <c r="AP307" s="42"/>
      <c r="AQ307" s="42"/>
      <c r="AR307" s="42"/>
      <c r="AS307" s="42"/>
      <c r="AT307" s="42"/>
      <c r="AU307" s="42"/>
      <c r="AV307" s="42"/>
      <c r="AW307" s="42"/>
      <c r="AX307" s="42"/>
      <c r="AY307" s="42"/>
      <c r="AZ307" s="42"/>
      <c r="BA307" s="44"/>
    </row>
    <row r="308" spans="2:53" ht="15" hidden="1" customHeight="1">
      <c r="C308" s="145" t="s">
        <v>2211</v>
      </c>
      <c r="D308" s="146"/>
      <c r="E308" s="48"/>
      <c r="F308" s="42" t="e">
        <f ca="1">IF(F307="","",IF(F307="12M","1Y",IF(F307="24M","2Y",F307)))</f>
        <v>#NAME?</v>
      </c>
      <c r="G308" s="42" t="str">
        <f t="shared" ref="G308" si="1317">IF(G307="","",IF(G307="12M","1Y",IF(G307="24M","2Y",G307)))</f>
        <v/>
      </c>
      <c r="H308" s="42" t="str">
        <f t="shared" ref="H308" si="1318">IF(H307="","",IF(H307="12M","1Y",IF(H307="24M","2Y",H307)))</f>
        <v/>
      </c>
      <c r="I308" s="42" t="str">
        <f t="shared" ref="I308" si="1319">IF(I307="","",IF(I307="12M","1Y",IF(I307="24M","2Y",I307)))</f>
        <v/>
      </c>
      <c r="J308" s="42" t="str">
        <f t="shared" ref="J308" si="1320">IF(J307="","",IF(J307="12M","1Y",IF(J307="24M","2Y",J307)))</f>
        <v/>
      </c>
      <c r="K308" s="42" t="str">
        <f t="shared" ref="K308" si="1321">IF(K307="","",IF(K307="12M","1Y",IF(K307="24M","2Y",K307)))</f>
        <v/>
      </c>
      <c r="L308" s="42" t="str">
        <f t="shared" ref="L308" si="1322">IF(L307="","",IF(L307="12M","1Y",IF(L307="24M","2Y",L307)))</f>
        <v/>
      </c>
      <c r="M308" s="42" t="str">
        <f t="shared" ref="M308" si="1323">IF(M307="","",IF(M307="12M","1Y",IF(M307="24M","2Y",M307)))</f>
        <v/>
      </c>
      <c r="N308" s="42" t="str">
        <f t="shared" ref="N308" si="1324">IF(N307="","",IF(N307="12M","1Y",IF(N307="24M","2Y",N307)))</f>
        <v/>
      </c>
      <c r="O308" s="42" t="str">
        <f t="shared" ref="O308" si="1325">IF(O307="","",IF(O307="12M","1Y",IF(O307="24M","2Y",O307)))</f>
        <v/>
      </c>
      <c r="P308" s="42" t="str">
        <f t="shared" ref="P308" si="1326">IF(P307="","",IF(P307="12M","1Y",IF(P307="24M","2Y",P307)))</f>
        <v/>
      </c>
      <c r="Q308" s="42" t="str">
        <f t="shared" ref="Q308" si="1327">IF(Q307="","",IF(Q307="12M","1Y",IF(Q307="24M","2Y",Q307)))</f>
        <v/>
      </c>
      <c r="R308" s="42" t="str">
        <f t="shared" ref="R308" si="1328">IF(R307="","",IF(R307="12M","1Y",IF(R307="24M","2Y",R307)))</f>
        <v/>
      </c>
      <c r="S308" s="42" t="str">
        <f t="shared" ref="S308" si="1329">IF(S307="","",IF(S307="12M","1Y",IF(S307="24M","2Y",S307)))</f>
        <v/>
      </c>
      <c r="T308" s="42" t="str">
        <f t="shared" ref="T308" si="1330">IF(T307="","",IF(T307="12M","1Y",IF(T307="24M","2Y",T307)))</f>
        <v/>
      </c>
      <c r="U308" s="42" t="str">
        <f t="shared" ref="U308" si="1331">IF(U307="","",IF(U307="12M","1Y",IF(U307="24M","2Y",U307)))</f>
        <v/>
      </c>
      <c r="V308" s="42" t="str">
        <f t="shared" ref="V308" si="1332">IF(V307="","",IF(V307="12M","1Y",IF(V307="24M","2Y",V307)))</f>
        <v/>
      </c>
      <c r="W308" s="42" t="str">
        <f t="shared" ref="W308" si="1333">IF(W307="","",IF(W307="12M","1Y",IF(W307="24M","2Y",W307)))</f>
        <v/>
      </c>
      <c r="X308" s="42" t="str">
        <f t="shared" ref="X308" si="1334">IF(X307="","",IF(X307="12M","1Y",IF(X307="24M","2Y",X307)))</f>
        <v/>
      </c>
      <c r="Y308" s="42" t="str">
        <f t="shared" ref="Y308" si="1335">IF(Y307="","",IF(Y307="12M","1Y",IF(Y307="24M","2Y",Y307)))</f>
        <v/>
      </c>
      <c r="Z308" s="42" t="str">
        <f t="shared" ref="Z308" si="1336">IF(Z307="","",IF(Z307="12M","1Y",IF(Z307="24M","2Y",Z307)))</f>
        <v/>
      </c>
      <c r="AA308" s="42" t="str">
        <f t="shared" ref="AA308" si="1337">IF(AA307="","",IF(AA307="12M","1Y",IF(AA307="24M","2Y",AA307)))</f>
        <v/>
      </c>
      <c r="AB308" s="42" t="str">
        <f t="shared" ref="AB308" si="1338">IF(AB307="","",IF(AB307="12M","1Y",IF(AB307="24M","2Y",AB307)))</f>
        <v/>
      </c>
      <c r="AC308" s="42" t="str">
        <f t="shared" ref="AC308" si="1339">IF(AC307="","",IF(AC307="12M","1Y",IF(AC307="24M","2Y",AC307)))</f>
        <v/>
      </c>
      <c r="AD308" s="42" t="str">
        <f t="shared" ref="AD308" si="1340">IF(AD307="","",IF(AD307="12M","1Y",IF(AD307="24M","2Y",AD307)))</f>
        <v/>
      </c>
      <c r="AE308" s="42" t="str">
        <f t="shared" ref="AE308" si="1341">IF(AE307="","",IF(AE307="12M","1Y",IF(AE307="24M","2Y",AE307)))</f>
        <v/>
      </c>
      <c r="AF308" s="42" t="str">
        <f t="shared" ref="AF308" si="1342">IF(AF307="","",IF(AF307="12M","1Y",IF(AF307="24M","2Y",AF307)))</f>
        <v/>
      </c>
      <c r="AG308" s="42" t="str">
        <f t="shared" ref="AG308" si="1343">IF(AG307="","",IF(AG307="12M","1Y",IF(AG307="24M","2Y",AG307)))</f>
        <v/>
      </c>
      <c r="AH308" s="42" t="str">
        <f t="shared" ref="AH308" si="1344">IF(AH307="","",IF(AH307="12M","1Y",IF(AH307="24M","2Y",AH307)))</f>
        <v/>
      </c>
      <c r="AI308" s="42" t="str">
        <f t="shared" ref="AI308" si="1345">IF(AI307="","",IF(AI307="12M","1Y",IF(AI307="24M","2Y",AI307)))</f>
        <v/>
      </c>
      <c r="AJ308" s="42" t="str">
        <f t="shared" ref="AJ308" si="1346">IF(AJ307="","",IF(AJ307="12M","1Y",IF(AJ307="24M","2Y",AJ307)))</f>
        <v/>
      </c>
      <c r="AK308" s="42" t="str">
        <f t="shared" ref="AK308" si="1347">IF(AK307="","",IF(AK307="12M","1Y",IF(AK307="24M","2Y",AK307)))</f>
        <v/>
      </c>
      <c r="AL308" s="42" t="str">
        <f t="shared" ref="AL308" si="1348">IF(AL307="","",IF(AL307="12M","1Y",IF(AL307="24M","2Y",AL307)))</f>
        <v/>
      </c>
      <c r="AM308" s="42" t="str">
        <f t="shared" ref="AM308" si="1349">IF(AM307="","",IF(AM307="12M","1Y",IF(AM307="24M","2Y",AM307)))</f>
        <v/>
      </c>
      <c r="AN308" s="42" t="str">
        <f t="shared" ref="AN308" si="1350">IF(AN307="","",IF(AN307="12M","1Y",IF(AN307="24M","2Y",AN307)))</f>
        <v/>
      </c>
      <c r="AO308" s="42" t="str">
        <f t="shared" ref="AO308" si="1351">IF(AO307="","",IF(AO307="12M","1Y",IF(AO307="24M","2Y",AO307)))</f>
        <v/>
      </c>
      <c r="AP308" s="42" t="str">
        <f t="shared" ref="AP308" si="1352">IF(AP307="","",IF(AP307="12M","1Y",IF(AP307="24M","2Y",AP307)))</f>
        <v/>
      </c>
      <c r="AQ308" s="42" t="str">
        <f t="shared" ref="AQ308" si="1353">IF(AQ307="","",IF(AQ307="12M","1Y",IF(AQ307="24M","2Y",AQ307)))</f>
        <v/>
      </c>
      <c r="AR308" s="42" t="str">
        <f t="shared" ref="AR308" si="1354">IF(AR307="","",IF(AR307="12M","1Y",IF(AR307="24M","2Y",AR307)))</f>
        <v/>
      </c>
      <c r="AS308" s="42" t="str">
        <f t="shared" ref="AS308" si="1355">IF(AS307="","",IF(AS307="12M","1Y",IF(AS307="24M","2Y",AS307)))</f>
        <v/>
      </c>
      <c r="AT308" s="42" t="str">
        <f t="shared" ref="AT308" si="1356">IF(AT307="","",IF(AT307="12M","1Y",IF(AT307="24M","2Y",AT307)))</f>
        <v/>
      </c>
      <c r="AU308" s="42" t="str">
        <f t="shared" ref="AU308" si="1357">IF(AU307="","",IF(AU307="12M","1Y",IF(AU307="24M","2Y",AU307)))</f>
        <v/>
      </c>
      <c r="AV308" s="42" t="str">
        <f t="shared" ref="AV308" si="1358">IF(AV307="","",IF(AV307="12M","1Y",IF(AV307="24M","2Y",AV307)))</f>
        <v/>
      </c>
      <c r="AW308" s="42" t="str">
        <f t="shared" ref="AW308" si="1359">IF(AW307="","",IF(AW307="12M","1Y",IF(AW307="24M","2Y",AW307)))</f>
        <v/>
      </c>
      <c r="AX308" s="42" t="str">
        <f t="shared" ref="AX308" si="1360">IF(AX307="","",IF(AX307="12M","1Y",IF(AX307="24M","2Y",AX307)))</f>
        <v/>
      </c>
      <c r="AY308" s="42" t="str">
        <f t="shared" ref="AY308" si="1361">IF(AY307="","",IF(AY307="12M","1Y",IF(AY307="24M","2Y",AY307)))</f>
        <v/>
      </c>
      <c r="AZ308" s="42" t="str">
        <f t="shared" ref="AZ308" si="1362">IF(AZ307="","",IF(AZ307="12M","1Y",IF(AZ307="24M","2Y",AZ307)))</f>
        <v/>
      </c>
      <c r="BA308" s="42" t="str">
        <f t="shared" ref="BA308" si="1363">IF(BA307="","",IF(BA307="12M","1Y",IF(BA307="24M","2Y",BA307)))</f>
        <v/>
      </c>
    </row>
    <row r="309" spans="2:53" s="41" customFormat="1" ht="15" customHeight="1">
      <c r="B309" s="7"/>
      <c r="C309" s="153" t="str">
        <f>trans_getMessage("","Name",,LANG_ID)</f>
        <v>Name</v>
      </c>
      <c r="D309" s="154"/>
      <c r="E309" s="49" t="s">
        <v>49</v>
      </c>
      <c r="F309" s="43" t="e" cm="1">
        <f t="array" aca="1" ref="F309" ca="1">IF(LEFT(_xlfn.SINGLE(_xll.BDP(F310, $E309)),1)="#", "-", _xll.BDP(F310, $E309))</f>
        <v>#NAME?</v>
      </c>
      <c r="G309" s="43" t="e" cm="1">
        <f t="array" aca="1" ref="G309" ca="1">IF(LEFT(_xlfn.SINGLE(_xll.BDP(G310, $E309)),1)="#", "-", _xll.BDP(G310, $E309))</f>
        <v>#NAME?</v>
      </c>
      <c r="H309" s="43" t="e" cm="1">
        <f t="array" aca="1" ref="H309" ca="1">IF(LEFT(_xlfn.SINGLE(_xll.BDP(H310, $E309)),1)="#", "-", _xll.BDP(H310, $E309))</f>
        <v>#NAME?</v>
      </c>
      <c r="I309" s="43" t="e" cm="1">
        <f t="array" aca="1" ref="I309" ca="1">IF(LEFT(_xlfn.SINGLE(_xll.BDP(I310, $E309)),1)="#", "-", _xll.BDP(I310, $E309))</f>
        <v>#NAME?</v>
      </c>
      <c r="J309" s="43" t="e" cm="1">
        <f t="array" aca="1" ref="J309" ca="1">IF(LEFT(_xlfn.SINGLE(_xll.BDP(J310, $E309)),1)="#", "-", _xll.BDP(J310, $E309))</f>
        <v>#NAME?</v>
      </c>
      <c r="K309" s="43" t="e" cm="1">
        <f t="array" aca="1" ref="K309" ca="1">IF(LEFT(_xlfn.SINGLE(_xll.BDP(K310, $E309)),1)="#", "-", _xll.BDP(K310, $E309))</f>
        <v>#NAME?</v>
      </c>
      <c r="L309" s="43" t="e" cm="1">
        <f t="array" aca="1" ref="L309" ca="1">IF(LEFT(_xlfn.SINGLE(_xll.BDP(L310, $E309)),1)="#", "-", _xll.BDP(L310, $E309))</f>
        <v>#NAME?</v>
      </c>
      <c r="M309" s="43" t="e" cm="1">
        <f t="array" aca="1" ref="M309" ca="1">IF(LEFT(_xlfn.SINGLE(_xll.BDP(M310, $E309)),1)="#", "-", _xll.BDP(M310, $E309))</f>
        <v>#NAME?</v>
      </c>
      <c r="N309" s="43" t="e" cm="1">
        <f t="array" aca="1" ref="N309" ca="1">IF(LEFT(_xlfn.SINGLE(_xll.BDP(N310, $E309)),1)="#", "-", _xll.BDP(N310, $E309))</f>
        <v>#NAME?</v>
      </c>
      <c r="O309" s="43" t="e" cm="1">
        <f t="array" aca="1" ref="O309" ca="1">IF(LEFT(_xlfn.SINGLE(_xll.BDP(O310, $E309)),1)="#", "-", _xll.BDP(O310, $E309))</f>
        <v>#NAME?</v>
      </c>
      <c r="P309" s="43" t="e" cm="1">
        <f t="array" aca="1" ref="P309" ca="1">IF(LEFT(_xlfn.SINGLE(_xll.BDP(P310, $E309)),1)="#", "-", _xll.BDP(P310, $E309))</f>
        <v>#NAME?</v>
      </c>
      <c r="Q309" s="43" t="e" cm="1">
        <f t="array" aca="1" ref="Q309" ca="1">IF(LEFT(_xlfn.SINGLE(_xll.BDP(Q310, $E309)),1)="#", "-", _xll.BDP(Q310, $E309))</f>
        <v>#NAME?</v>
      </c>
      <c r="R309" s="43" t="e" cm="1">
        <f t="array" aca="1" ref="R309" ca="1">IF(LEFT(_xlfn.SINGLE(_xll.BDP(R310, $E309)),1)="#", "-", _xll.BDP(R310, $E309))</f>
        <v>#NAME?</v>
      </c>
      <c r="S309" s="43" t="e" cm="1">
        <f t="array" aca="1" ref="S309" ca="1">IF(LEFT(_xlfn.SINGLE(_xll.BDP(S310, $E309)),1)="#", "-", _xll.BDP(S310, $E309))</f>
        <v>#NAME?</v>
      </c>
      <c r="T309" s="43" t="e" cm="1">
        <f t="array" aca="1" ref="T309" ca="1">IF(LEFT(_xlfn.SINGLE(_xll.BDP(T310, $E309)),1)="#", "-", _xll.BDP(T310, $E309))</f>
        <v>#NAME?</v>
      </c>
      <c r="U309" s="43" t="e" cm="1">
        <f t="array" aca="1" ref="U309" ca="1">IF(LEFT(_xlfn.SINGLE(_xll.BDP(U310, $E309)),1)="#", "-", _xll.BDP(U310, $E309))</f>
        <v>#NAME?</v>
      </c>
      <c r="V309" s="43" t="e" cm="1">
        <f t="array" aca="1" ref="V309" ca="1">IF(LEFT(_xlfn.SINGLE(_xll.BDP(V310, $E309)),1)="#", "-", _xll.BDP(V310, $E309))</f>
        <v>#NAME?</v>
      </c>
      <c r="W309" s="43" t="e" cm="1">
        <f t="array" aca="1" ref="W309" ca="1">IF(LEFT(_xlfn.SINGLE(_xll.BDP(W310, $E309)),1)="#", "-", _xll.BDP(W310, $E309))</f>
        <v>#NAME?</v>
      </c>
      <c r="X309" s="43" t="e" cm="1">
        <f t="array" aca="1" ref="X309" ca="1">IF(LEFT(_xlfn.SINGLE(_xll.BDP(X310, $E309)),1)="#", "-", _xll.BDP(X310, $E309))</f>
        <v>#NAME?</v>
      </c>
      <c r="Y309" s="43" t="e" cm="1">
        <f t="array" aca="1" ref="Y309" ca="1">IF(LEFT(_xlfn.SINGLE(_xll.BDP(Y310, $E309)),1)="#", "-", _xll.BDP(Y310, $E309))</f>
        <v>#NAME?</v>
      </c>
      <c r="Z309" s="43" t="e" cm="1">
        <f t="array" aca="1" ref="Z309" ca="1">IF(LEFT(_xlfn.SINGLE(_xll.BDP(Z310, $E309)),1)="#", "-", _xll.BDP(Z310, $E309))</f>
        <v>#NAME?</v>
      </c>
      <c r="AA309" s="43" t="e" cm="1">
        <f t="array" aca="1" ref="AA309" ca="1">IF(LEFT(_xlfn.SINGLE(_xll.BDP(AA310, $E309)),1)="#", "-", _xll.BDP(AA310, $E309))</f>
        <v>#NAME?</v>
      </c>
      <c r="AB309" s="43" t="e" cm="1">
        <f t="array" aca="1" ref="AB309" ca="1">IF(LEFT(_xlfn.SINGLE(_xll.BDP(AB310, $E309)),1)="#", "-", _xll.BDP(AB310, $E309))</f>
        <v>#NAME?</v>
      </c>
      <c r="AC309" s="43" t="e" cm="1">
        <f t="array" aca="1" ref="AC309" ca="1">IF(LEFT(_xlfn.SINGLE(_xll.BDP(AC310, $E309)),1)="#", "-", _xll.BDP(AC310, $E309))</f>
        <v>#NAME?</v>
      </c>
      <c r="AD309" s="43" t="e" cm="1">
        <f t="array" aca="1" ref="AD309" ca="1">IF(LEFT(_xlfn.SINGLE(_xll.BDP(AD310, $E309)),1)="#", "-", _xll.BDP(AD310, $E309))</f>
        <v>#NAME?</v>
      </c>
      <c r="AE309" s="43" t="e" cm="1">
        <f t="array" aca="1" ref="AE309" ca="1">IF(LEFT(_xlfn.SINGLE(_xll.BDP(AE310, $E309)),1)="#", "-", _xll.BDP(AE310, $E309))</f>
        <v>#NAME?</v>
      </c>
      <c r="AF309" s="43" t="e" cm="1">
        <f t="array" aca="1" ref="AF309" ca="1">IF(LEFT(_xlfn.SINGLE(_xll.BDP(AF310, $E309)),1)="#", "-", _xll.BDP(AF310, $E309))</f>
        <v>#NAME?</v>
      </c>
      <c r="AG309" s="43" t="e" cm="1">
        <f t="array" aca="1" ref="AG309" ca="1">IF(LEFT(_xlfn.SINGLE(_xll.BDP(AG310, $E309)),1)="#", "-", _xll.BDP(AG310, $E309))</f>
        <v>#NAME?</v>
      </c>
      <c r="AH309" s="43" t="e" cm="1">
        <f t="array" aca="1" ref="AH309" ca="1">IF(LEFT(_xlfn.SINGLE(_xll.BDP(AH310, $E309)),1)="#", "-", _xll.BDP(AH310, $E309))</f>
        <v>#NAME?</v>
      </c>
      <c r="AI309" s="43" t="e" cm="1">
        <f t="array" aca="1" ref="AI309" ca="1">IF(LEFT(_xlfn.SINGLE(_xll.BDP(AI310, $E309)),1)="#", "-", _xll.BDP(AI310, $E309))</f>
        <v>#NAME?</v>
      </c>
      <c r="AJ309" s="43" t="e" cm="1">
        <f t="array" aca="1" ref="AJ309" ca="1">IF(LEFT(_xlfn.SINGLE(_xll.BDP(AJ310, $E309)),1)="#", "-", _xll.BDP(AJ310, $E309))</f>
        <v>#NAME?</v>
      </c>
      <c r="AK309" s="43" t="e" cm="1">
        <f t="array" aca="1" ref="AK309" ca="1">IF(LEFT(_xlfn.SINGLE(_xll.BDP(AK310, $E309)),1)="#", "-", _xll.BDP(AK310, $E309))</f>
        <v>#NAME?</v>
      </c>
      <c r="AL309" s="43" t="e" cm="1">
        <f t="array" aca="1" ref="AL309" ca="1">IF(LEFT(_xlfn.SINGLE(_xll.BDP(AL310, $E309)),1)="#", "-", _xll.BDP(AL310, $E309))</f>
        <v>#NAME?</v>
      </c>
      <c r="AM309" s="43" t="e" cm="1">
        <f t="array" aca="1" ref="AM309" ca="1">IF(LEFT(_xlfn.SINGLE(_xll.BDP(AM310, $E309)),1)="#", "-", _xll.BDP(AM310, $E309))</f>
        <v>#NAME?</v>
      </c>
      <c r="AN309" s="43" t="e" cm="1">
        <f t="array" aca="1" ref="AN309" ca="1">IF(LEFT(_xlfn.SINGLE(_xll.BDP(AN310, $E309)),1)="#", "-", _xll.BDP(AN310, $E309))</f>
        <v>#NAME?</v>
      </c>
      <c r="AO309" s="43" t="e" cm="1">
        <f t="array" aca="1" ref="AO309" ca="1">IF(LEFT(_xlfn.SINGLE(_xll.BDP(AO310, $E309)),1)="#", "-", _xll.BDP(AO310, $E309))</f>
        <v>#NAME?</v>
      </c>
      <c r="AP309" s="43" t="e" cm="1">
        <f t="array" aca="1" ref="AP309" ca="1">IF(LEFT(_xlfn.SINGLE(_xll.BDP(AP310, $E309)),1)="#", "-", _xll.BDP(AP310, $E309))</f>
        <v>#NAME?</v>
      </c>
      <c r="AQ309" s="43" t="e" cm="1">
        <f t="array" aca="1" ref="AQ309" ca="1">IF(LEFT(_xlfn.SINGLE(_xll.BDP(AQ310, $E309)),1)="#", "-", _xll.BDP(AQ310, $E309))</f>
        <v>#NAME?</v>
      </c>
      <c r="AR309" s="43" t="e" cm="1">
        <f t="array" aca="1" ref="AR309" ca="1">IF(LEFT(_xlfn.SINGLE(_xll.BDP(AR310, $E309)),1)="#", "-", _xll.BDP(AR310, $E309))</f>
        <v>#NAME?</v>
      </c>
      <c r="AS309" s="43" t="e" cm="1">
        <f t="array" aca="1" ref="AS309" ca="1">IF(LEFT(_xlfn.SINGLE(_xll.BDP(AS310, $E309)),1)="#", "-", _xll.BDP(AS310, $E309))</f>
        <v>#NAME?</v>
      </c>
      <c r="AT309" s="43" t="e" cm="1">
        <f t="array" aca="1" ref="AT309" ca="1">IF(LEFT(_xlfn.SINGLE(_xll.BDP(AT310, $E309)),1)="#", "-", _xll.BDP(AT310, $E309))</f>
        <v>#NAME?</v>
      </c>
      <c r="AU309" s="43" t="e" cm="1">
        <f t="array" aca="1" ref="AU309" ca="1">IF(LEFT(_xlfn.SINGLE(_xll.BDP(AU310, $E309)),1)="#", "-", _xll.BDP(AU310, $E309))</f>
        <v>#NAME?</v>
      </c>
      <c r="AV309" s="43" t="e" cm="1">
        <f t="array" aca="1" ref="AV309" ca="1">IF(LEFT(_xlfn.SINGLE(_xll.BDP(AV310, $E309)),1)="#", "-", _xll.BDP(AV310, $E309))</f>
        <v>#NAME?</v>
      </c>
      <c r="AW309" s="43" t="e" cm="1">
        <f t="array" aca="1" ref="AW309" ca="1">IF(LEFT(_xlfn.SINGLE(_xll.BDP(AW310, $E309)),1)="#", "-", _xll.BDP(AW310, $E309))</f>
        <v>#NAME?</v>
      </c>
      <c r="AX309" s="43" t="e" cm="1">
        <f t="array" aca="1" ref="AX309" ca="1">IF(LEFT(_xlfn.SINGLE(_xll.BDP(AX310, $E309)),1)="#", "-", _xll.BDP(AX310, $E309))</f>
        <v>#NAME?</v>
      </c>
      <c r="AY309" s="43" t="e" cm="1">
        <f t="array" aca="1" ref="AY309" ca="1">IF(LEFT(_xlfn.SINGLE(_xll.BDP(AY310, $E309)),1)="#", "-", _xll.BDP(AY310, $E309))</f>
        <v>#NAME?</v>
      </c>
      <c r="AZ309" s="43" t="e" cm="1">
        <f t="array" aca="1" ref="AZ309" ca="1">IF(LEFT(_xlfn.SINGLE(_xll.BDP(AZ310, $E309)),1)="#", "-", _xll.BDP(AZ310, $E309))</f>
        <v>#NAME?</v>
      </c>
      <c r="BA309" s="45" t="e" cm="1">
        <f t="array" aca="1" ref="BA309" ca="1">IF(LEFT(_xlfn.SINGLE(_xll.BDP(BA310, $E309)),1)="#", "-", _xll.BDP(BA310, $E309))</f>
        <v>#NAME?</v>
      </c>
    </row>
    <row r="310" spans="2:53" ht="15" customHeight="1">
      <c r="B310" s="40"/>
      <c r="C310" s="145" t="str">
        <f>trans_getMessage("","Curve Tickers",,LANG_ID)</f>
        <v>Curve Tickers</v>
      </c>
      <c r="D310" s="146"/>
      <c r="E310" s="50" t="s">
        <v>46</v>
      </c>
      <c r="F310" s="42" t="e" cm="1">
        <f t="array" aca="1" ref="F310" ca="1">_xll.BDS(E305,E310,"Dir=H",)</f>
        <v>#NAME?</v>
      </c>
      <c r="G310" s="42"/>
      <c r="H310" s="42"/>
      <c r="I310" s="42"/>
      <c r="J310" s="42"/>
      <c r="K310" s="42"/>
      <c r="L310" s="42"/>
      <c r="M310" s="42"/>
      <c r="N310" s="42"/>
      <c r="O310" s="42"/>
      <c r="P310" s="42"/>
      <c r="Q310" s="42"/>
      <c r="R310" s="42"/>
      <c r="S310" s="42"/>
      <c r="T310" s="42"/>
      <c r="U310" s="42"/>
      <c r="V310" s="42"/>
      <c r="W310" s="42"/>
      <c r="X310" s="42"/>
      <c r="Y310" s="42"/>
      <c r="Z310" s="42"/>
      <c r="AA310" s="42"/>
      <c r="AB310" s="42"/>
      <c r="AC310" s="42"/>
      <c r="AD310" s="42"/>
      <c r="AE310" s="42"/>
      <c r="AF310" s="42"/>
      <c r="AG310" s="42"/>
      <c r="AH310" s="42"/>
      <c r="AI310" s="42"/>
      <c r="AJ310" s="42"/>
      <c r="AK310" s="42"/>
      <c r="AL310" s="42"/>
      <c r="AM310" s="42"/>
      <c r="AN310" s="42"/>
      <c r="AO310" s="42"/>
      <c r="AP310" s="42"/>
      <c r="AQ310" s="42"/>
      <c r="AR310" s="42"/>
      <c r="AS310" s="42"/>
      <c r="AT310" s="42"/>
      <c r="AU310" s="42"/>
      <c r="AV310" s="42"/>
      <c r="AW310" s="42"/>
      <c r="AX310" s="42"/>
      <c r="AY310" s="42"/>
      <c r="AZ310" s="42"/>
      <c r="BA310" s="44"/>
    </row>
    <row r="311" spans="2:53" ht="15" customHeight="1">
      <c r="C311" s="138" t="str">
        <f>trans_getMessage("","Rate",,LANG_ID)</f>
        <v>Rate</v>
      </c>
      <c r="D311" s="139"/>
      <c r="E311" s="51" t="s">
        <v>44</v>
      </c>
      <c r="F311" s="46" t="str" cm="1">
        <f t="array" aca="1" ref="F311" ca="1">IF(ISERROR(_xlfn.SINGLE(_xll.BDP(F310, $E311))*1), "-", _xll.BDP(F310, $E311))</f>
        <v>-</v>
      </c>
      <c r="G311" s="46" t="str" cm="1">
        <f t="array" aca="1" ref="G311" ca="1">IF(ISERROR(_xlfn.SINGLE(_xll.BDP(G310, $E311))*1), "-", _xll.BDP(G310, $E311))</f>
        <v>-</v>
      </c>
      <c r="H311" s="46" t="str" cm="1">
        <f t="array" aca="1" ref="H311" ca="1">IF(ISERROR(_xlfn.SINGLE(_xll.BDP(H310, $E311))*1), "-", _xll.BDP(H310, $E311))</f>
        <v>-</v>
      </c>
      <c r="I311" s="46" t="str" cm="1">
        <f t="array" aca="1" ref="I311" ca="1">IF(ISERROR(_xlfn.SINGLE(_xll.BDP(I310, $E311))*1), "-", _xll.BDP(I310, $E311))</f>
        <v>-</v>
      </c>
      <c r="J311" s="46" t="str" cm="1">
        <f t="array" aca="1" ref="J311" ca="1">IF(ISERROR(_xlfn.SINGLE(_xll.BDP(J310, $E311))*1), "-", _xll.BDP(J310, $E311))</f>
        <v>-</v>
      </c>
      <c r="K311" s="46" t="str" cm="1">
        <f t="array" aca="1" ref="K311" ca="1">IF(ISERROR(_xlfn.SINGLE(_xll.BDP(K310, $E311))*1), "-", _xll.BDP(K310, $E311))</f>
        <v>-</v>
      </c>
      <c r="L311" s="46" t="str" cm="1">
        <f t="array" aca="1" ref="L311" ca="1">IF(ISERROR(_xlfn.SINGLE(_xll.BDP(L310, $E311))*1), "-", _xll.BDP(L310, $E311))</f>
        <v>-</v>
      </c>
      <c r="M311" s="46" t="str" cm="1">
        <f t="array" aca="1" ref="M311" ca="1">IF(ISERROR(_xlfn.SINGLE(_xll.BDP(M310, $E311))*1), "-", _xll.BDP(M310, $E311))</f>
        <v>-</v>
      </c>
      <c r="N311" s="46" t="str" cm="1">
        <f t="array" aca="1" ref="N311" ca="1">IF(ISERROR(_xlfn.SINGLE(_xll.BDP(N310, $E311))*1), "-", _xll.BDP(N310, $E311))</f>
        <v>-</v>
      </c>
      <c r="O311" s="46" t="str" cm="1">
        <f t="array" aca="1" ref="O311" ca="1">IF(ISERROR(_xlfn.SINGLE(_xll.BDP(O310, $E311))*1), "-", _xll.BDP(O310, $E311))</f>
        <v>-</v>
      </c>
      <c r="P311" s="46" t="str" cm="1">
        <f t="array" aca="1" ref="P311" ca="1">IF(ISERROR(_xlfn.SINGLE(_xll.BDP(P310, $E311))*1), "-", _xll.BDP(P310, $E311))</f>
        <v>-</v>
      </c>
      <c r="Q311" s="46" t="str" cm="1">
        <f t="array" aca="1" ref="Q311" ca="1">IF(ISERROR(_xlfn.SINGLE(_xll.BDP(Q310, $E311))*1), "-", _xll.BDP(Q310, $E311))</f>
        <v>-</v>
      </c>
      <c r="R311" s="46" t="str" cm="1">
        <f t="array" aca="1" ref="R311" ca="1">IF(ISERROR(_xlfn.SINGLE(_xll.BDP(R310, $E311))*1), "-", _xll.BDP(R310, $E311))</f>
        <v>-</v>
      </c>
      <c r="S311" s="46" t="str" cm="1">
        <f t="array" aca="1" ref="S311" ca="1">IF(ISERROR(_xlfn.SINGLE(_xll.BDP(S310, $E311))*1), "-", _xll.BDP(S310, $E311))</f>
        <v>-</v>
      </c>
      <c r="T311" s="46" t="str" cm="1">
        <f t="array" aca="1" ref="T311" ca="1">IF(ISERROR(_xlfn.SINGLE(_xll.BDP(T310, $E311))*1), "-", _xll.BDP(T310, $E311))</f>
        <v>-</v>
      </c>
      <c r="U311" s="46" t="str" cm="1">
        <f t="array" aca="1" ref="U311" ca="1">IF(ISERROR(_xlfn.SINGLE(_xll.BDP(U310, $E311))*1), "-", _xll.BDP(U310, $E311))</f>
        <v>-</v>
      </c>
      <c r="V311" s="46" t="str" cm="1">
        <f t="array" aca="1" ref="V311" ca="1">IF(ISERROR(_xlfn.SINGLE(_xll.BDP(V310, $E311))*1), "-", _xll.BDP(V310, $E311))</f>
        <v>-</v>
      </c>
      <c r="W311" s="46" t="str" cm="1">
        <f t="array" aca="1" ref="W311" ca="1">IF(ISERROR(_xlfn.SINGLE(_xll.BDP(W310, $E311))*1), "-", _xll.BDP(W310, $E311))</f>
        <v>-</v>
      </c>
      <c r="X311" s="46" t="str" cm="1">
        <f t="array" aca="1" ref="X311" ca="1">IF(ISERROR(_xlfn.SINGLE(_xll.BDP(X310, $E311))*1), "-", _xll.BDP(X310, $E311))</f>
        <v>-</v>
      </c>
      <c r="Y311" s="46" t="str" cm="1">
        <f t="array" aca="1" ref="Y311" ca="1">IF(ISERROR(_xlfn.SINGLE(_xll.BDP(Y310, $E311))*1), "-", _xll.BDP(Y310, $E311))</f>
        <v>-</v>
      </c>
      <c r="Z311" s="46" t="str" cm="1">
        <f t="array" aca="1" ref="Z311" ca="1">IF(ISERROR(_xlfn.SINGLE(_xll.BDP(Z310, $E311))*1), "-", _xll.BDP(Z310, $E311))</f>
        <v>-</v>
      </c>
      <c r="AA311" s="46" t="str" cm="1">
        <f t="array" aca="1" ref="AA311" ca="1">IF(ISERROR(_xlfn.SINGLE(_xll.BDP(AA310, $E311))*1), "-", _xll.BDP(AA310, $E311))</f>
        <v>-</v>
      </c>
      <c r="AB311" s="46" t="str" cm="1">
        <f t="array" aca="1" ref="AB311" ca="1">IF(ISERROR(_xlfn.SINGLE(_xll.BDP(AB310, $E311))*1), "-", _xll.BDP(AB310, $E311))</f>
        <v>-</v>
      </c>
      <c r="AC311" s="46" t="str" cm="1">
        <f t="array" aca="1" ref="AC311" ca="1">IF(ISERROR(_xlfn.SINGLE(_xll.BDP(AC310, $E311))*1), "-", _xll.BDP(AC310, $E311))</f>
        <v>-</v>
      </c>
      <c r="AD311" s="46" t="str" cm="1">
        <f t="array" aca="1" ref="AD311" ca="1">IF(ISERROR(_xlfn.SINGLE(_xll.BDP(AD310, $E311))*1), "-", _xll.BDP(AD310, $E311))</f>
        <v>-</v>
      </c>
      <c r="AE311" s="46" t="str" cm="1">
        <f t="array" aca="1" ref="AE311" ca="1">IF(ISERROR(_xlfn.SINGLE(_xll.BDP(AE310, $E311))*1), "-", _xll.BDP(AE310, $E311))</f>
        <v>-</v>
      </c>
      <c r="AF311" s="46" t="str" cm="1">
        <f t="array" aca="1" ref="AF311" ca="1">IF(ISERROR(_xlfn.SINGLE(_xll.BDP(AF310, $E311))*1), "-", _xll.BDP(AF310, $E311))</f>
        <v>-</v>
      </c>
      <c r="AG311" s="46" t="str" cm="1">
        <f t="array" aca="1" ref="AG311" ca="1">IF(ISERROR(_xlfn.SINGLE(_xll.BDP(AG310, $E311))*1), "-", _xll.BDP(AG310, $E311))</f>
        <v>-</v>
      </c>
      <c r="AH311" s="46" t="str" cm="1">
        <f t="array" aca="1" ref="AH311" ca="1">IF(ISERROR(_xlfn.SINGLE(_xll.BDP(AH310, $E311))*1), "-", _xll.BDP(AH310, $E311))</f>
        <v>-</v>
      </c>
      <c r="AI311" s="46" t="str" cm="1">
        <f t="array" aca="1" ref="AI311" ca="1">IF(ISERROR(_xlfn.SINGLE(_xll.BDP(AI310, $E311))*1), "-", _xll.BDP(AI310, $E311))</f>
        <v>-</v>
      </c>
      <c r="AJ311" s="46" t="str" cm="1">
        <f t="array" aca="1" ref="AJ311" ca="1">IF(ISERROR(_xlfn.SINGLE(_xll.BDP(AJ310, $E311))*1), "-", _xll.BDP(AJ310, $E311))</f>
        <v>-</v>
      </c>
      <c r="AK311" s="46" t="str" cm="1">
        <f t="array" aca="1" ref="AK311" ca="1">IF(ISERROR(_xlfn.SINGLE(_xll.BDP(AK310, $E311))*1), "-", _xll.BDP(AK310, $E311))</f>
        <v>-</v>
      </c>
      <c r="AL311" s="46" t="str" cm="1">
        <f t="array" aca="1" ref="AL311" ca="1">IF(ISERROR(_xlfn.SINGLE(_xll.BDP(AL310, $E311))*1), "-", _xll.BDP(AL310, $E311))</f>
        <v>-</v>
      </c>
      <c r="AM311" s="46" t="str" cm="1">
        <f t="array" aca="1" ref="AM311" ca="1">IF(ISERROR(_xlfn.SINGLE(_xll.BDP(AM310, $E311))*1), "-", _xll.BDP(AM310, $E311))</f>
        <v>-</v>
      </c>
      <c r="AN311" s="46" t="str" cm="1">
        <f t="array" aca="1" ref="AN311" ca="1">IF(ISERROR(_xlfn.SINGLE(_xll.BDP(AN310, $E311))*1), "-", _xll.BDP(AN310, $E311))</f>
        <v>-</v>
      </c>
      <c r="AO311" s="46" t="str" cm="1">
        <f t="array" aca="1" ref="AO311" ca="1">IF(ISERROR(_xlfn.SINGLE(_xll.BDP(AO310, $E311))*1), "-", _xll.BDP(AO310, $E311))</f>
        <v>-</v>
      </c>
      <c r="AP311" s="46" t="str" cm="1">
        <f t="array" aca="1" ref="AP311" ca="1">IF(ISERROR(_xlfn.SINGLE(_xll.BDP(AP310, $E311))*1), "-", _xll.BDP(AP310, $E311))</f>
        <v>-</v>
      </c>
      <c r="AQ311" s="46" t="str" cm="1">
        <f t="array" aca="1" ref="AQ311" ca="1">IF(ISERROR(_xlfn.SINGLE(_xll.BDP(AQ310, $E311))*1), "-", _xll.BDP(AQ310, $E311))</f>
        <v>-</v>
      </c>
      <c r="AR311" s="46" t="str" cm="1">
        <f t="array" aca="1" ref="AR311" ca="1">IF(ISERROR(_xlfn.SINGLE(_xll.BDP(AR310, $E311))*1), "-", _xll.BDP(AR310, $E311))</f>
        <v>-</v>
      </c>
      <c r="AS311" s="46" t="str" cm="1">
        <f t="array" aca="1" ref="AS311" ca="1">IF(ISERROR(_xlfn.SINGLE(_xll.BDP(AS310, $E311))*1), "-", _xll.BDP(AS310, $E311))</f>
        <v>-</v>
      </c>
      <c r="AT311" s="46" t="str" cm="1">
        <f t="array" aca="1" ref="AT311" ca="1">IF(ISERROR(_xlfn.SINGLE(_xll.BDP(AT310, $E311))*1), "-", _xll.BDP(AT310, $E311))</f>
        <v>-</v>
      </c>
      <c r="AU311" s="46" t="str" cm="1">
        <f t="array" aca="1" ref="AU311" ca="1">IF(ISERROR(_xlfn.SINGLE(_xll.BDP(AU310, $E311))*1), "-", _xll.BDP(AU310, $E311))</f>
        <v>-</v>
      </c>
      <c r="AV311" s="46" t="str" cm="1">
        <f t="array" aca="1" ref="AV311" ca="1">IF(ISERROR(_xlfn.SINGLE(_xll.BDP(AV310, $E311))*1), "-", _xll.BDP(AV310, $E311))</f>
        <v>-</v>
      </c>
      <c r="AW311" s="46" t="str" cm="1">
        <f t="array" aca="1" ref="AW311" ca="1">IF(ISERROR(_xlfn.SINGLE(_xll.BDP(AW310, $E311))*1), "-", _xll.BDP(AW310, $E311))</f>
        <v>-</v>
      </c>
      <c r="AX311" s="46" t="str" cm="1">
        <f t="array" aca="1" ref="AX311" ca="1">IF(ISERROR(_xlfn.SINGLE(_xll.BDP(AX310, $E311))*1), "-", _xll.BDP(AX310, $E311))</f>
        <v>-</v>
      </c>
      <c r="AY311" s="46" t="str" cm="1">
        <f t="array" aca="1" ref="AY311" ca="1">IF(ISERROR(_xlfn.SINGLE(_xll.BDP(AY310, $E311))*1), "-", _xll.BDP(AY310, $E311))</f>
        <v>-</v>
      </c>
      <c r="AZ311" s="46" t="str" cm="1">
        <f t="array" aca="1" ref="AZ311" ca="1">IF(ISERROR(_xlfn.SINGLE(_xll.BDP(AZ310, $E311))*1), "-", _xll.BDP(AZ310, $E311))</f>
        <v>-</v>
      </c>
      <c r="BA311" s="47" t="str" cm="1">
        <f t="array" aca="1" ref="BA311" ca="1">IF(ISERROR(_xlfn.SINGLE(_xll.BDP(BA310, $E311))*1), "-", _xll.BDP(BA310, $E311))</f>
        <v>-</v>
      </c>
    </row>
    <row r="312" spans="2:53" ht="12" hidden="1" customHeight="1"/>
    <row r="313" spans="2:53" ht="21" hidden="1" customHeight="1"/>
    <row r="314" spans="2:53" ht="4.5" customHeight="1"/>
    <row r="315" spans="2:53" ht="15" customHeight="1">
      <c r="B315" s="38" t="s">
        <v>91</v>
      </c>
      <c r="C315" s="140" t="str">
        <f>trans_getMessage("","Curve Number",,LANG_ID)</f>
        <v>Curve Number</v>
      </c>
      <c r="D315" s="141"/>
      <c r="E315" s="142">
        <f>VLOOKUP(B315, 'Currency-Curve List'!$C$9:$E$103, 2, FALSE)</f>
        <v>522</v>
      </c>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4"/>
    </row>
    <row r="316" spans="2:53" ht="15" customHeight="1">
      <c r="C316" s="145" t="str">
        <f>trans_getMessage("","Curve Index",,LANG_ID)</f>
        <v>Curve Index</v>
      </c>
      <c r="D316" s="146"/>
      <c r="E316" s="147" t="str">
        <f>VLOOKUP(B315, 'Currency-Curve List'!$C$9:$E$103, 3, FALSE)</f>
        <v>YCSW0522 Index</v>
      </c>
      <c r="F316" s="148"/>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148"/>
      <c r="AY316" s="148"/>
      <c r="AZ316" s="148"/>
      <c r="BA316" s="149"/>
    </row>
    <row r="317" spans="2:53" ht="15" customHeight="1">
      <c r="C317" s="145" t="str">
        <f>trans_getMessage("","Curve Name",,LANG_ID)</f>
        <v>Curve Name</v>
      </c>
      <c r="D317" s="146"/>
      <c r="E317" s="150" t="e" cm="1">
        <f t="array" aca="1" ref="E317" ca="1">_xll.BDP(E316, "NAME")</f>
        <v>#NAME?</v>
      </c>
      <c r="F317" s="151"/>
      <c r="G317" s="151"/>
      <c r="H317" s="151"/>
      <c r="I317" s="151"/>
      <c r="J317" s="151"/>
      <c r="K317" s="151"/>
      <c r="L317" s="151"/>
      <c r="M317" s="151"/>
      <c r="N317" s="151"/>
      <c r="O317" s="151"/>
      <c r="P317" s="151"/>
      <c r="Q317" s="151"/>
      <c r="R317" s="151"/>
      <c r="S317" s="151"/>
      <c r="T317" s="151"/>
      <c r="U317" s="151"/>
      <c r="V317" s="151"/>
      <c r="W317" s="151"/>
      <c r="X317" s="151"/>
      <c r="Y317" s="151"/>
      <c r="Z317" s="151"/>
      <c r="AA317" s="151"/>
      <c r="AB317" s="151"/>
      <c r="AC317" s="151"/>
      <c r="AD317" s="151"/>
      <c r="AE317" s="151"/>
      <c r="AF317" s="151"/>
      <c r="AG317" s="151"/>
      <c r="AH317" s="151"/>
      <c r="AI317" s="151"/>
      <c r="AJ317" s="151"/>
      <c r="AK317" s="151"/>
      <c r="AL317" s="151"/>
      <c r="AM317" s="151"/>
      <c r="AN317" s="151"/>
      <c r="AO317" s="151"/>
      <c r="AP317" s="151"/>
      <c r="AQ317" s="151"/>
      <c r="AR317" s="151"/>
      <c r="AS317" s="151"/>
      <c r="AT317" s="151"/>
      <c r="AU317" s="151"/>
      <c r="AV317" s="151"/>
      <c r="AW317" s="151"/>
      <c r="AX317" s="151"/>
      <c r="AY317" s="151"/>
      <c r="AZ317" s="151"/>
      <c r="BA317" s="152"/>
    </row>
    <row r="318" spans="2:53" ht="15" customHeight="1">
      <c r="C318" s="145" t="str">
        <f>trans_getMessage("","Tenors",,LANG_ID)</f>
        <v>Tenors</v>
      </c>
      <c r="D318" s="146"/>
      <c r="E318" s="48" t="s">
        <v>50</v>
      </c>
      <c r="F318" s="42" t="e" cm="1">
        <f t="array" aca="1" ref="F318" ca="1">_xll.BDS(E316,E318,"Dir=H",)</f>
        <v>#NAME?</v>
      </c>
      <c r="G318" s="42"/>
      <c r="H318" s="42"/>
      <c r="I318" s="42"/>
      <c r="J318" s="42"/>
      <c r="K318" s="42"/>
      <c r="L318" s="42"/>
      <c r="M318" s="42"/>
      <c r="N318" s="42"/>
      <c r="O318" s="42"/>
      <c r="P318" s="42"/>
      <c r="Q318" s="42"/>
      <c r="R318" s="42"/>
      <c r="S318" s="42"/>
      <c r="T318" s="42"/>
      <c r="U318" s="42"/>
      <c r="V318" s="42"/>
      <c r="W318" s="42"/>
      <c r="X318" s="42"/>
      <c r="Y318" s="42"/>
      <c r="Z318" s="42"/>
      <c r="AA318" s="42"/>
      <c r="AB318" s="42"/>
      <c r="AC318" s="42"/>
      <c r="AD318" s="42"/>
      <c r="AE318" s="42"/>
      <c r="AF318" s="42"/>
      <c r="AG318" s="42"/>
      <c r="AH318" s="42"/>
      <c r="AI318" s="42"/>
      <c r="AJ318" s="42"/>
      <c r="AK318" s="42"/>
      <c r="AL318" s="42"/>
      <c r="AM318" s="42"/>
      <c r="AN318" s="42"/>
      <c r="AO318" s="42"/>
      <c r="AP318" s="42"/>
      <c r="AQ318" s="42"/>
      <c r="AR318" s="42"/>
      <c r="AS318" s="42"/>
      <c r="AT318" s="42"/>
      <c r="AU318" s="42"/>
      <c r="AV318" s="42"/>
      <c r="AW318" s="42"/>
      <c r="AX318" s="42"/>
      <c r="AY318" s="42"/>
      <c r="AZ318" s="42"/>
      <c r="BA318" s="44"/>
    </row>
    <row r="319" spans="2:53" ht="15" hidden="1" customHeight="1">
      <c r="C319" s="145" t="s">
        <v>2211</v>
      </c>
      <c r="D319" s="146"/>
      <c r="E319" s="48"/>
      <c r="F319" s="42" t="e">
        <f ca="1">IF(F318="","",IF(F318="12M","1Y",IF(F318="24M","2Y",F318)))</f>
        <v>#NAME?</v>
      </c>
      <c r="G319" s="42" t="str">
        <f t="shared" ref="G319" si="1364">IF(G318="","",IF(G318="12M","1Y",IF(G318="24M","2Y",G318)))</f>
        <v/>
      </c>
      <c r="H319" s="42" t="str">
        <f t="shared" ref="H319" si="1365">IF(H318="","",IF(H318="12M","1Y",IF(H318="24M","2Y",H318)))</f>
        <v/>
      </c>
      <c r="I319" s="42" t="str">
        <f t="shared" ref="I319" si="1366">IF(I318="","",IF(I318="12M","1Y",IF(I318="24M","2Y",I318)))</f>
        <v/>
      </c>
      <c r="J319" s="42" t="str">
        <f t="shared" ref="J319" si="1367">IF(J318="","",IF(J318="12M","1Y",IF(J318="24M","2Y",J318)))</f>
        <v/>
      </c>
      <c r="K319" s="42" t="str">
        <f t="shared" ref="K319" si="1368">IF(K318="","",IF(K318="12M","1Y",IF(K318="24M","2Y",K318)))</f>
        <v/>
      </c>
      <c r="L319" s="42" t="str">
        <f t="shared" ref="L319" si="1369">IF(L318="","",IF(L318="12M","1Y",IF(L318="24M","2Y",L318)))</f>
        <v/>
      </c>
      <c r="M319" s="42" t="str">
        <f t="shared" ref="M319" si="1370">IF(M318="","",IF(M318="12M","1Y",IF(M318="24M","2Y",M318)))</f>
        <v/>
      </c>
      <c r="N319" s="42" t="str">
        <f t="shared" ref="N319" si="1371">IF(N318="","",IF(N318="12M","1Y",IF(N318="24M","2Y",N318)))</f>
        <v/>
      </c>
      <c r="O319" s="42" t="str">
        <f t="shared" ref="O319" si="1372">IF(O318="","",IF(O318="12M","1Y",IF(O318="24M","2Y",O318)))</f>
        <v/>
      </c>
      <c r="P319" s="42" t="str">
        <f t="shared" ref="P319" si="1373">IF(P318="","",IF(P318="12M","1Y",IF(P318="24M","2Y",P318)))</f>
        <v/>
      </c>
      <c r="Q319" s="42" t="str">
        <f t="shared" ref="Q319" si="1374">IF(Q318="","",IF(Q318="12M","1Y",IF(Q318="24M","2Y",Q318)))</f>
        <v/>
      </c>
      <c r="R319" s="42" t="str">
        <f t="shared" ref="R319" si="1375">IF(R318="","",IF(R318="12M","1Y",IF(R318="24M","2Y",R318)))</f>
        <v/>
      </c>
      <c r="S319" s="42" t="str">
        <f t="shared" ref="S319" si="1376">IF(S318="","",IF(S318="12M","1Y",IF(S318="24M","2Y",S318)))</f>
        <v/>
      </c>
      <c r="T319" s="42" t="str">
        <f t="shared" ref="T319" si="1377">IF(T318="","",IF(T318="12M","1Y",IF(T318="24M","2Y",T318)))</f>
        <v/>
      </c>
      <c r="U319" s="42" t="str">
        <f t="shared" ref="U319" si="1378">IF(U318="","",IF(U318="12M","1Y",IF(U318="24M","2Y",U318)))</f>
        <v/>
      </c>
      <c r="V319" s="42" t="str">
        <f t="shared" ref="V319" si="1379">IF(V318="","",IF(V318="12M","1Y",IF(V318="24M","2Y",V318)))</f>
        <v/>
      </c>
      <c r="W319" s="42" t="str">
        <f t="shared" ref="W319" si="1380">IF(W318="","",IF(W318="12M","1Y",IF(W318="24M","2Y",W318)))</f>
        <v/>
      </c>
      <c r="X319" s="42" t="str">
        <f t="shared" ref="X319" si="1381">IF(X318="","",IF(X318="12M","1Y",IF(X318="24M","2Y",X318)))</f>
        <v/>
      </c>
      <c r="Y319" s="42" t="str">
        <f t="shared" ref="Y319" si="1382">IF(Y318="","",IF(Y318="12M","1Y",IF(Y318="24M","2Y",Y318)))</f>
        <v/>
      </c>
      <c r="Z319" s="42" t="str">
        <f t="shared" ref="Z319" si="1383">IF(Z318="","",IF(Z318="12M","1Y",IF(Z318="24M","2Y",Z318)))</f>
        <v/>
      </c>
      <c r="AA319" s="42" t="str">
        <f t="shared" ref="AA319" si="1384">IF(AA318="","",IF(AA318="12M","1Y",IF(AA318="24M","2Y",AA318)))</f>
        <v/>
      </c>
      <c r="AB319" s="42" t="str">
        <f t="shared" ref="AB319" si="1385">IF(AB318="","",IF(AB318="12M","1Y",IF(AB318="24M","2Y",AB318)))</f>
        <v/>
      </c>
      <c r="AC319" s="42" t="str">
        <f t="shared" ref="AC319" si="1386">IF(AC318="","",IF(AC318="12M","1Y",IF(AC318="24M","2Y",AC318)))</f>
        <v/>
      </c>
      <c r="AD319" s="42" t="str">
        <f t="shared" ref="AD319" si="1387">IF(AD318="","",IF(AD318="12M","1Y",IF(AD318="24M","2Y",AD318)))</f>
        <v/>
      </c>
      <c r="AE319" s="42" t="str">
        <f t="shared" ref="AE319" si="1388">IF(AE318="","",IF(AE318="12M","1Y",IF(AE318="24M","2Y",AE318)))</f>
        <v/>
      </c>
      <c r="AF319" s="42" t="str">
        <f t="shared" ref="AF319" si="1389">IF(AF318="","",IF(AF318="12M","1Y",IF(AF318="24M","2Y",AF318)))</f>
        <v/>
      </c>
      <c r="AG319" s="42" t="str">
        <f t="shared" ref="AG319" si="1390">IF(AG318="","",IF(AG318="12M","1Y",IF(AG318="24M","2Y",AG318)))</f>
        <v/>
      </c>
      <c r="AH319" s="42" t="str">
        <f t="shared" ref="AH319" si="1391">IF(AH318="","",IF(AH318="12M","1Y",IF(AH318="24M","2Y",AH318)))</f>
        <v/>
      </c>
      <c r="AI319" s="42" t="str">
        <f t="shared" ref="AI319" si="1392">IF(AI318="","",IF(AI318="12M","1Y",IF(AI318="24M","2Y",AI318)))</f>
        <v/>
      </c>
      <c r="AJ319" s="42" t="str">
        <f t="shared" ref="AJ319" si="1393">IF(AJ318="","",IF(AJ318="12M","1Y",IF(AJ318="24M","2Y",AJ318)))</f>
        <v/>
      </c>
      <c r="AK319" s="42" t="str">
        <f t="shared" ref="AK319" si="1394">IF(AK318="","",IF(AK318="12M","1Y",IF(AK318="24M","2Y",AK318)))</f>
        <v/>
      </c>
      <c r="AL319" s="42" t="str">
        <f t="shared" ref="AL319" si="1395">IF(AL318="","",IF(AL318="12M","1Y",IF(AL318="24M","2Y",AL318)))</f>
        <v/>
      </c>
      <c r="AM319" s="42" t="str">
        <f t="shared" ref="AM319" si="1396">IF(AM318="","",IF(AM318="12M","1Y",IF(AM318="24M","2Y",AM318)))</f>
        <v/>
      </c>
      <c r="AN319" s="42" t="str">
        <f t="shared" ref="AN319" si="1397">IF(AN318="","",IF(AN318="12M","1Y",IF(AN318="24M","2Y",AN318)))</f>
        <v/>
      </c>
      <c r="AO319" s="42" t="str">
        <f t="shared" ref="AO319" si="1398">IF(AO318="","",IF(AO318="12M","1Y",IF(AO318="24M","2Y",AO318)))</f>
        <v/>
      </c>
      <c r="AP319" s="42" t="str">
        <f t="shared" ref="AP319" si="1399">IF(AP318="","",IF(AP318="12M","1Y",IF(AP318="24M","2Y",AP318)))</f>
        <v/>
      </c>
      <c r="AQ319" s="42" t="str">
        <f t="shared" ref="AQ319" si="1400">IF(AQ318="","",IF(AQ318="12M","1Y",IF(AQ318="24M","2Y",AQ318)))</f>
        <v/>
      </c>
      <c r="AR319" s="42" t="str">
        <f t="shared" ref="AR319" si="1401">IF(AR318="","",IF(AR318="12M","1Y",IF(AR318="24M","2Y",AR318)))</f>
        <v/>
      </c>
      <c r="AS319" s="42" t="str">
        <f t="shared" ref="AS319" si="1402">IF(AS318="","",IF(AS318="12M","1Y",IF(AS318="24M","2Y",AS318)))</f>
        <v/>
      </c>
      <c r="AT319" s="42" t="str">
        <f t="shared" ref="AT319" si="1403">IF(AT318="","",IF(AT318="12M","1Y",IF(AT318="24M","2Y",AT318)))</f>
        <v/>
      </c>
      <c r="AU319" s="42" t="str">
        <f t="shared" ref="AU319" si="1404">IF(AU318="","",IF(AU318="12M","1Y",IF(AU318="24M","2Y",AU318)))</f>
        <v/>
      </c>
      <c r="AV319" s="42" t="str">
        <f t="shared" ref="AV319" si="1405">IF(AV318="","",IF(AV318="12M","1Y",IF(AV318="24M","2Y",AV318)))</f>
        <v/>
      </c>
      <c r="AW319" s="42" t="str">
        <f t="shared" ref="AW319" si="1406">IF(AW318="","",IF(AW318="12M","1Y",IF(AW318="24M","2Y",AW318)))</f>
        <v/>
      </c>
      <c r="AX319" s="42" t="str">
        <f t="shared" ref="AX319" si="1407">IF(AX318="","",IF(AX318="12M","1Y",IF(AX318="24M","2Y",AX318)))</f>
        <v/>
      </c>
      <c r="AY319" s="42" t="str">
        <f t="shared" ref="AY319" si="1408">IF(AY318="","",IF(AY318="12M","1Y",IF(AY318="24M","2Y",AY318)))</f>
        <v/>
      </c>
      <c r="AZ319" s="42" t="str">
        <f t="shared" ref="AZ319" si="1409">IF(AZ318="","",IF(AZ318="12M","1Y",IF(AZ318="24M","2Y",AZ318)))</f>
        <v/>
      </c>
      <c r="BA319" s="42" t="str">
        <f t="shared" ref="BA319" si="1410">IF(BA318="","",IF(BA318="12M","1Y",IF(BA318="24M","2Y",BA318)))</f>
        <v/>
      </c>
    </row>
    <row r="320" spans="2:53" s="41" customFormat="1" ht="15" customHeight="1">
      <c r="B320" s="7"/>
      <c r="C320" s="153" t="str">
        <f>trans_getMessage("","Name",,LANG_ID)</f>
        <v>Name</v>
      </c>
      <c r="D320" s="154"/>
      <c r="E320" s="49" t="s">
        <v>49</v>
      </c>
      <c r="F320" s="43" t="e" cm="1">
        <f t="array" aca="1" ref="F320" ca="1">IF(LEFT(_xlfn.SINGLE(_xll.BDP(F321, $E320)),1)="#", "-", _xll.BDP(F321, $E320))</f>
        <v>#NAME?</v>
      </c>
      <c r="G320" s="43" t="e" cm="1">
        <f t="array" aca="1" ref="G320" ca="1">IF(LEFT(_xlfn.SINGLE(_xll.BDP(G321, $E320)),1)="#", "-", _xll.BDP(G321, $E320))</f>
        <v>#NAME?</v>
      </c>
      <c r="H320" s="43" t="e" cm="1">
        <f t="array" aca="1" ref="H320" ca="1">IF(LEFT(_xlfn.SINGLE(_xll.BDP(H321, $E320)),1)="#", "-", _xll.BDP(H321, $E320))</f>
        <v>#NAME?</v>
      </c>
      <c r="I320" s="43" t="e" cm="1">
        <f t="array" aca="1" ref="I320" ca="1">IF(LEFT(_xlfn.SINGLE(_xll.BDP(I321, $E320)),1)="#", "-", _xll.BDP(I321, $E320))</f>
        <v>#NAME?</v>
      </c>
      <c r="J320" s="43" t="e" cm="1">
        <f t="array" aca="1" ref="J320" ca="1">IF(LEFT(_xlfn.SINGLE(_xll.BDP(J321, $E320)),1)="#", "-", _xll.BDP(J321, $E320))</f>
        <v>#NAME?</v>
      </c>
      <c r="K320" s="43" t="e" cm="1">
        <f t="array" aca="1" ref="K320" ca="1">IF(LEFT(_xlfn.SINGLE(_xll.BDP(K321, $E320)),1)="#", "-", _xll.BDP(K321, $E320))</f>
        <v>#NAME?</v>
      </c>
      <c r="L320" s="43" t="e" cm="1">
        <f t="array" aca="1" ref="L320" ca="1">IF(LEFT(_xlfn.SINGLE(_xll.BDP(L321, $E320)),1)="#", "-", _xll.BDP(L321, $E320))</f>
        <v>#NAME?</v>
      </c>
      <c r="M320" s="43" t="e" cm="1">
        <f t="array" aca="1" ref="M320" ca="1">IF(LEFT(_xlfn.SINGLE(_xll.BDP(M321, $E320)),1)="#", "-", _xll.BDP(M321, $E320))</f>
        <v>#NAME?</v>
      </c>
      <c r="N320" s="43" t="e" cm="1">
        <f t="array" aca="1" ref="N320" ca="1">IF(LEFT(_xlfn.SINGLE(_xll.BDP(N321, $E320)),1)="#", "-", _xll.BDP(N321, $E320))</f>
        <v>#NAME?</v>
      </c>
      <c r="O320" s="43" t="e" cm="1">
        <f t="array" aca="1" ref="O320" ca="1">IF(LEFT(_xlfn.SINGLE(_xll.BDP(O321, $E320)),1)="#", "-", _xll.BDP(O321, $E320))</f>
        <v>#NAME?</v>
      </c>
      <c r="P320" s="43" t="e" cm="1">
        <f t="array" aca="1" ref="P320" ca="1">IF(LEFT(_xlfn.SINGLE(_xll.BDP(P321, $E320)),1)="#", "-", _xll.BDP(P321, $E320))</f>
        <v>#NAME?</v>
      </c>
      <c r="Q320" s="43" t="e" cm="1">
        <f t="array" aca="1" ref="Q320" ca="1">IF(LEFT(_xlfn.SINGLE(_xll.BDP(Q321, $E320)),1)="#", "-", _xll.BDP(Q321, $E320))</f>
        <v>#NAME?</v>
      </c>
      <c r="R320" s="43" t="e" cm="1">
        <f t="array" aca="1" ref="R320" ca="1">IF(LEFT(_xlfn.SINGLE(_xll.BDP(R321, $E320)),1)="#", "-", _xll.BDP(R321, $E320))</f>
        <v>#NAME?</v>
      </c>
      <c r="S320" s="43" t="e" cm="1">
        <f t="array" aca="1" ref="S320" ca="1">IF(LEFT(_xlfn.SINGLE(_xll.BDP(S321, $E320)),1)="#", "-", _xll.BDP(S321, $E320))</f>
        <v>#NAME?</v>
      </c>
      <c r="T320" s="43" t="e" cm="1">
        <f t="array" aca="1" ref="T320" ca="1">IF(LEFT(_xlfn.SINGLE(_xll.BDP(T321, $E320)),1)="#", "-", _xll.BDP(T321, $E320))</f>
        <v>#NAME?</v>
      </c>
      <c r="U320" s="43" t="e" cm="1">
        <f t="array" aca="1" ref="U320" ca="1">IF(LEFT(_xlfn.SINGLE(_xll.BDP(U321, $E320)),1)="#", "-", _xll.BDP(U321, $E320))</f>
        <v>#NAME?</v>
      </c>
      <c r="V320" s="43" t="e" cm="1">
        <f t="array" aca="1" ref="V320" ca="1">IF(LEFT(_xlfn.SINGLE(_xll.BDP(V321, $E320)),1)="#", "-", _xll.BDP(V321, $E320))</f>
        <v>#NAME?</v>
      </c>
      <c r="W320" s="43" t="e" cm="1">
        <f t="array" aca="1" ref="W320" ca="1">IF(LEFT(_xlfn.SINGLE(_xll.BDP(W321, $E320)),1)="#", "-", _xll.BDP(W321, $E320))</f>
        <v>#NAME?</v>
      </c>
      <c r="X320" s="43" t="e" cm="1">
        <f t="array" aca="1" ref="X320" ca="1">IF(LEFT(_xlfn.SINGLE(_xll.BDP(X321, $E320)),1)="#", "-", _xll.BDP(X321, $E320))</f>
        <v>#NAME?</v>
      </c>
      <c r="Y320" s="43" t="e" cm="1">
        <f t="array" aca="1" ref="Y320" ca="1">IF(LEFT(_xlfn.SINGLE(_xll.BDP(Y321, $E320)),1)="#", "-", _xll.BDP(Y321, $E320))</f>
        <v>#NAME?</v>
      </c>
      <c r="Z320" s="43" t="e" cm="1">
        <f t="array" aca="1" ref="Z320" ca="1">IF(LEFT(_xlfn.SINGLE(_xll.BDP(Z321, $E320)),1)="#", "-", _xll.BDP(Z321, $E320))</f>
        <v>#NAME?</v>
      </c>
      <c r="AA320" s="43" t="e" cm="1">
        <f t="array" aca="1" ref="AA320" ca="1">IF(LEFT(_xlfn.SINGLE(_xll.BDP(AA321, $E320)),1)="#", "-", _xll.BDP(AA321, $E320))</f>
        <v>#NAME?</v>
      </c>
      <c r="AB320" s="43" t="e" cm="1">
        <f t="array" aca="1" ref="AB320" ca="1">IF(LEFT(_xlfn.SINGLE(_xll.BDP(AB321, $E320)),1)="#", "-", _xll.BDP(AB321, $E320))</f>
        <v>#NAME?</v>
      </c>
      <c r="AC320" s="43" t="e" cm="1">
        <f t="array" aca="1" ref="AC320" ca="1">IF(LEFT(_xlfn.SINGLE(_xll.BDP(AC321, $E320)),1)="#", "-", _xll.BDP(AC321, $E320))</f>
        <v>#NAME?</v>
      </c>
      <c r="AD320" s="43" t="e" cm="1">
        <f t="array" aca="1" ref="AD320" ca="1">IF(LEFT(_xlfn.SINGLE(_xll.BDP(AD321, $E320)),1)="#", "-", _xll.BDP(AD321, $E320))</f>
        <v>#NAME?</v>
      </c>
      <c r="AE320" s="43" t="e" cm="1">
        <f t="array" aca="1" ref="AE320" ca="1">IF(LEFT(_xlfn.SINGLE(_xll.BDP(AE321, $E320)),1)="#", "-", _xll.BDP(AE321, $E320))</f>
        <v>#NAME?</v>
      </c>
      <c r="AF320" s="43" t="e" cm="1">
        <f t="array" aca="1" ref="AF320" ca="1">IF(LEFT(_xlfn.SINGLE(_xll.BDP(AF321, $E320)),1)="#", "-", _xll.BDP(AF321, $E320))</f>
        <v>#NAME?</v>
      </c>
      <c r="AG320" s="43" t="e" cm="1">
        <f t="array" aca="1" ref="AG320" ca="1">IF(LEFT(_xlfn.SINGLE(_xll.BDP(AG321, $E320)),1)="#", "-", _xll.BDP(AG321, $E320))</f>
        <v>#NAME?</v>
      </c>
      <c r="AH320" s="43" t="e" cm="1">
        <f t="array" aca="1" ref="AH320" ca="1">IF(LEFT(_xlfn.SINGLE(_xll.BDP(AH321, $E320)),1)="#", "-", _xll.BDP(AH321, $E320))</f>
        <v>#NAME?</v>
      </c>
      <c r="AI320" s="43" t="e" cm="1">
        <f t="array" aca="1" ref="AI320" ca="1">IF(LEFT(_xlfn.SINGLE(_xll.BDP(AI321, $E320)),1)="#", "-", _xll.BDP(AI321, $E320))</f>
        <v>#NAME?</v>
      </c>
      <c r="AJ320" s="43" t="e" cm="1">
        <f t="array" aca="1" ref="AJ320" ca="1">IF(LEFT(_xlfn.SINGLE(_xll.BDP(AJ321, $E320)),1)="#", "-", _xll.BDP(AJ321, $E320))</f>
        <v>#NAME?</v>
      </c>
      <c r="AK320" s="43" t="e" cm="1">
        <f t="array" aca="1" ref="AK320" ca="1">IF(LEFT(_xlfn.SINGLE(_xll.BDP(AK321, $E320)),1)="#", "-", _xll.BDP(AK321, $E320))</f>
        <v>#NAME?</v>
      </c>
      <c r="AL320" s="43" t="e" cm="1">
        <f t="array" aca="1" ref="AL320" ca="1">IF(LEFT(_xlfn.SINGLE(_xll.BDP(AL321, $E320)),1)="#", "-", _xll.BDP(AL321, $E320))</f>
        <v>#NAME?</v>
      </c>
      <c r="AM320" s="43" t="e" cm="1">
        <f t="array" aca="1" ref="AM320" ca="1">IF(LEFT(_xlfn.SINGLE(_xll.BDP(AM321, $E320)),1)="#", "-", _xll.BDP(AM321, $E320))</f>
        <v>#NAME?</v>
      </c>
      <c r="AN320" s="43" t="e" cm="1">
        <f t="array" aca="1" ref="AN320" ca="1">IF(LEFT(_xlfn.SINGLE(_xll.BDP(AN321, $E320)),1)="#", "-", _xll.BDP(AN321, $E320))</f>
        <v>#NAME?</v>
      </c>
      <c r="AO320" s="43" t="e" cm="1">
        <f t="array" aca="1" ref="AO320" ca="1">IF(LEFT(_xlfn.SINGLE(_xll.BDP(AO321, $E320)),1)="#", "-", _xll.BDP(AO321, $E320))</f>
        <v>#NAME?</v>
      </c>
      <c r="AP320" s="43" t="e" cm="1">
        <f t="array" aca="1" ref="AP320" ca="1">IF(LEFT(_xlfn.SINGLE(_xll.BDP(AP321, $E320)),1)="#", "-", _xll.BDP(AP321, $E320))</f>
        <v>#NAME?</v>
      </c>
      <c r="AQ320" s="43" t="e" cm="1">
        <f t="array" aca="1" ref="AQ320" ca="1">IF(LEFT(_xlfn.SINGLE(_xll.BDP(AQ321, $E320)),1)="#", "-", _xll.BDP(AQ321, $E320))</f>
        <v>#NAME?</v>
      </c>
      <c r="AR320" s="43" t="e" cm="1">
        <f t="array" aca="1" ref="AR320" ca="1">IF(LEFT(_xlfn.SINGLE(_xll.BDP(AR321, $E320)),1)="#", "-", _xll.BDP(AR321, $E320))</f>
        <v>#NAME?</v>
      </c>
      <c r="AS320" s="43" t="e" cm="1">
        <f t="array" aca="1" ref="AS320" ca="1">IF(LEFT(_xlfn.SINGLE(_xll.BDP(AS321, $E320)),1)="#", "-", _xll.BDP(AS321, $E320))</f>
        <v>#NAME?</v>
      </c>
      <c r="AT320" s="43" t="e" cm="1">
        <f t="array" aca="1" ref="AT320" ca="1">IF(LEFT(_xlfn.SINGLE(_xll.BDP(AT321, $E320)),1)="#", "-", _xll.BDP(AT321, $E320))</f>
        <v>#NAME?</v>
      </c>
      <c r="AU320" s="43" t="e" cm="1">
        <f t="array" aca="1" ref="AU320" ca="1">IF(LEFT(_xlfn.SINGLE(_xll.BDP(AU321, $E320)),1)="#", "-", _xll.BDP(AU321, $E320))</f>
        <v>#NAME?</v>
      </c>
      <c r="AV320" s="43" t="e" cm="1">
        <f t="array" aca="1" ref="AV320" ca="1">IF(LEFT(_xlfn.SINGLE(_xll.BDP(AV321, $E320)),1)="#", "-", _xll.BDP(AV321, $E320))</f>
        <v>#NAME?</v>
      </c>
      <c r="AW320" s="43" t="e" cm="1">
        <f t="array" aca="1" ref="AW320" ca="1">IF(LEFT(_xlfn.SINGLE(_xll.BDP(AW321, $E320)),1)="#", "-", _xll.BDP(AW321, $E320))</f>
        <v>#NAME?</v>
      </c>
      <c r="AX320" s="43" t="e" cm="1">
        <f t="array" aca="1" ref="AX320" ca="1">IF(LEFT(_xlfn.SINGLE(_xll.BDP(AX321, $E320)),1)="#", "-", _xll.BDP(AX321, $E320))</f>
        <v>#NAME?</v>
      </c>
      <c r="AY320" s="43" t="e" cm="1">
        <f t="array" aca="1" ref="AY320" ca="1">IF(LEFT(_xlfn.SINGLE(_xll.BDP(AY321, $E320)),1)="#", "-", _xll.BDP(AY321, $E320))</f>
        <v>#NAME?</v>
      </c>
      <c r="AZ320" s="43" t="e" cm="1">
        <f t="array" aca="1" ref="AZ320" ca="1">IF(LEFT(_xlfn.SINGLE(_xll.BDP(AZ321, $E320)),1)="#", "-", _xll.BDP(AZ321, $E320))</f>
        <v>#NAME?</v>
      </c>
      <c r="BA320" s="45" t="e" cm="1">
        <f t="array" aca="1" ref="BA320" ca="1">IF(LEFT(_xlfn.SINGLE(_xll.BDP(BA321, $E320)),1)="#", "-", _xll.BDP(BA321, $E320))</f>
        <v>#NAME?</v>
      </c>
    </row>
    <row r="321" spans="2:53" ht="15" customHeight="1">
      <c r="B321" s="40"/>
      <c r="C321" s="145" t="str">
        <f>trans_getMessage("","Curve Tickers",,LANG_ID)</f>
        <v>Curve Tickers</v>
      </c>
      <c r="D321" s="146"/>
      <c r="E321" s="50" t="s">
        <v>46</v>
      </c>
      <c r="F321" s="42" t="e" cm="1">
        <f t="array" aca="1" ref="F321" ca="1">_xll.BDS(E316,E321,"Dir=H",)</f>
        <v>#NAME?</v>
      </c>
      <c r="G321" s="42"/>
      <c r="H321" s="42"/>
      <c r="I321" s="42"/>
      <c r="J321" s="42"/>
      <c r="K321" s="42"/>
      <c r="L321" s="42"/>
      <c r="M321" s="42"/>
      <c r="N321" s="42"/>
      <c r="O321" s="42"/>
      <c r="P321" s="42"/>
      <c r="Q321" s="42"/>
      <c r="R321" s="42"/>
      <c r="S321" s="42"/>
      <c r="T321" s="42"/>
      <c r="U321" s="42"/>
      <c r="V321" s="42"/>
      <c r="W321" s="42"/>
      <c r="X321" s="42"/>
      <c r="Y321" s="42"/>
      <c r="Z321" s="42"/>
      <c r="AA321" s="42"/>
      <c r="AB321" s="42"/>
      <c r="AC321" s="42"/>
      <c r="AD321" s="42"/>
      <c r="AE321" s="42"/>
      <c r="AF321" s="42"/>
      <c r="AG321" s="42"/>
      <c r="AH321" s="42"/>
      <c r="AI321" s="42"/>
      <c r="AJ321" s="42"/>
      <c r="AK321" s="42"/>
      <c r="AL321" s="42"/>
      <c r="AM321" s="42"/>
      <c r="AN321" s="42"/>
      <c r="AO321" s="42"/>
      <c r="AP321" s="42"/>
      <c r="AQ321" s="42"/>
      <c r="AR321" s="42"/>
      <c r="AS321" s="42"/>
      <c r="AT321" s="42"/>
      <c r="AU321" s="42"/>
      <c r="AV321" s="42"/>
      <c r="AW321" s="42"/>
      <c r="AX321" s="42"/>
      <c r="AY321" s="42"/>
      <c r="AZ321" s="42"/>
      <c r="BA321" s="44"/>
    </row>
    <row r="322" spans="2:53" ht="15" customHeight="1">
      <c r="C322" s="138" t="str">
        <f>trans_getMessage("","Rate",,LANG_ID)</f>
        <v>Rate</v>
      </c>
      <c r="D322" s="139"/>
      <c r="E322" s="51" t="s">
        <v>44</v>
      </c>
      <c r="F322" s="46" t="str" cm="1">
        <f t="array" aca="1" ref="F322" ca="1">IF(ISERROR(_xlfn.SINGLE(_xll.BDP(F321, $E322))*1), "-", _xll.BDP(F321, $E322))</f>
        <v>-</v>
      </c>
      <c r="G322" s="46" t="str" cm="1">
        <f t="array" aca="1" ref="G322" ca="1">IF(ISERROR(_xlfn.SINGLE(_xll.BDP(G321, $E322))*1), "-", _xll.BDP(G321, $E322))</f>
        <v>-</v>
      </c>
      <c r="H322" s="46" t="str" cm="1">
        <f t="array" aca="1" ref="H322" ca="1">IF(ISERROR(_xlfn.SINGLE(_xll.BDP(H321, $E322))*1), "-", _xll.BDP(H321, $E322))</f>
        <v>-</v>
      </c>
      <c r="I322" s="46" t="str" cm="1">
        <f t="array" aca="1" ref="I322" ca="1">IF(ISERROR(_xlfn.SINGLE(_xll.BDP(I321, $E322))*1), "-", _xll.BDP(I321, $E322))</f>
        <v>-</v>
      </c>
      <c r="J322" s="46" t="str" cm="1">
        <f t="array" aca="1" ref="J322" ca="1">IF(ISERROR(_xlfn.SINGLE(_xll.BDP(J321, $E322))*1), "-", _xll.BDP(J321, $E322))</f>
        <v>-</v>
      </c>
      <c r="K322" s="46" t="str" cm="1">
        <f t="array" aca="1" ref="K322" ca="1">IF(ISERROR(_xlfn.SINGLE(_xll.BDP(K321, $E322))*1), "-", _xll.BDP(K321, $E322))</f>
        <v>-</v>
      </c>
      <c r="L322" s="46" t="str" cm="1">
        <f t="array" aca="1" ref="L322" ca="1">IF(ISERROR(_xlfn.SINGLE(_xll.BDP(L321, $E322))*1), "-", _xll.BDP(L321, $E322))</f>
        <v>-</v>
      </c>
      <c r="M322" s="46" t="str" cm="1">
        <f t="array" aca="1" ref="M322" ca="1">IF(ISERROR(_xlfn.SINGLE(_xll.BDP(M321, $E322))*1), "-", _xll.BDP(M321, $E322))</f>
        <v>-</v>
      </c>
      <c r="N322" s="46" t="str" cm="1">
        <f t="array" aca="1" ref="N322" ca="1">IF(ISERROR(_xlfn.SINGLE(_xll.BDP(N321, $E322))*1), "-", _xll.BDP(N321, $E322))</f>
        <v>-</v>
      </c>
      <c r="O322" s="46" t="str" cm="1">
        <f t="array" aca="1" ref="O322" ca="1">IF(ISERROR(_xlfn.SINGLE(_xll.BDP(O321, $E322))*1), "-", _xll.BDP(O321, $E322))</f>
        <v>-</v>
      </c>
      <c r="P322" s="46" t="str" cm="1">
        <f t="array" aca="1" ref="P322" ca="1">IF(ISERROR(_xlfn.SINGLE(_xll.BDP(P321, $E322))*1), "-", _xll.BDP(P321, $E322))</f>
        <v>-</v>
      </c>
      <c r="Q322" s="46" t="str" cm="1">
        <f t="array" aca="1" ref="Q322" ca="1">IF(ISERROR(_xlfn.SINGLE(_xll.BDP(Q321, $E322))*1), "-", _xll.BDP(Q321, $E322))</f>
        <v>-</v>
      </c>
      <c r="R322" s="46" t="str" cm="1">
        <f t="array" aca="1" ref="R322" ca="1">IF(ISERROR(_xlfn.SINGLE(_xll.BDP(R321, $E322))*1), "-", _xll.BDP(R321, $E322))</f>
        <v>-</v>
      </c>
      <c r="S322" s="46" t="str" cm="1">
        <f t="array" aca="1" ref="S322" ca="1">IF(ISERROR(_xlfn.SINGLE(_xll.BDP(S321, $E322))*1), "-", _xll.BDP(S321, $E322))</f>
        <v>-</v>
      </c>
      <c r="T322" s="46" t="str" cm="1">
        <f t="array" aca="1" ref="T322" ca="1">IF(ISERROR(_xlfn.SINGLE(_xll.BDP(T321, $E322))*1), "-", _xll.BDP(T321, $E322))</f>
        <v>-</v>
      </c>
      <c r="U322" s="46" t="str" cm="1">
        <f t="array" aca="1" ref="U322" ca="1">IF(ISERROR(_xlfn.SINGLE(_xll.BDP(U321, $E322))*1), "-", _xll.BDP(U321, $E322))</f>
        <v>-</v>
      </c>
      <c r="V322" s="46" t="str" cm="1">
        <f t="array" aca="1" ref="V322" ca="1">IF(ISERROR(_xlfn.SINGLE(_xll.BDP(V321, $E322))*1), "-", _xll.BDP(V321, $E322))</f>
        <v>-</v>
      </c>
      <c r="W322" s="46" t="str" cm="1">
        <f t="array" aca="1" ref="W322" ca="1">IF(ISERROR(_xlfn.SINGLE(_xll.BDP(W321, $E322))*1), "-", _xll.BDP(W321, $E322))</f>
        <v>-</v>
      </c>
      <c r="X322" s="46" t="str" cm="1">
        <f t="array" aca="1" ref="X322" ca="1">IF(ISERROR(_xlfn.SINGLE(_xll.BDP(X321, $E322))*1), "-", _xll.BDP(X321, $E322))</f>
        <v>-</v>
      </c>
      <c r="Y322" s="46" t="str" cm="1">
        <f t="array" aca="1" ref="Y322" ca="1">IF(ISERROR(_xlfn.SINGLE(_xll.BDP(Y321, $E322))*1), "-", _xll.BDP(Y321, $E322))</f>
        <v>-</v>
      </c>
      <c r="Z322" s="46" t="str" cm="1">
        <f t="array" aca="1" ref="Z322" ca="1">IF(ISERROR(_xlfn.SINGLE(_xll.BDP(Z321, $E322))*1), "-", _xll.BDP(Z321, $E322))</f>
        <v>-</v>
      </c>
      <c r="AA322" s="46" t="str" cm="1">
        <f t="array" aca="1" ref="AA322" ca="1">IF(ISERROR(_xlfn.SINGLE(_xll.BDP(AA321, $E322))*1), "-", _xll.BDP(AA321, $E322))</f>
        <v>-</v>
      </c>
      <c r="AB322" s="46" t="str" cm="1">
        <f t="array" aca="1" ref="AB322" ca="1">IF(ISERROR(_xlfn.SINGLE(_xll.BDP(AB321, $E322))*1), "-", _xll.BDP(AB321, $E322))</f>
        <v>-</v>
      </c>
      <c r="AC322" s="46" t="str" cm="1">
        <f t="array" aca="1" ref="AC322" ca="1">IF(ISERROR(_xlfn.SINGLE(_xll.BDP(AC321, $E322))*1), "-", _xll.BDP(AC321, $E322))</f>
        <v>-</v>
      </c>
      <c r="AD322" s="46" t="str" cm="1">
        <f t="array" aca="1" ref="AD322" ca="1">IF(ISERROR(_xlfn.SINGLE(_xll.BDP(AD321, $E322))*1), "-", _xll.BDP(AD321, $E322))</f>
        <v>-</v>
      </c>
      <c r="AE322" s="46" t="str" cm="1">
        <f t="array" aca="1" ref="AE322" ca="1">IF(ISERROR(_xlfn.SINGLE(_xll.BDP(AE321, $E322))*1), "-", _xll.BDP(AE321, $E322))</f>
        <v>-</v>
      </c>
      <c r="AF322" s="46" t="str" cm="1">
        <f t="array" aca="1" ref="AF322" ca="1">IF(ISERROR(_xlfn.SINGLE(_xll.BDP(AF321, $E322))*1), "-", _xll.BDP(AF321, $E322))</f>
        <v>-</v>
      </c>
      <c r="AG322" s="46" t="str" cm="1">
        <f t="array" aca="1" ref="AG322" ca="1">IF(ISERROR(_xlfn.SINGLE(_xll.BDP(AG321, $E322))*1), "-", _xll.BDP(AG321, $E322))</f>
        <v>-</v>
      </c>
      <c r="AH322" s="46" t="str" cm="1">
        <f t="array" aca="1" ref="AH322" ca="1">IF(ISERROR(_xlfn.SINGLE(_xll.BDP(AH321, $E322))*1), "-", _xll.BDP(AH321, $E322))</f>
        <v>-</v>
      </c>
      <c r="AI322" s="46" t="str" cm="1">
        <f t="array" aca="1" ref="AI322" ca="1">IF(ISERROR(_xlfn.SINGLE(_xll.BDP(AI321, $E322))*1), "-", _xll.BDP(AI321, $E322))</f>
        <v>-</v>
      </c>
      <c r="AJ322" s="46" t="str" cm="1">
        <f t="array" aca="1" ref="AJ322" ca="1">IF(ISERROR(_xlfn.SINGLE(_xll.BDP(AJ321, $E322))*1), "-", _xll.BDP(AJ321, $E322))</f>
        <v>-</v>
      </c>
      <c r="AK322" s="46" t="str" cm="1">
        <f t="array" aca="1" ref="AK322" ca="1">IF(ISERROR(_xlfn.SINGLE(_xll.BDP(AK321, $E322))*1), "-", _xll.BDP(AK321, $E322))</f>
        <v>-</v>
      </c>
      <c r="AL322" s="46" t="str" cm="1">
        <f t="array" aca="1" ref="AL322" ca="1">IF(ISERROR(_xlfn.SINGLE(_xll.BDP(AL321, $E322))*1), "-", _xll.BDP(AL321, $E322))</f>
        <v>-</v>
      </c>
      <c r="AM322" s="46" t="str" cm="1">
        <f t="array" aca="1" ref="AM322" ca="1">IF(ISERROR(_xlfn.SINGLE(_xll.BDP(AM321, $E322))*1), "-", _xll.BDP(AM321, $E322))</f>
        <v>-</v>
      </c>
      <c r="AN322" s="46" t="str" cm="1">
        <f t="array" aca="1" ref="AN322" ca="1">IF(ISERROR(_xlfn.SINGLE(_xll.BDP(AN321, $E322))*1), "-", _xll.BDP(AN321, $E322))</f>
        <v>-</v>
      </c>
      <c r="AO322" s="46" t="str" cm="1">
        <f t="array" aca="1" ref="AO322" ca="1">IF(ISERROR(_xlfn.SINGLE(_xll.BDP(AO321, $E322))*1), "-", _xll.BDP(AO321, $E322))</f>
        <v>-</v>
      </c>
      <c r="AP322" s="46" t="str" cm="1">
        <f t="array" aca="1" ref="AP322" ca="1">IF(ISERROR(_xlfn.SINGLE(_xll.BDP(AP321, $E322))*1), "-", _xll.BDP(AP321, $E322))</f>
        <v>-</v>
      </c>
      <c r="AQ322" s="46" t="str" cm="1">
        <f t="array" aca="1" ref="AQ322" ca="1">IF(ISERROR(_xlfn.SINGLE(_xll.BDP(AQ321, $E322))*1), "-", _xll.BDP(AQ321, $E322))</f>
        <v>-</v>
      </c>
      <c r="AR322" s="46" t="str" cm="1">
        <f t="array" aca="1" ref="AR322" ca="1">IF(ISERROR(_xlfn.SINGLE(_xll.BDP(AR321, $E322))*1), "-", _xll.BDP(AR321, $E322))</f>
        <v>-</v>
      </c>
      <c r="AS322" s="46" t="str" cm="1">
        <f t="array" aca="1" ref="AS322" ca="1">IF(ISERROR(_xlfn.SINGLE(_xll.BDP(AS321, $E322))*1), "-", _xll.BDP(AS321, $E322))</f>
        <v>-</v>
      </c>
      <c r="AT322" s="46" t="str" cm="1">
        <f t="array" aca="1" ref="AT322" ca="1">IF(ISERROR(_xlfn.SINGLE(_xll.BDP(AT321, $E322))*1), "-", _xll.BDP(AT321, $E322))</f>
        <v>-</v>
      </c>
      <c r="AU322" s="46" t="str" cm="1">
        <f t="array" aca="1" ref="AU322" ca="1">IF(ISERROR(_xlfn.SINGLE(_xll.BDP(AU321, $E322))*1), "-", _xll.BDP(AU321, $E322))</f>
        <v>-</v>
      </c>
      <c r="AV322" s="46" t="str" cm="1">
        <f t="array" aca="1" ref="AV322" ca="1">IF(ISERROR(_xlfn.SINGLE(_xll.BDP(AV321, $E322))*1), "-", _xll.BDP(AV321, $E322))</f>
        <v>-</v>
      </c>
      <c r="AW322" s="46" t="str" cm="1">
        <f t="array" aca="1" ref="AW322" ca="1">IF(ISERROR(_xlfn.SINGLE(_xll.BDP(AW321, $E322))*1), "-", _xll.BDP(AW321, $E322))</f>
        <v>-</v>
      </c>
      <c r="AX322" s="46" t="str" cm="1">
        <f t="array" aca="1" ref="AX322" ca="1">IF(ISERROR(_xlfn.SINGLE(_xll.BDP(AX321, $E322))*1), "-", _xll.BDP(AX321, $E322))</f>
        <v>-</v>
      </c>
      <c r="AY322" s="46" t="str" cm="1">
        <f t="array" aca="1" ref="AY322" ca="1">IF(ISERROR(_xlfn.SINGLE(_xll.BDP(AY321, $E322))*1), "-", _xll.BDP(AY321, $E322))</f>
        <v>-</v>
      </c>
      <c r="AZ322" s="46" t="str" cm="1">
        <f t="array" aca="1" ref="AZ322" ca="1">IF(ISERROR(_xlfn.SINGLE(_xll.BDP(AZ321, $E322))*1), "-", _xll.BDP(AZ321, $E322))</f>
        <v>-</v>
      </c>
      <c r="BA322" s="47" t="str" cm="1">
        <f t="array" aca="1" ref="BA322" ca="1">IF(ISERROR(_xlfn.SINGLE(_xll.BDP(BA321, $E322))*1), "-", _xll.BDP(BA321, $E322))</f>
        <v>-</v>
      </c>
    </row>
    <row r="323" spans="2:53" ht="15" hidden="1" customHeight="1"/>
    <row r="324" spans="2:53" ht="5.15" customHeight="1"/>
    <row r="325" spans="2:53" ht="15" customHeight="1">
      <c r="B325" s="38" t="s">
        <v>86</v>
      </c>
      <c r="C325" s="140" t="str">
        <f>trans_getMessage("","Curve Number",,LANG_ID)</f>
        <v>Curve Number</v>
      </c>
      <c r="D325" s="141"/>
      <c r="E325" s="142">
        <f>VLOOKUP(B325, 'Currency-Curve List'!$C$9:$E$103, 2, FALSE)</f>
        <v>203</v>
      </c>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4"/>
    </row>
    <row r="326" spans="2:53" ht="15" customHeight="1">
      <c r="C326" s="145" t="str">
        <f>trans_getMessage("","Curve Index",,LANG_ID)</f>
        <v>Curve Index</v>
      </c>
      <c r="D326" s="146"/>
      <c r="E326" s="147" t="str">
        <f>VLOOKUP(B325, 'Currency-Curve List'!$C$9:$E$103, 3, FALSE)</f>
        <v>YCSW0203 Index</v>
      </c>
      <c r="F326" s="148"/>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9"/>
    </row>
    <row r="327" spans="2:53" ht="15" customHeight="1">
      <c r="C327" s="145" t="str">
        <f>trans_getMessage("","Curve Name",,LANG_ID)</f>
        <v>Curve Name</v>
      </c>
      <c r="D327" s="146"/>
      <c r="E327" s="150" t="e" cm="1">
        <f t="array" aca="1" ref="E327" ca="1">_xll.BDP(E326, "NAME")</f>
        <v>#NAME?</v>
      </c>
      <c r="F327" s="151"/>
      <c r="G327" s="151"/>
      <c r="H327" s="151"/>
      <c r="I327" s="151"/>
      <c r="J327" s="151"/>
      <c r="K327" s="151"/>
      <c r="L327" s="151"/>
      <c r="M327" s="151"/>
      <c r="N327" s="151"/>
      <c r="O327" s="151"/>
      <c r="P327" s="151"/>
      <c r="Q327" s="151"/>
      <c r="R327" s="151"/>
      <c r="S327" s="151"/>
      <c r="T327" s="151"/>
      <c r="U327" s="151"/>
      <c r="V327" s="151"/>
      <c r="W327" s="151"/>
      <c r="X327" s="151"/>
      <c r="Y327" s="151"/>
      <c r="Z327" s="151"/>
      <c r="AA327" s="151"/>
      <c r="AB327" s="151"/>
      <c r="AC327" s="151"/>
      <c r="AD327" s="151"/>
      <c r="AE327" s="151"/>
      <c r="AF327" s="151"/>
      <c r="AG327" s="151"/>
      <c r="AH327" s="151"/>
      <c r="AI327" s="151"/>
      <c r="AJ327" s="151"/>
      <c r="AK327" s="151"/>
      <c r="AL327" s="151"/>
      <c r="AM327" s="151"/>
      <c r="AN327" s="151"/>
      <c r="AO327" s="151"/>
      <c r="AP327" s="151"/>
      <c r="AQ327" s="151"/>
      <c r="AR327" s="151"/>
      <c r="AS327" s="151"/>
      <c r="AT327" s="151"/>
      <c r="AU327" s="151"/>
      <c r="AV327" s="151"/>
      <c r="AW327" s="151"/>
      <c r="AX327" s="151"/>
      <c r="AY327" s="151"/>
      <c r="AZ327" s="151"/>
      <c r="BA327" s="152"/>
    </row>
    <row r="328" spans="2:53" ht="15" customHeight="1">
      <c r="C328" s="145" t="str">
        <f>trans_getMessage("","Tenors",,LANG_ID)</f>
        <v>Tenors</v>
      </c>
      <c r="D328" s="146"/>
      <c r="E328" s="48" t="s">
        <v>50</v>
      </c>
      <c r="F328" s="42" t="e" cm="1">
        <f t="array" aca="1" ref="F328" ca="1">_xll.BDS(E326,E328,"Dir=H",)</f>
        <v>#NAME?</v>
      </c>
      <c r="G328" s="42"/>
      <c r="H328" s="42"/>
      <c r="I328" s="42"/>
      <c r="J328" s="42"/>
      <c r="K328" s="42"/>
      <c r="L328" s="42"/>
      <c r="M328" s="42"/>
      <c r="N328" s="42"/>
      <c r="O328" s="42"/>
      <c r="P328" s="42"/>
      <c r="Q328" s="42"/>
      <c r="R328" s="42"/>
      <c r="S328" s="42"/>
      <c r="T328" s="42"/>
      <c r="U328" s="42"/>
      <c r="V328" s="42"/>
      <c r="W328" s="42"/>
      <c r="X328" s="42"/>
      <c r="Y328" s="42"/>
      <c r="Z328" s="42"/>
      <c r="AA328" s="42"/>
      <c r="AB328" s="42"/>
      <c r="AC328" s="42"/>
      <c r="AD328" s="42"/>
      <c r="AE328" s="42"/>
      <c r="AF328" s="42"/>
      <c r="AG328" s="42"/>
      <c r="AH328" s="42"/>
      <c r="AI328" s="42"/>
      <c r="AJ328" s="42"/>
      <c r="AK328" s="42"/>
      <c r="AL328" s="42"/>
      <c r="AM328" s="42"/>
      <c r="AN328" s="42"/>
      <c r="AO328" s="42"/>
      <c r="AP328" s="42"/>
      <c r="AQ328" s="42"/>
      <c r="AR328" s="42"/>
      <c r="AS328" s="42"/>
      <c r="AT328" s="42"/>
      <c r="AU328" s="42"/>
      <c r="AV328" s="42"/>
      <c r="AW328" s="42"/>
      <c r="AX328" s="42"/>
      <c r="AY328" s="42"/>
      <c r="AZ328" s="42"/>
      <c r="BA328" s="44"/>
    </row>
    <row r="329" spans="2:53" ht="15" hidden="1" customHeight="1">
      <c r="C329" s="145" t="s">
        <v>2211</v>
      </c>
      <c r="D329" s="146"/>
      <c r="E329" s="48"/>
      <c r="F329" s="42" t="e">
        <f ca="1">IF(F328="","",IF(F328="12M","1Y",IF(F328="24M","2Y",F328)))</f>
        <v>#NAME?</v>
      </c>
      <c r="G329" s="42" t="str">
        <f t="shared" ref="G329" si="1411">IF(G328="","",IF(G328="12M","1Y",IF(G328="24M","2Y",G328)))</f>
        <v/>
      </c>
      <c r="H329" s="42" t="str">
        <f t="shared" ref="H329" si="1412">IF(H328="","",IF(H328="12M","1Y",IF(H328="24M","2Y",H328)))</f>
        <v/>
      </c>
      <c r="I329" s="42" t="str">
        <f t="shared" ref="I329" si="1413">IF(I328="","",IF(I328="12M","1Y",IF(I328="24M","2Y",I328)))</f>
        <v/>
      </c>
      <c r="J329" s="42" t="str">
        <f t="shared" ref="J329" si="1414">IF(J328="","",IF(J328="12M","1Y",IF(J328="24M","2Y",J328)))</f>
        <v/>
      </c>
      <c r="K329" s="42" t="str">
        <f t="shared" ref="K329" si="1415">IF(K328="","",IF(K328="12M","1Y",IF(K328="24M","2Y",K328)))</f>
        <v/>
      </c>
      <c r="L329" s="42" t="str">
        <f t="shared" ref="L329" si="1416">IF(L328="","",IF(L328="12M","1Y",IF(L328="24M","2Y",L328)))</f>
        <v/>
      </c>
      <c r="M329" s="42" t="str">
        <f t="shared" ref="M329" si="1417">IF(M328="","",IF(M328="12M","1Y",IF(M328="24M","2Y",M328)))</f>
        <v/>
      </c>
      <c r="N329" s="42" t="str">
        <f t="shared" ref="N329" si="1418">IF(N328="","",IF(N328="12M","1Y",IF(N328="24M","2Y",N328)))</f>
        <v/>
      </c>
      <c r="O329" s="42" t="str">
        <f t="shared" ref="O329" si="1419">IF(O328="","",IF(O328="12M","1Y",IF(O328="24M","2Y",O328)))</f>
        <v/>
      </c>
      <c r="P329" s="42" t="str">
        <f t="shared" ref="P329" si="1420">IF(P328="","",IF(P328="12M","1Y",IF(P328="24M","2Y",P328)))</f>
        <v/>
      </c>
      <c r="Q329" s="42" t="str">
        <f t="shared" ref="Q329" si="1421">IF(Q328="","",IF(Q328="12M","1Y",IF(Q328="24M","2Y",Q328)))</f>
        <v/>
      </c>
      <c r="R329" s="42" t="str">
        <f t="shared" ref="R329" si="1422">IF(R328="","",IF(R328="12M","1Y",IF(R328="24M","2Y",R328)))</f>
        <v/>
      </c>
      <c r="S329" s="42" t="str">
        <f t="shared" ref="S329" si="1423">IF(S328="","",IF(S328="12M","1Y",IF(S328="24M","2Y",S328)))</f>
        <v/>
      </c>
      <c r="T329" s="42" t="str">
        <f t="shared" ref="T329" si="1424">IF(T328="","",IF(T328="12M","1Y",IF(T328="24M","2Y",T328)))</f>
        <v/>
      </c>
      <c r="U329" s="42" t="str">
        <f t="shared" ref="U329" si="1425">IF(U328="","",IF(U328="12M","1Y",IF(U328="24M","2Y",U328)))</f>
        <v/>
      </c>
      <c r="V329" s="42" t="str">
        <f t="shared" ref="V329" si="1426">IF(V328="","",IF(V328="12M","1Y",IF(V328="24M","2Y",V328)))</f>
        <v/>
      </c>
      <c r="W329" s="42" t="str">
        <f t="shared" ref="W329" si="1427">IF(W328="","",IF(W328="12M","1Y",IF(W328="24M","2Y",W328)))</f>
        <v/>
      </c>
      <c r="X329" s="42" t="str">
        <f t="shared" ref="X329" si="1428">IF(X328="","",IF(X328="12M","1Y",IF(X328="24M","2Y",X328)))</f>
        <v/>
      </c>
      <c r="Y329" s="42" t="str">
        <f t="shared" ref="Y329" si="1429">IF(Y328="","",IF(Y328="12M","1Y",IF(Y328="24M","2Y",Y328)))</f>
        <v/>
      </c>
      <c r="Z329" s="42" t="str">
        <f t="shared" ref="Z329" si="1430">IF(Z328="","",IF(Z328="12M","1Y",IF(Z328="24M","2Y",Z328)))</f>
        <v/>
      </c>
      <c r="AA329" s="42" t="str">
        <f t="shared" ref="AA329" si="1431">IF(AA328="","",IF(AA328="12M","1Y",IF(AA328="24M","2Y",AA328)))</f>
        <v/>
      </c>
      <c r="AB329" s="42" t="str">
        <f t="shared" ref="AB329" si="1432">IF(AB328="","",IF(AB328="12M","1Y",IF(AB328="24M","2Y",AB328)))</f>
        <v/>
      </c>
      <c r="AC329" s="42" t="str">
        <f t="shared" ref="AC329" si="1433">IF(AC328="","",IF(AC328="12M","1Y",IF(AC328="24M","2Y",AC328)))</f>
        <v/>
      </c>
      <c r="AD329" s="42" t="str">
        <f t="shared" ref="AD329" si="1434">IF(AD328="","",IF(AD328="12M","1Y",IF(AD328="24M","2Y",AD328)))</f>
        <v/>
      </c>
      <c r="AE329" s="42" t="str">
        <f t="shared" ref="AE329" si="1435">IF(AE328="","",IF(AE328="12M","1Y",IF(AE328="24M","2Y",AE328)))</f>
        <v/>
      </c>
      <c r="AF329" s="42" t="str">
        <f t="shared" ref="AF329" si="1436">IF(AF328="","",IF(AF328="12M","1Y",IF(AF328="24M","2Y",AF328)))</f>
        <v/>
      </c>
      <c r="AG329" s="42" t="str">
        <f t="shared" ref="AG329" si="1437">IF(AG328="","",IF(AG328="12M","1Y",IF(AG328="24M","2Y",AG328)))</f>
        <v/>
      </c>
      <c r="AH329" s="42" t="str">
        <f t="shared" ref="AH329" si="1438">IF(AH328="","",IF(AH328="12M","1Y",IF(AH328="24M","2Y",AH328)))</f>
        <v/>
      </c>
      <c r="AI329" s="42" t="str">
        <f t="shared" ref="AI329" si="1439">IF(AI328="","",IF(AI328="12M","1Y",IF(AI328="24M","2Y",AI328)))</f>
        <v/>
      </c>
      <c r="AJ329" s="42" t="str">
        <f t="shared" ref="AJ329" si="1440">IF(AJ328="","",IF(AJ328="12M","1Y",IF(AJ328="24M","2Y",AJ328)))</f>
        <v/>
      </c>
      <c r="AK329" s="42" t="str">
        <f t="shared" ref="AK329" si="1441">IF(AK328="","",IF(AK328="12M","1Y",IF(AK328="24M","2Y",AK328)))</f>
        <v/>
      </c>
      <c r="AL329" s="42" t="str">
        <f t="shared" ref="AL329" si="1442">IF(AL328="","",IF(AL328="12M","1Y",IF(AL328="24M","2Y",AL328)))</f>
        <v/>
      </c>
      <c r="AM329" s="42" t="str">
        <f t="shared" ref="AM329" si="1443">IF(AM328="","",IF(AM328="12M","1Y",IF(AM328="24M","2Y",AM328)))</f>
        <v/>
      </c>
      <c r="AN329" s="42" t="str">
        <f t="shared" ref="AN329" si="1444">IF(AN328="","",IF(AN328="12M","1Y",IF(AN328="24M","2Y",AN328)))</f>
        <v/>
      </c>
      <c r="AO329" s="42" t="str">
        <f t="shared" ref="AO329" si="1445">IF(AO328="","",IF(AO328="12M","1Y",IF(AO328="24M","2Y",AO328)))</f>
        <v/>
      </c>
      <c r="AP329" s="42" t="str">
        <f t="shared" ref="AP329" si="1446">IF(AP328="","",IF(AP328="12M","1Y",IF(AP328="24M","2Y",AP328)))</f>
        <v/>
      </c>
      <c r="AQ329" s="42" t="str">
        <f t="shared" ref="AQ329" si="1447">IF(AQ328="","",IF(AQ328="12M","1Y",IF(AQ328="24M","2Y",AQ328)))</f>
        <v/>
      </c>
      <c r="AR329" s="42" t="str">
        <f t="shared" ref="AR329" si="1448">IF(AR328="","",IF(AR328="12M","1Y",IF(AR328="24M","2Y",AR328)))</f>
        <v/>
      </c>
      <c r="AS329" s="42" t="str">
        <f t="shared" ref="AS329" si="1449">IF(AS328="","",IF(AS328="12M","1Y",IF(AS328="24M","2Y",AS328)))</f>
        <v/>
      </c>
      <c r="AT329" s="42" t="str">
        <f t="shared" ref="AT329" si="1450">IF(AT328="","",IF(AT328="12M","1Y",IF(AT328="24M","2Y",AT328)))</f>
        <v/>
      </c>
      <c r="AU329" s="42" t="str">
        <f t="shared" ref="AU329" si="1451">IF(AU328="","",IF(AU328="12M","1Y",IF(AU328="24M","2Y",AU328)))</f>
        <v/>
      </c>
      <c r="AV329" s="42" t="str">
        <f t="shared" ref="AV329" si="1452">IF(AV328="","",IF(AV328="12M","1Y",IF(AV328="24M","2Y",AV328)))</f>
        <v/>
      </c>
      <c r="AW329" s="42" t="str">
        <f t="shared" ref="AW329" si="1453">IF(AW328="","",IF(AW328="12M","1Y",IF(AW328="24M","2Y",AW328)))</f>
        <v/>
      </c>
      <c r="AX329" s="42" t="str">
        <f t="shared" ref="AX329" si="1454">IF(AX328="","",IF(AX328="12M","1Y",IF(AX328="24M","2Y",AX328)))</f>
        <v/>
      </c>
      <c r="AY329" s="42" t="str">
        <f t="shared" ref="AY329" si="1455">IF(AY328="","",IF(AY328="12M","1Y",IF(AY328="24M","2Y",AY328)))</f>
        <v/>
      </c>
      <c r="AZ329" s="42" t="str">
        <f t="shared" ref="AZ329" si="1456">IF(AZ328="","",IF(AZ328="12M","1Y",IF(AZ328="24M","2Y",AZ328)))</f>
        <v/>
      </c>
      <c r="BA329" s="42" t="str">
        <f t="shared" ref="BA329" si="1457">IF(BA328="","",IF(BA328="12M","1Y",IF(BA328="24M","2Y",BA328)))</f>
        <v/>
      </c>
    </row>
    <row r="330" spans="2:53" s="41" customFormat="1" ht="15" customHeight="1">
      <c r="B330" s="7"/>
      <c r="C330" s="153" t="str">
        <f>trans_getMessage("","Name",,LANG_ID)</f>
        <v>Name</v>
      </c>
      <c r="D330" s="154"/>
      <c r="E330" s="49" t="s">
        <v>49</v>
      </c>
      <c r="F330" s="43" t="e" cm="1">
        <f t="array" aca="1" ref="F330" ca="1">IF(LEFT(_xlfn.SINGLE(_xll.BDP(F331, $E330)),1)="#", "-", _xll.BDP(F331, $E330))</f>
        <v>#NAME?</v>
      </c>
      <c r="G330" s="43" t="e" cm="1">
        <f t="array" aca="1" ref="G330" ca="1">IF(LEFT(_xlfn.SINGLE(_xll.BDP(G331, $E330)),1)="#", "-", _xll.BDP(G331, $E330))</f>
        <v>#NAME?</v>
      </c>
      <c r="H330" s="43" t="e" cm="1">
        <f t="array" aca="1" ref="H330" ca="1">IF(LEFT(_xlfn.SINGLE(_xll.BDP(H331, $E330)),1)="#", "-", _xll.BDP(H331, $E330))</f>
        <v>#NAME?</v>
      </c>
      <c r="I330" s="43" t="e" cm="1">
        <f t="array" aca="1" ref="I330" ca="1">IF(LEFT(_xlfn.SINGLE(_xll.BDP(I331, $E330)),1)="#", "-", _xll.BDP(I331, $E330))</f>
        <v>#NAME?</v>
      </c>
      <c r="J330" s="43" t="e" cm="1">
        <f t="array" aca="1" ref="J330" ca="1">IF(LEFT(_xlfn.SINGLE(_xll.BDP(J331, $E330)),1)="#", "-", _xll.BDP(J331, $E330))</f>
        <v>#NAME?</v>
      </c>
      <c r="K330" s="43" t="e" cm="1">
        <f t="array" aca="1" ref="K330" ca="1">IF(LEFT(_xlfn.SINGLE(_xll.BDP(K331, $E330)),1)="#", "-", _xll.BDP(K331, $E330))</f>
        <v>#NAME?</v>
      </c>
      <c r="L330" s="43" t="e" cm="1">
        <f t="array" aca="1" ref="L330" ca="1">IF(LEFT(_xlfn.SINGLE(_xll.BDP(L331, $E330)),1)="#", "-", _xll.BDP(L331, $E330))</f>
        <v>#NAME?</v>
      </c>
      <c r="M330" s="43" t="e" cm="1">
        <f t="array" aca="1" ref="M330" ca="1">IF(LEFT(_xlfn.SINGLE(_xll.BDP(M331, $E330)),1)="#", "-", _xll.BDP(M331, $E330))</f>
        <v>#NAME?</v>
      </c>
      <c r="N330" s="43" t="e" cm="1">
        <f t="array" aca="1" ref="N330" ca="1">IF(LEFT(_xlfn.SINGLE(_xll.BDP(N331, $E330)),1)="#", "-", _xll.BDP(N331, $E330))</f>
        <v>#NAME?</v>
      </c>
      <c r="O330" s="43" t="e" cm="1">
        <f t="array" aca="1" ref="O330" ca="1">IF(LEFT(_xlfn.SINGLE(_xll.BDP(O331, $E330)),1)="#", "-", _xll.BDP(O331, $E330))</f>
        <v>#NAME?</v>
      </c>
      <c r="P330" s="43" t="e" cm="1">
        <f t="array" aca="1" ref="P330" ca="1">IF(LEFT(_xlfn.SINGLE(_xll.BDP(P331, $E330)),1)="#", "-", _xll.BDP(P331, $E330))</f>
        <v>#NAME?</v>
      </c>
      <c r="Q330" s="43" t="e" cm="1">
        <f t="array" aca="1" ref="Q330" ca="1">IF(LEFT(_xlfn.SINGLE(_xll.BDP(Q331, $E330)),1)="#", "-", _xll.BDP(Q331, $E330))</f>
        <v>#NAME?</v>
      </c>
      <c r="R330" s="43" t="e" cm="1">
        <f t="array" aca="1" ref="R330" ca="1">IF(LEFT(_xlfn.SINGLE(_xll.BDP(R331, $E330)),1)="#", "-", _xll.BDP(R331, $E330))</f>
        <v>#NAME?</v>
      </c>
      <c r="S330" s="43" t="e" cm="1">
        <f t="array" aca="1" ref="S330" ca="1">IF(LEFT(_xlfn.SINGLE(_xll.BDP(S331, $E330)),1)="#", "-", _xll.BDP(S331, $E330))</f>
        <v>#NAME?</v>
      </c>
      <c r="T330" s="43" t="e" cm="1">
        <f t="array" aca="1" ref="T330" ca="1">IF(LEFT(_xlfn.SINGLE(_xll.BDP(T331, $E330)),1)="#", "-", _xll.BDP(T331, $E330))</f>
        <v>#NAME?</v>
      </c>
      <c r="U330" s="43" t="e" cm="1">
        <f t="array" aca="1" ref="U330" ca="1">IF(LEFT(_xlfn.SINGLE(_xll.BDP(U331, $E330)),1)="#", "-", _xll.BDP(U331, $E330))</f>
        <v>#NAME?</v>
      </c>
      <c r="V330" s="43" t="e" cm="1">
        <f t="array" aca="1" ref="V330" ca="1">IF(LEFT(_xlfn.SINGLE(_xll.BDP(V331, $E330)),1)="#", "-", _xll.BDP(V331, $E330))</f>
        <v>#NAME?</v>
      </c>
      <c r="W330" s="43" t="e" cm="1">
        <f t="array" aca="1" ref="W330" ca="1">IF(LEFT(_xlfn.SINGLE(_xll.BDP(W331, $E330)),1)="#", "-", _xll.BDP(W331, $E330))</f>
        <v>#NAME?</v>
      </c>
      <c r="X330" s="43" t="e" cm="1">
        <f t="array" aca="1" ref="X330" ca="1">IF(LEFT(_xlfn.SINGLE(_xll.BDP(X331, $E330)),1)="#", "-", _xll.BDP(X331, $E330))</f>
        <v>#NAME?</v>
      </c>
      <c r="Y330" s="43" t="e" cm="1">
        <f t="array" aca="1" ref="Y330" ca="1">IF(LEFT(_xlfn.SINGLE(_xll.BDP(Y331, $E330)),1)="#", "-", _xll.BDP(Y331, $E330))</f>
        <v>#NAME?</v>
      </c>
      <c r="Z330" s="43" t="e" cm="1">
        <f t="array" aca="1" ref="Z330" ca="1">IF(LEFT(_xlfn.SINGLE(_xll.BDP(Z331, $E330)),1)="#", "-", _xll.BDP(Z331, $E330))</f>
        <v>#NAME?</v>
      </c>
      <c r="AA330" s="43" t="e" cm="1">
        <f t="array" aca="1" ref="AA330" ca="1">IF(LEFT(_xlfn.SINGLE(_xll.BDP(AA331, $E330)),1)="#", "-", _xll.BDP(AA331, $E330))</f>
        <v>#NAME?</v>
      </c>
      <c r="AB330" s="43" t="e" cm="1">
        <f t="array" aca="1" ref="AB330" ca="1">IF(LEFT(_xlfn.SINGLE(_xll.BDP(AB331, $E330)),1)="#", "-", _xll.BDP(AB331, $E330))</f>
        <v>#NAME?</v>
      </c>
      <c r="AC330" s="43" t="e" cm="1">
        <f t="array" aca="1" ref="AC330" ca="1">IF(LEFT(_xlfn.SINGLE(_xll.BDP(AC331, $E330)),1)="#", "-", _xll.BDP(AC331, $E330))</f>
        <v>#NAME?</v>
      </c>
      <c r="AD330" s="43" t="e" cm="1">
        <f t="array" aca="1" ref="AD330" ca="1">IF(LEFT(_xlfn.SINGLE(_xll.BDP(AD331, $E330)),1)="#", "-", _xll.BDP(AD331, $E330))</f>
        <v>#NAME?</v>
      </c>
      <c r="AE330" s="43" t="e" cm="1">
        <f t="array" aca="1" ref="AE330" ca="1">IF(LEFT(_xlfn.SINGLE(_xll.BDP(AE331, $E330)),1)="#", "-", _xll.BDP(AE331, $E330))</f>
        <v>#NAME?</v>
      </c>
      <c r="AF330" s="43" t="e" cm="1">
        <f t="array" aca="1" ref="AF330" ca="1">IF(LEFT(_xlfn.SINGLE(_xll.BDP(AF331, $E330)),1)="#", "-", _xll.BDP(AF331, $E330))</f>
        <v>#NAME?</v>
      </c>
      <c r="AG330" s="43" t="e" cm="1">
        <f t="array" aca="1" ref="AG330" ca="1">IF(LEFT(_xlfn.SINGLE(_xll.BDP(AG331, $E330)),1)="#", "-", _xll.BDP(AG331, $E330))</f>
        <v>#NAME?</v>
      </c>
      <c r="AH330" s="43" t="e" cm="1">
        <f t="array" aca="1" ref="AH330" ca="1">IF(LEFT(_xlfn.SINGLE(_xll.BDP(AH331, $E330)),1)="#", "-", _xll.BDP(AH331, $E330))</f>
        <v>#NAME?</v>
      </c>
      <c r="AI330" s="43" t="e" cm="1">
        <f t="array" aca="1" ref="AI330" ca="1">IF(LEFT(_xlfn.SINGLE(_xll.BDP(AI331, $E330)),1)="#", "-", _xll.BDP(AI331, $E330))</f>
        <v>#NAME?</v>
      </c>
      <c r="AJ330" s="43" t="e" cm="1">
        <f t="array" aca="1" ref="AJ330" ca="1">IF(LEFT(_xlfn.SINGLE(_xll.BDP(AJ331, $E330)),1)="#", "-", _xll.BDP(AJ331, $E330))</f>
        <v>#NAME?</v>
      </c>
      <c r="AK330" s="43" t="e" cm="1">
        <f t="array" aca="1" ref="AK330" ca="1">IF(LEFT(_xlfn.SINGLE(_xll.BDP(AK331, $E330)),1)="#", "-", _xll.BDP(AK331, $E330))</f>
        <v>#NAME?</v>
      </c>
      <c r="AL330" s="43" t="e" cm="1">
        <f t="array" aca="1" ref="AL330" ca="1">IF(LEFT(_xlfn.SINGLE(_xll.BDP(AL331, $E330)),1)="#", "-", _xll.BDP(AL331, $E330))</f>
        <v>#NAME?</v>
      </c>
      <c r="AM330" s="43" t="e" cm="1">
        <f t="array" aca="1" ref="AM330" ca="1">IF(LEFT(_xlfn.SINGLE(_xll.BDP(AM331, $E330)),1)="#", "-", _xll.BDP(AM331, $E330))</f>
        <v>#NAME?</v>
      </c>
      <c r="AN330" s="43" t="e" cm="1">
        <f t="array" aca="1" ref="AN330" ca="1">IF(LEFT(_xlfn.SINGLE(_xll.BDP(AN331, $E330)),1)="#", "-", _xll.BDP(AN331, $E330))</f>
        <v>#NAME?</v>
      </c>
      <c r="AO330" s="43" t="e" cm="1">
        <f t="array" aca="1" ref="AO330" ca="1">IF(LEFT(_xlfn.SINGLE(_xll.BDP(AO331, $E330)),1)="#", "-", _xll.BDP(AO331, $E330))</f>
        <v>#NAME?</v>
      </c>
      <c r="AP330" s="43" t="e" cm="1">
        <f t="array" aca="1" ref="AP330" ca="1">IF(LEFT(_xlfn.SINGLE(_xll.BDP(AP331, $E330)),1)="#", "-", _xll.BDP(AP331, $E330))</f>
        <v>#NAME?</v>
      </c>
      <c r="AQ330" s="43" t="e" cm="1">
        <f t="array" aca="1" ref="AQ330" ca="1">IF(LEFT(_xlfn.SINGLE(_xll.BDP(AQ331, $E330)),1)="#", "-", _xll.BDP(AQ331, $E330))</f>
        <v>#NAME?</v>
      </c>
      <c r="AR330" s="43" t="e" cm="1">
        <f t="array" aca="1" ref="AR330" ca="1">IF(LEFT(_xlfn.SINGLE(_xll.BDP(AR331, $E330)),1)="#", "-", _xll.BDP(AR331, $E330))</f>
        <v>#NAME?</v>
      </c>
      <c r="AS330" s="43" t="e" cm="1">
        <f t="array" aca="1" ref="AS330" ca="1">IF(LEFT(_xlfn.SINGLE(_xll.BDP(AS331, $E330)),1)="#", "-", _xll.BDP(AS331, $E330))</f>
        <v>#NAME?</v>
      </c>
      <c r="AT330" s="43" t="e" cm="1">
        <f t="array" aca="1" ref="AT330" ca="1">IF(LEFT(_xlfn.SINGLE(_xll.BDP(AT331, $E330)),1)="#", "-", _xll.BDP(AT331, $E330))</f>
        <v>#NAME?</v>
      </c>
      <c r="AU330" s="43" t="e" cm="1">
        <f t="array" aca="1" ref="AU330" ca="1">IF(LEFT(_xlfn.SINGLE(_xll.BDP(AU331, $E330)),1)="#", "-", _xll.BDP(AU331, $E330))</f>
        <v>#NAME?</v>
      </c>
      <c r="AV330" s="43" t="e" cm="1">
        <f t="array" aca="1" ref="AV330" ca="1">IF(LEFT(_xlfn.SINGLE(_xll.BDP(AV331, $E330)),1)="#", "-", _xll.BDP(AV331, $E330))</f>
        <v>#NAME?</v>
      </c>
      <c r="AW330" s="43" t="e" cm="1">
        <f t="array" aca="1" ref="AW330" ca="1">IF(LEFT(_xlfn.SINGLE(_xll.BDP(AW331, $E330)),1)="#", "-", _xll.BDP(AW331, $E330))</f>
        <v>#NAME?</v>
      </c>
      <c r="AX330" s="43" t="e" cm="1">
        <f t="array" aca="1" ref="AX330" ca="1">IF(LEFT(_xlfn.SINGLE(_xll.BDP(AX331, $E330)),1)="#", "-", _xll.BDP(AX331, $E330))</f>
        <v>#NAME?</v>
      </c>
      <c r="AY330" s="43" t="e" cm="1">
        <f t="array" aca="1" ref="AY330" ca="1">IF(LEFT(_xlfn.SINGLE(_xll.BDP(AY331, $E330)),1)="#", "-", _xll.BDP(AY331, $E330))</f>
        <v>#NAME?</v>
      </c>
      <c r="AZ330" s="43" t="e" cm="1">
        <f t="array" aca="1" ref="AZ330" ca="1">IF(LEFT(_xlfn.SINGLE(_xll.BDP(AZ331, $E330)),1)="#", "-", _xll.BDP(AZ331, $E330))</f>
        <v>#NAME?</v>
      </c>
      <c r="BA330" s="45" t="e" cm="1">
        <f t="array" aca="1" ref="BA330" ca="1">IF(LEFT(_xlfn.SINGLE(_xll.BDP(BA331, $E330)),1)="#", "-", _xll.BDP(BA331, $E330))</f>
        <v>#NAME?</v>
      </c>
    </row>
    <row r="331" spans="2:53" ht="15" customHeight="1">
      <c r="B331" s="40"/>
      <c r="C331" s="145" t="str">
        <f>trans_getMessage("","Curve Tickers",,LANG_ID)</f>
        <v>Curve Tickers</v>
      </c>
      <c r="D331" s="146"/>
      <c r="E331" s="50" t="s">
        <v>46</v>
      </c>
      <c r="F331" s="42" t="e" cm="1">
        <f t="array" aca="1" ref="F331" ca="1">_xll.BDS(E326,E331,"Dir=H",)</f>
        <v>#NAME?</v>
      </c>
      <c r="G331" s="42"/>
      <c r="H331" s="42"/>
      <c r="I331" s="42"/>
      <c r="J331" s="42"/>
      <c r="K331" s="42"/>
      <c r="L331" s="42"/>
      <c r="M331" s="42"/>
      <c r="N331" s="42"/>
      <c r="O331" s="42"/>
      <c r="P331" s="42"/>
      <c r="Q331" s="42"/>
      <c r="R331" s="42"/>
      <c r="S331" s="42"/>
      <c r="T331" s="42"/>
      <c r="U331" s="42"/>
      <c r="V331" s="42"/>
      <c r="W331" s="42"/>
      <c r="X331" s="42"/>
      <c r="Y331" s="42"/>
      <c r="Z331" s="42"/>
      <c r="AA331" s="42"/>
      <c r="AB331" s="42"/>
      <c r="AC331" s="42"/>
      <c r="AD331" s="42"/>
      <c r="AE331" s="42"/>
      <c r="AF331" s="42"/>
      <c r="AG331" s="42"/>
      <c r="AH331" s="42"/>
      <c r="AI331" s="42"/>
      <c r="AJ331" s="42"/>
      <c r="AK331" s="42"/>
      <c r="AL331" s="42"/>
      <c r="AM331" s="42"/>
      <c r="AN331" s="42"/>
      <c r="AO331" s="42"/>
      <c r="AP331" s="42"/>
      <c r="AQ331" s="42"/>
      <c r="AR331" s="42"/>
      <c r="AS331" s="42"/>
      <c r="AT331" s="42"/>
      <c r="AU331" s="42"/>
      <c r="AV331" s="42"/>
      <c r="AW331" s="42"/>
      <c r="AX331" s="42"/>
      <c r="AY331" s="42"/>
      <c r="AZ331" s="42"/>
      <c r="BA331" s="44"/>
    </row>
    <row r="332" spans="2:53" ht="15" customHeight="1">
      <c r="C332" s="138" t="str">
        <f>trans_getMessage("","Rate",,LANG_ID)</f>
        <v>Rate</v>
      </c>
      <c r="D332" s="139"/>
      <c r="E332" s="51" t="s">
        <v>44</v>
      </c>
      <c r="F332" s="46" t="str" cm="1">
        <f t="array" aca="1" ref="F332" ca="1">IF(ISERROR(_xlfn.SINGLE(_xll.BDP(F331, $E332))*1), "-", _xll.BDP(F331, $E332))</f>
        <v>-</v>
      </c>
      <c r="G332" s="46" t="str" cm="1">
        <f t="array" aca="1" ref="G332" ca="1">IF(ISERROR(_xlfn.SINGLE(_xll.BDP(G331, $E332))*1), "-", _xll.BDP(G331, $E332))</f>
        <v>-</v>
      </c>
      <c r="H332" s="46" t="str" cm="1">
        <f t="array" aca="1" ref="H332" ca="1">IF(ISERROR(_xlfn.SINGLE(_xll.BDP(H331, $E332))*1), "-", _xll.BDP(H331, $E332))</f>
        <v>-</v>
      </c>
      <c r="I332" s="46" t="str" cm="1">
        <f t="array" aca="1" ref="I332" ca="1">IF(ISERROR(_xlfn.SINGLE(_xll.BDP(I331, $E332))*1), "-", _xll.BDP(I331, $E332))</f>
        <v>-</v>
      </c>
      <c r="J332" s="46" t="str" cm="1">
        <f t="array" aca="1" ref="J332" ca="1">IF(ISERROR(_xlfn.SINGLE(_xll.BDP(J331, $E332))*1), "-", _xll.BDP(J331, $E332))</f>
        <v>-</v>
      </c>
      <c r="K332" s="46" t="str" cm="1">
        <f t="array" aca="1" ref="K332" ca="1">IF(ISERROR(_xlfn.SINGLE(_xll.BDP(K331, $E332))*1), "-", _xll.BDP(K331, $E332))</f>
        <v>-</v>
      </c>
      <c r="L332" s="46" t="str" cm="1">
        <f t="array" aca="1" ref="L332" ca="1">IF(ISERROR(_xlfn.SINGLE(_xll.BDP(L331, $E332))*1), "-", _xll.BDP(L331, $E332))</f>
        <v>-</v>
      </c>
      <c r="M332" s="46" t="str" cm="1">
        <f t="array" aca="1" ref="M332" ca="1">IF(ISERROR(_xlfn.SINGLE(_xll.BDP(M331, $E332))*1), "-", _xll.BDP(M331, $E332))</f>
        <v>-</v>
      </c>
      <c r="N332" s="46" t="str" cm="1">
        <f t="array" aca="1" ref="N332" ca="1">IF(ISERROR(_xlfn.SINGLE(_xll.BDP(N331, $E332))*1), "-", _xll.BDP(N331, $E332))</f>
        <v>-</v>
      </c>
      <c r="O332" s="46" t="str" cm="1">
        <f t="array" aca="1" ref="O332" ca="1">IF(ISERROR(_xlfn.SINGLE(_xll.BDP(O331, $E332))*1), "-", _xll.BDP(O331, $E332))</f>
        <v>-</v>
      </c>
      <c r="P332" s="46" t="str" cm="1">
        <f t="array" aca="1" ref="P332" ca="1">IF(ISERROR(_xlfn.SINGLE(_xll.BDP(P331, $E332))*1), "-", _xll.BDP(P331, $E332))</f>
        <v>-</v>
      </c>
      <c r="Q332" s="46" t="str" cm="1">
        <f t="array" aca="1" ref="Q332" ca="1">IF(ISERROR(_xlfn.SINGLE(_xll.BDP(Q331, $E332))*1), "-", _xll.BDP(Q331, $E332))</f>
        <v>-</v>
      </c>
      <c r="R332" s="46" t="str" cm="1">
        <f t="array" aca="1" ref="R332" ca="1">IF(ISERROR(_xlfn.SINGLE(_xll.BDP(R331, $E332))*1), "-", _xll.BDP(R331, $E332))</f>
        <v>-</v>
      </c>
      <c r="S332" s="46" t="str" cm="1">
        <f t="array" aca="1" ref="S332" ca="1">IF(ISERROR(_xlfn.SINGLE(_xll.BDP(S331, $E332))*1), "-", _xll.BDP(S331, $E332))</f>
        <v>-</v>
      </c>
      <c r="T332" s="46" t="str" cm="1">
        <f t="array" aca="1" ref="T332" ca="1">IF(ISERROR(_xlfn.SINGLE(_xll.BDP(T331, $E332))*1), "-", _xll.BDP(T331, $E332))</f>
        <v>-</v>
      </c>
      <c r="U332" s="46" t="str" cm="1">
        <f t="array" aca="1" ref="U332" ca="1">IF(ISERROR(_xlfn.SINGLE(_xll.BDP(U331, $E332))*1), "-", _xll.BDP(U331, $E332))</f>
        <v>-</v>
      </c>
      <c r="V332" s="46" t="str" cm="1">
        <f t="array" aca="1" ref="V332" ca="1">IF(ISERROR(_xlfn.SINGLE(_xll.BDP(V331, $E332))*1), "-", _xll.BDP(V331, $E332))</f>
        <v>-</v>
      </c>
      <c r="W332" s="46" t="str" cm="1">
        <f t="array" aca="1" ref="W332" ca="1">IF(ISERROR(_xlfn.SINGLE(_xll.BDP(W331, $E332))*1), "-", _xll.BDP(W331, $E332))</f>
        <v>-</v>
      </c>
      <c r="X332" s="46" t="str" cm="1">
        <f t="array" aca="1" ref="X332" ca="1">IF(ISERROR(_xlfn.SINGLE(_xll.BDP(X331, $E332))*1), "-", _xll.BDP(X331, $E332))</f>
        <v>-</v>
      </c>
      <c r="Y332" s="46" t="str" cm="1">
        <f t="array" aca="1" ref="Y332" ca="1">IF(ISERROR(_xlfn.SINGLE(_xll.BDP(Y331, $E332))*1), "-", _xll.BDP(Y331, $E332))</f>
        <v>-</v>
      </c>
      <c r="Z332" s="46" t="str" cm="1">
        <f t="array" aca="1" ref="Z332" ca="1">IF(ISERROR(_xlfn.SINGLE(_xll.BDP(Z331, $E332))*1), "-", _xll.BDP(Z331, $E332))</f>
        <v>-</v>
      </c>
      <c r="AA332" s="46" t="str" cm="1">
        <f t="array" aca="1" ref="AA332" ca="1">IF(ISERROR(_xlfn.SINGLE(_xll.BDP(AA331, $E332))*1), "-", _xll.BDP(AA331, $E332))</f>
        <v>-</v>
      </c>
      <c r="AB332" s="46" t="str" cm="1">
        <f t="array" aca="1" ref="AB332" ca="1">IF(ISERROR(_xlfn.SINGLE(_xll.BDP(AB331, $E332))*1), "-", _xll.BDP(AB331, $E332))</f>
        <v>-</v>
      </c>
      <c r="AC332" s="46" t="str" cm="1">
        <f t="array" aca="1" ref="AC332" ca="1">IF(ISERROR(_xlfn.SINGLE(_xll.BDP(AC331, $E332))*1), "-", _xll.BDP(AC331, $E332))</f>
        <v>-</v>
      </c>
      <c r="AD332" s="46" t="str" cm="1">
        <f t="array" aca="1" ref="AD332" ca="1">IF(ISERROR(_xlfn.SINGLE(_xll.BDP(AD331, $E332))*1), "-", _xll.BDP(AD331, $E332))</f>
        <v>-</v>
      </c>
      <c r="AE332" s="46" t="str" cm="1">
        <f t="array" aca="1" ref="AE332" ca="1">IF(ISERROR(_xlfn.SINGLE(_xll.BDP(AE331, $E332))*1), "-", _xll.BDP(AE331, $E332))</f>
        <v>-</v>
      </c>
      <c r="AF332" s="46" t="str" cm="1">
        <f t="array" aca="1" ref="AF332" ca="1">IF(ISERROR(_xlfn.SINGLE(_xll.BDP(AF331, $E332))*1), "-", _xll.BDP(AF331, $E332))</f>
        <v>-</v>
      </c>
      <c r="AG332" s="46" t="str" cm="1">
        <f t="array" aca="1" ref="AG332" ca="1">IF(ISERROR(_xlfn.SINGLE(_xll.BDP(AG331, $E332))*1), "-", _xll.BDP(AG331, $E332))</f>
        <v>-</v>
      </c>
      <c r="AH332" s="46" t="str" cm="1">
        <f t="array" aca="1" ref="AH332" ca="1">IF(ISERROR(_xlfn.SINGLE(_xll.BDP(AH331, $E332))*1), "-", _xll.BDP(AH331, $E332))</f>
        <v>-</v>
      </c>
      <c r="AI332" s="46" t="str" cm="1">
        <f t="array" aca="1" ref="AI332" ca="1">IF(ISERROR(_xlfn.SINGLE(_xll.BDP(AI331, $E332))*1), "-", _xll.BDP(AI331, $E332))</f>
        <v>-</v>
      </c>
      <c r="AJ332" s="46" t="str" cm="1">
        <f t="array" aca="1" ref="AJ332" ca="1">IF(ISERROR(_xlfn.SINGLE(_xll.BDP(AJ331, $E332))*1), "-", _xll.BDP(AJ331, $E332))</f>
        <v>-</v>
      </c>
      <c r="AK332" s="46" t="str" cm="1">
        <f t="array" aca="1" ref="AK332" ca="1">IF(ISERROR(_xlfn.SINGLE(_xll.BDP(AK331, $E332))*1), "-", _xll.BDP(AK331, $E332))</f>
        <v>-</v>
      </c>
      <c r="AL332" s="46" t="str" cm="1">
        <f t="array" aca="1" ref="AL332" ca="1">IF(ISERROR(_xlfn.SINGLE(_xll.BDP(AL331, $E332))*1), "-", _xll.BDP(AL331, $E332))</f>
        <v>-</v>
      </c>
      <c r="AM332" s="46" t="str" cm="1">
        <f t="array" aca="1" ref="AM332" ca="1">IF(ISERROR(_xlfn.SINGLE(_xll.BDP(AM331, $E332))*1), "-", _xll.BDP(AM331, $E332))</f>
        <v>-</v>
      </c>
      <c r="AN332" s="46" t="str" cm="1">
        <f t="array" aca="1" ref="AN332" ca="1">IF(ISERROR(_xlfn.SINGLE(_xll.BDP(AN331, $E332))*1), "-", _xll.BDP(AN331, $E332))</f>
        <v>-</v>
      </c>
      <c r="AO332" s="46" t="str" cm="1">
        <f t="array" aca="1" ref="AO332" ca="1">IF(ISERROR(_xlfn.SINGLE(_xll.BDP(AO331, $E332))*1), "-", _xll.BDP(AO331, $E332))</f>
        <v>-</v>
      </c>
      <c r="AP332" s="46" t="str" cm="1">
        <f t="array" aca="1" ref="AP332" ca="1">IF(ISERROR(_xlfn.SINGLE(_xll.BDP(AP331, $E332))*1), "-", _xll.BDP(AP331, $E332))</f>
        <v>-</v>
      </c>
      <c r="AQ332" s="46" t="str" cm="1">
        <f t="array" aca="1" ref="AQ332" ca="1">IF(ISERROR(_xlfn.SINGLE(_xll.BDP(AQ331, $E332))*1), "-", _xll.BDP(AQ331, $E332))</f>
        <v>-</v>
      </c>
      <c r="AR332" s="46" t="str" cm="1">
        <f t="array" aca="1" ref="AR332" ca="1">IF(ISERROR(_xlfn.SINGLE(_xll.BDP(AR331, $E332))*1), "-", _xll.BDP(AR331, $E332))</f>
        <v>-</v>
      </c>
      <c r="AS332" s="46" t="str" cm="1">
        <f t="array" aca="1" ref="AS332" ca="1">IF(ISERROR(_xlfn.SINGLE(_xll.BDP(AS331, $E332))*1), "-", _xll.BDP(AS331, $E332))</f>
        <v>-</v>
      </c>
      <c r="AT332" s="46" t="str" cm="1">
        <f t="array" aca="1" ref="AT332" ca="1">IF(ISERROR(_xlfn.SINGLE(_xll.BDP(AT331, $E332))*1), "-", _xll.BDP(AT331, $E332))</f>
        <v>-</v>
      </c>
      <c r="AU332" s="46" t="str" cm="1">
        <f t="array" aca="1" ref="AU332" ca="1">IF(ISERROR(_xlfn.SINGLE(_xll.BDP(AU331, $E332))*1), "-", _xll.BDP(AU331, $E332))</f>
        <v>-</v>
      </c>
      <c r="AV332" s="46" t="str" cm="1">
        <f t="array" aca="1" ref="AV332" ca="1">IF(ISERROR(_xlfn.SINGLE(_xll.BDP(AV331, $E332))*1), "-", _xll.BDP(AV331, $E332))</f>
        <v>-</v>
      </c>
      <c r="AW332" s="46" t="str" cm="1">
        <f t="array" aca="1" ref="AW332" ca="1">IF(ISERROR(_xlfn.SINGLE(_xll.BDP(AW331, $E332))*1), "-", _xll.BDP(AW331, $E332))</f>
        <v>-</v>
      </c>
      <c r="AX332" s="46" t="str" cm="1">
        <f t="array" aca="1" ref="AX332" ca="1">IF(ISERROR(_xlfn.SINGLE(_xll.BDP(AX331, $E332))*1), "-", _xll.BDP(AX331, $E332))</f>
        <v>-</v>
      </c>
      <c r="AY332" s="46" t="str" cm="1">
        <f t="array" aca="1" ref="AY332" ca="1">IF(ISERROR(_xlfn.SINGLE(_xll.BDP(AY331, $E332))*1), "-", _xll.BDP(AY331, $E332))</f>
        <v>-</v>
      </c>
      <c r="AZ332" s="46" t="str" cm="1">
        <f t="array" aca="1" ref="AZ332" ca="1">IF(ISERROR(_xlfn.SINGLE(_xll.BDP(AZ331, $E332))*1), "-", _xll.BDP(AZ331, $E332))</f>
        <v>-</v>
      </c>
      <c r="BA332" s="47" t="str" cm="1">
        <f t="array" aca="1" ref="BA332" ca="1">IF(ISERROR(_xlfn.SINGLE(_xll.BDP(BA331, $E332))*1), "-", _xll.BDP(BA331, $E332))</f>
        <v>-</v>
      </c>
    </row>
    <row r="333" spans="2:53" ht="15" hidden="1" customHeight="1"/>
    <row r="334" spans="2:53" ht="5.15" customHeight="1"/>
    <row r="335" spans="2:53" ht="15" customHeight="1">
      <c r="B335" s="38" t="s">
        <v>35</v>
      </c>
      <c r="C335" s="140" t="str">
        <f>trans_getMessage("","Curve Number",,LANG_ID)</f>
        <v>Curve Number</v>
      </c>
      <c r="D335" s="141"/>
      <c r="E335" s="142">
        <f>VLOOKUP(B335, 'Currency-Curve List'!$C$9:$E$103, 2, FALSE)</f>
        <v>490</v>
      </c>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4"/>
    </row>
    <row r="336" spans="2:53" ht="15" customHeight="1">
      <c r="C336" s="145" t="str">
        <f>trans_getMessage("","Curve Index",,LANG_ID)</f>
        <v>Curve Index</v>
      </c>
      <c r="D336" s="146"/>
      <c r="E336" s="147" t="str">
        <f>VLOOKUP(B335, 'Currency-Curve List'!$C$9:$E$103, 3, FALSE)</f>
        <v>YCSW0490 Index</v>
      </c>
      <c r="F336" s="148"/>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9"/>
    </row>
    <row r="337" spans="2:53" ht="15" customHeight="1">
      <c r="C337" s="145" t="str">
        <f>trans_getMessage("","Curve Name",,LANG_ID)</f>
        <v>Curve Name</v>
      </c>
      <c r="D337" s="146"/>
      <c r="E337" s="150" t="e" cm="1">
        <f t="array" aca="1" ref="E337" ca="1">_xll.BDP(E336, "NAME")</f>
        <v>#NAME?</v>
      </c>
      <c r="F337" s="151"/>
      <c r="G337" s="151"/>
      <c r="H337" s="151"/>
      <c r="I337" s="151"/>
      <c r="J337" s="151"/>
      <c r="K337" s="151"/>
      <c r="L337" s="151"/>
      <c r="M337" s="151"/>
      <c r="N337" s="151"/>
      <c r="O337" s="151"/>
      <c r="P337" s="151"/>
      <c r="Q337" s="151"/>
      <c r="R337" s="151"/>
      <c r="S337" s="151"/>
      <c r="T337" s="151"/>
      <c r="U337" s="151"/>
      <c r="V337" s="151"/>
      <c r="W337" s="151"/>
      <c r="X337" s="151"/>
      <c r="Y337" s="151"/>
      <c r="Z337" s="151"/>
      <c r="AA337" s="151"/>
      <c r="AB337" s="151"/>
      <c r="AC337" s="151"/>
      <c r="AD337" s="151"/>
      <c r="AE337" s="151"/>
      <c r="AF337" s="151"/>
      <c r="AG337" s="151"/>
      <c r="AH337" s="151"/>
      <c r="AI337" s="151"/>
      <c r="AJ337" s="151"/>
      <c r="AK337" s="151"/>
      <c r="AL337" s="151"/>
      <c r="AM337" s="151"/>
      <c r="AN337" s="151"/>
      <c r="AO337" s="151"/>
      <c r="AP337" s="151"/>
      <c r="AQ337" s="151"/>
      <c r="AR337" s="151"/>
      <c r="AS337" s="151"/>
      <c r="AT337" s="151"/>
      <c r="AU337" s="151"/>
      <c r="AV337" s="151"/>
      <c r="AW337" s="151"/>
      <c r="AX337" s="151"/>
      <c r="AY337" s="151"/>
      <c r="AZ337" s="151"/>
      <c r="BA337" s="152"/>
    </row>
    <row r="338" spans="2:53" ht="15" customHeight="1">
      <c r="C338" s="145" t="str">
        <f>trans_getMessage("","Tenors",,LANG_ID)</f>
        <v>Tenors</v>
      </c>
      <c r="D338" s="146"/>
      <c r="E338" s="48" t="s">
        <v>50</v>
      </c>
      <c r="F338" s="42" t="e" cm="1">
        <f t="array" aca="1" ref="F338" ca="1">_xll.BDS(E336,E338,"Dir=H",)</f>
        <v>#NAME?</v>
      </c>
      <c r="G338" s="42"/>
      <c r="H338" s="42"/>
      <c r="I338" s="42"/>
      <c r="J338" s="42"/>
      <c r="K338" s="42"/>
      <c r="L338" s="42"/>
      <c r="M338" s="42"/>
      <c r="N338" s="42"/>
      <c r="O338" s="42"/>
      <c r="P338" s="42"/>
      <c r="Q338" s="42"/>
      <c r="R338" s="42"/>
      <c r="S338" s="42"/>
      <c r="T338" s="42"/>
      <c r="U338" s="42"/>
      <c r="V338" s="42"/>
      <c r="W338" s="42"/>
      <c r="X338" s="42"/>
      <c r="Y338" s="42"/>
      <c r="Z338" s="42"/>
      <c r="AA338" s="42"/>
      <c r="AB338" s="42"/>
      <c r="AC338" s="42"/>
      <c r="AD338" s="42"/>
      <c r="AE338" s="42"/>
      <c r="AF338" s="42"/>
      <c r="AG338" s="42"/>
      <c r="AH338" s="42"/>
      <c r="AI338" s="42"/>
      <c r="AJ338" s="42"/>
      <c r="AK338" s="42"/>
      <c r="AL338" s="42"/>
      <c r="AM338" s="42"/>
      <c r="AN338" s="42"/>
      <c r="AO338" s="42"/>
      <c r="AP338" s="42"/>
      <c r="AQ338" s="42"/>
      <c r="AR338" s="42"/>
      <c r="AS338" s="42"/>
      <c r="AT338" s="42"/>
      <c r="AU338" s="42"/>
      <c r="AV338" s="42"/>
      <c r="AW338" s="42"/>
      <c r="AX338" s="42"/>
      <c r="AY338" s="42"/>
      <c r="AZ338" s="42"/>
      <c r="BA338" s="44"/>
    </row>
    <row r="339" spans="2:53" ht="15" hidden="1" customHeight="1">
      <c r="C339" s="145" t="s">
        <v>2211</v>
      </c>
      <c r="D339" s="146"/>
      <c r="E339" s="48"/>
      <c r="F339" s="42" t="e">
        <f ca="1">IF(F338="","",IF(F338="12M","1Y",IF(F338="24M","2Y",F338)))</f>
        <v>#NAME?</v>
      </c>
      <c r="G339" s="42" t="str">
        <f t="shared" ref="G339" si="1458">IF(G338="","",IF(G338="12M","1Y",IF(G338="24M","2Y",G338)))</f>
        <v/>
      </c>
      <c r="H339" s="42" t="str">
        <f t="shared" ref="H339" si="1459">IF(H338="","",IF(H338="12M","1Y",IF(H338="24M","2Y",H338)))</f>
        <v/>
      </c>
      <c r="I339" s="42" t="str">
        <f t="shared" ref="I339" si="1460">IF(I338="","",IF(I338="12M","1Y",IF(I338="24M","2Y",I338)))</f>
        <v/>
      </c>
      <c r="J339" s="42" t="str">
        <f t="shared" ref="J339" si="1461">IF(J338="","",IF(J338="12M","1Y",IF(J338="24M","2Y",J338)))</f>
        <v/>
      </c>
      <c r="K339" s="42" t="str">
        <f t="shared" ref="K339" si="1462">IF(K338="","",IF(K338="12M","1Y",IF(K338="24M","2Y",K338)))</f>
        <v/>
      </c>
      <c r="L339" s="42" t="str">
        <f t="shared" ref="L339" si="1463">IF(L338="","",IF(L338="12M","1Y",IF(L338="24M","2Y",L338)))</f>
        <v/>
      </c>
      <c r="M339" s="42" t="str">
        <f t="shared" ref="M339" si="1464">IF(M338="","",IF(M338="12M","1Y",IF(M338="24M","2Y",M338)))</f>
        <v/>
      </c>
      <c r="N339" s="42" t="str">
        <f t="shared" ref="N339" si="1465">IF(N338="","",IF(N338="12M","1Y",IF(N338="24M","2Y",N338)))</f>
        <v/>
      </c>
      <c r="O339" s="42" t="str">
        <f t="shared" ref="O339" si="1466">IF(O338="","",IF(O338="12M","1Y",IF(O338="24M","2Y",O338)))</f>
        <v/>
      </c>
      <c r="P339" s="42" t="str">
        <f t="shared" ref="P339" si="1467">IF(P338="","",IF(P338="12M","1Y",IF(P338="24M","2Y",P338)))</f>
        <v/>
      </c>
      <c r="Q339" s="42" t="str">
        <f t="shared" ref="Q339" si="1468">IF(Q338="","",IF(Q338="12M","1Y",IF(Q338="24M","2Y",Q338)))</f>
        <v/>
      </c>
      <c r="R339" s="42" t="str">
        <f t="shared" ref="R339" si="1469">IF(R338="","",IF(R338="12M","1Y",IF(R338="24M","2Y",R338)))</f>
        <v/>
      </c>
      <c r="S339" s="42" t="str">
        <f t="shared" ref="S339" si="1470">IF(S338="","",IF(S338="12M","1Y",IF(S338="24M","2Y",S338)))</f>
        <v/>
      </c>
      <c r="T339" s="42" t="str">
        <f t="shared" ref="T339" si="1471">IF(T338="","",IF(T338="12M","1Y",IF(T338="24M","2Y",T338)))</f>
        <v/>
      </c>
      <c r="U339" s="42" t="str">
        <f t="shared" ref="U339" si="1472">IF(U338="","",IF(U338="12M","1Y",IF(U338="24M","2Y",U338)))</f>
        <v/>
      </c>
      <c r="V339" s="42" t="str">
        <f t="shared" ref="V339" si="1473">IF(V338="","",IF(V338="12M","1Y",IF(V338="24M","2Y",V338)))</f>
        <v/>
      </c>
      <c r="W339" s="42" t="str">
        <f t="shared" ref="W339" si="1474">IF(W338="","",IF(W338="12M","1Y",IF(W338="24M","2Y",W338)))</f>
        <v/>
      </c>
      <c r="X339" s="42" t="str">
        <f t="shared" ref="X339" si="1475">IF(X338="","",IF(X338="12M","1Y",IF(X338="24M","2Y",X338)))</f>
        <v/>
      </c>
      <c r="Y339" s="42" t="str">
        <f t="shared" ref="Y339" si="1476">IF(Y338="","",IF(Y338="12M","1Y",IF(Y338="24M","2Y",Y338)))</f>
        <v/>
      </c>
      <c r="Z339" s="42" t="str">
        <f t="shared" ref="Z339" si="1477">IF(Z338="","",IF(Z338="12M","1Y",IF(Z338="24M","2Y",Z338)))</f>
        <v/>
      </c>
      <c r="AA339" s="42" t="str">
        <f t="shared" ref="AA339" si="1478">IF(AA338="","",IF(AA338="12M","1Y",IF(AA338="24M","2Y",AA338)))</f>
        <v/>
      </c>
      <c r="AB339" s="42" t="str">
        <f t="shared" ref="AB339" si="1479">IF(AB338="","",IF(AB338="12M","1Y",IF(AB338="24M","2Y",AB338)))</f>
        <v/>
      </c>
      <c r="AC339" s="42" t="str">
        <f t="shared" ref="AC339" si="1480">IF(AC338="","",IF(AC338="12M","1Y",IF(AC338="24M","2Y",AC338)))</f>
        <v/>
      </c>
      <c r="AD339" s="42" t="str">
        <f t="shared" ref="AD339" si="1481">IF(AD338="","",IF(AD338="12M","1Y",IF(AD338="24M","2Y",AD338)))</f>
        <v/>
      </c>
      <c r="AE339" s="42" t="str">
        <f t="shared" ref="AE339" si="1482">IF(AE338="","",IF(AE338="12M","1Y",IF(AE338="24M","2Y",AE338)))</f>
        <v/>
      </c>
      <c r="AF339" s="42" t="str">
        <f t="shared" ref="AF339" si="1483">IF(AF338="","",IF(AF338="12M","1Y",IF(AF338="24M","2Y",AF338)))</f>
        <v/>
      </c>
      <c r="AG339" s="42" t="str">
        <f t="shared" ref="AG339" si="1484">IF(AG338="","",IF(AG338="12M","1Y",IF(AG338="24M","2Y",AG338)))</f>
        <v/>
      </c>
      <c r="AH339" s="42" t="str">
        <f t="shared" ref="AH339" si="1485">IF(AH338="","",IF(AH338="12M","1Y",IF(AH338="24M","2Y",AH338)))</f>
        <v/>
      </c>
      <c r="AI339" s="42" t="str">
        <f t="shared" ref="AI339" si="1486">IF(AI338="","",IF(AI338="12M","1Y",IF(AI338="24M","2Y",AI338)))</f>
        <v/>
      </c>
      <c r="AJ339" s="42" t="str">
        <f t="shared" ref="AJ339" si="1487">IF(AJ338="","",IF(AJ338="12M","1Y",IF(AJ338="24M","2Y",AJ338)))</f>
        <v/>
      </c>
      <c r="AK339" s="42" t="str">
        <f t="shared" ref="AK339" si="1488">IF(AK338="","",IF(AK338="12M","1Y",IF(AK338="24M","2Y",AK338)))</f>
        <v/>
      </c>
      <c r="AL339" s="42" t="str">
        <f t="shared" ref="AL339" si="1489">IF(AL338="","",IF(AL338="12M","1Y",IF(AL338="24M","2Y",AL338)))</f>
        <v/>
      </c>
      <c r="AM339" s="42" t="str">
        <f t="shared" ref="AM339" si="1490">IF(AM338="","",IF(AM338="12M","1Y",IF(AM338="24M","2Y",AM338)))</f>
        <v/>
      </c>
      <c r="AN339" s="42" t="str">
        <f t="shared" ref="AN339" si="1491">IF(AN338="","",IF(AN338="12M","1Y",IF(AN338="24M","2Y",AN338)))</f>
        <v/>
      </c>
      <c r="AO339" s="42" t="str">
        <f t="shared" ref="AO339" si="1492">IF(AO338="","",IF(AO338="12M","1Y",IF(AO338="24M","2Y",AO338)))</f>
        <v/>
      </c>
      <c r="AP339" s="42" t="str">
        <f t="shared" ref="AP339" si="1493">IF(AP338="","",IF(AP338="12M","1Y",IF(AP338="24M","2Y",AP338)))</f>
        <v/>
      </c>
      <c r="AQ339" s="42" t="str">
        <f t="shared" ref="AQ339" si="1494">IF(AQ338="","",IF(AQ338="12M","1Y",IF(AQ338="24M","2Y",AQ338)))</f>
        <v/>
      </c>
      <c r="AR339" s="42" t="str">
        <f t="shared" ref="AR339" si="1495">IF(AR338="","",IF(AR338="12M","1Y",IF(AR338="24M","2Y",AR338)))</f>
        <v/>
      </c>
      <c r="AS339" s="42" t="str">
        <f t="shared" ref="AS339" si="1496">IF(AS338="","",IF(AS338="12M","1Y",IF(AS338="24M","2Y",AS338)))</f>
        <v/>
      </c>
      <c r="AT339" s="42" t="str">
        <f t="shared" ref="AT339" si="1497">IF(AT338="","",IF(AT338="12M","1Y",IF(AT338="24M","2Y",AT338)))</f>
        <v/>
      </c>
      <c r="AU339" s="42" t="str">
        <f t="shared" ref="AU339" si="1498">IF(AU338="","",IF(AU338="12M","1Y",IF(AU338="24M","2Y",AU338)))</f>
        <v/>
      </c>
      <c r="AV339" s="42" t="str">
        <f t="shared" ref="AV339" si="1499">IF(AV338="","",IF(AV338="12M","1Y",IF(AV338="24M","2Y",AV338)))</f>
        <v/>
      </c>
      <c r="AW339" s="42" t="str">
        <f t="shared" ref="AW339" si="1500">IF(AW338="","",IF(AW338="12M","1Y",IF(AW338="24M","2Y",AW338)))</f>
        <v/>
      </c>
      <c r="AX339" s="42" t="str">
        <f t="shared" ref="AX339" si="1501">IF(AX338="","",IF(AX338="12M","1Y",IF(AX338="24M","2Y",AX338)))</f>
        <v/>
      </c>
      <c r="AY339" s="42" t="str">
        <f t="shared" ref="AY339" si="1502">IF(AY338="","",IF(AY338="12M","1Y",IF(AY338="24M","2Y",AY338)))</f>
        <v/>
      </c>
      <c r="AZ339" s="42" t="str">
        <f t="shared" ref="AZ339" si="1503">IF(AZ338="","",IF(AZ338="12M","1Y",IF(AZ338="24M","2Y",AZ338)))</f>
        <v/>
      </c>
      <c r="BA339" s="42" t="str">
        <f t="shared" ref="BA339" si="1504">IF(BA338="","",IF(BA338="12M","1Y",IF(BA338="24M","2Y",BA338)))</f>
        <v/>
      </c>
    </row>
    <row r="340" spans="2:53" s="41" customFormat="1" ht="15" customHeight="1">
      <c r="B340" s="7"/>
      <c r="C340" s="153" t="str">
        <f>trans_getMessage("","Name",,LANG_ID)</f>
        <v>Name</v>
      </c>
      <c r="D340" s="154"/>
      <c r="E340" s="49" t="s">
        <v>49</v>
      </c>
      <c r="F340" s="43" t="e" cm="1">
        <f t="array" aca="1" ref="F340" ca="1">IF(LEFT(_xlfn.SINGLE(_xll.BDP(F341, $E340)),1)="#", "-", _xll.BDP(F341, $E340))</f>
        <v>#NAME?</v>
      </c>
      <c r="G340" s="43" t="e" cm="1">
        <f t="array" aca="1" ref="G340" ca="1">IF(LEFT(_xlfn.SINGLE(_xll.BDP(G341, $E340)),1)="#", "-", _xll.BDP(G341, $E340))</f>
        <v>#NAME?</v>
      </c>
      <c r="H340" s="43" t="e" cm="1">
        <f t="array" aca="1" ref="H340" ca="1">IF(LEFT(_xlfn.SINGLE(_xll.BDP(H341, $E340)),1)="#", "-", _xll.BDP(H341, $E340))</f>
        <v>#NAME?</v>
      </c>
      <c r="I340" s="43" t="e" cm="1">
        <f t="array" aca="1" ref="I340" ca="1">IF(LEFT(_xlfn.SINGLE(_xll.BDP(I341, $E340)),1)="#", "-", _xll.BDP(I341, $E340))</f>
        <v>#NAME?</v>
      </c>
      <c r="J340" s="43" t="e" cm="1">
        <f t="array" aca="1" ref="J340" ca="1">IF(LEFT(_xlfn.SINGLE(_xll.BDP(J341, $E340)),1)="#", "-", _xll.BDP(J341, $E340))</f>
        <v>#NAME?</v>
      </c>
      <c r="K340" s="43" t="e" cm="1">
        <f t="array" aca="1" ref="K340" ca="1">IF(LEFT(_xlfn.SINGLE(_xll.BDP(K341, $E340)),1)="#", "-", _xll.BDP(K341, $E340))</f>
        <v>#NAME?</v>
      </c>
      <c r="L340" s="43" t="e" cm="1">
        <f t="array" aca="1" ref="L340" ca="1">IF(LEFT(_xlfn.SINGLE(_xll.BDP(L341, $E340)),1)="#", "-", _xll.BDP(L341, $E340))</f>
        <v>#NAME?</v>
      </c>
      <c r="M340" s="43" t="e" cm="1">
        <f t="array" aca="1" ref="M340" ca="1">IF(LEFT(_xlfn.SINGLE(_xll.BDP(M341, $E340)),1)="#", "-", _xll.BDP(M341, $E340))</f>
        <v>#NAME?</v>
      </c>
      <c r="N340" s="43" t="e" cm="1">
        <f t="array" aca="1" ref="N340" ca="1">IF(LEFT(_xlfn.SINGLE(_xll.BDP(N341, $E340)),1)="#", "-", _xll.BDP(N341, $E340))</f>
        <v>#NAME?</v>
      </c>
      <c r="O340" s="43" t="e" cm="1">
        <f t="array" aca="1" ref="O340" ca="1">IF(LEFT(_xlfn.SINGLE(_xll.BDP(O341, $E340)),1)="#", "-", _xll.BDP(O341, $E340))</f>
        <v>#NAME?</v>
      </c>
      <c r="P340" s="43" t="e" cm="1">
        <f t="array" aca="1" ref="P340" ca="1">IF(LEFT(_xlfn.SINGLE(_xll.BDP(P341, $E340)),1)="#", "-", _xll.BDP(P341, $E340))</f>
        <v>#NAME?</v>
      </c>
      <c r="Q340" s="43" t="e" cm="1">
        <f t="array" aca="1" ref="Q340" ca="1">IF(LEFT(_xlfn.SINGLE(_xll.BDP(Q341, $E340)),1)="#", "-", _xll.BDP(Q341, $E340))</f>
        <v>#NAME?</v>
      </c>
      <c r="R340" s="43" t="e" cm="1">
        <f t="array" aca="1" ref="R340" ca="1">IF(LEFT(_xlfn.SINGLE(_xll.BDP(R341, $E340)),1)="#", "-", _xll.BDP(R341, $E340))</f>
        <v>#NAME?</v>
      </c>
      <c r="S340" s="43" t="e" cm="1">
        <f t="array" aca="1" ref="S340" ca="1">IF(LEFT(_xlfn.SINGLE(_xll.BDP(S341, $E340)),1)="#", "-", _xll.BDP(S341, $E340))</f>
        <v>#NAME?</v>
      </c>
      <c r="T340" s="43" t="e" cm="1">
        <f t="array" aca="1" ref="T340" ca="1">IF(LEFT(_xlfn.SINGLE(_xll.BDP(T341, $E340)),1)="#", "-", _xll.BDP(T341, $E340))</f>
        <v>#NAME?</v>
      </c>
      <c r="U340" s="43" t="e" cm="1">
        <f t="array" aca="1" ref="U340" ca="1">IF(LEFT(_xlfn.SINGLE(_xll.BDP(U341, $E340)),1)="#", "-", _xll.BDP(U341, $E340))</f>
        <v>#NAME?</v>
      </c>
      <c r="V340" s="43" t="e" cm="1">
        <f t="array" aca="1" ref="V340" ca="1">IF(LEFT(_xlfn.SINGLE(_xll.BDP(V341, $E340)),1)="#", "-", _xll.BDP(V341, $E340))</f>
        <v>#NAME?</v>
      </c>
      <c r="W340" s="43" t="e" cm="1">
        <f t="array" aca="1" ref="W340" ca="1">IF(LEFT(_xlfn.SINGLE(_xll.BDP(W341, $E340)),1)="#", "-", _xll.BDP(W341, $E340))</f>
        <v>#NAME?</v>
      </c>
      <c r="X340" s="43" t="e" cm="1">
        <f t="array" aca="1" ref="X340" ca="1">IF(LEFT(_xlfn.SINGLE(_xll.BDP(X341, $E340)),1)="#", "-", _xll.BDP(X341, $E340))</f>
        <v>#NAME?</v>
      </c>
      <c r="Y340" s="43" t="e" cm="1">
        <f t="array" aca="1" ref="Y340" ca="1">IF(LEFT(_xlfn.SINGLE(_xll.BDP(Y341, $E340)),1)="#", "-", _xll.BDP(Y341, $E340))</f>
        <v>#NAME?</v>
      </c>
      <c r="Z340" s="43" t="e" cm="1">
        <f t="array" aca="1" ref="Z340" ca="1">IF(LEFT(_xlfn.SINGLE(_xll.BDP(Z341, $E340)),1)="#", "-", _xll.BDP(Z341, $E340))</f>
        <v>#NAME?</v>
      </c>
      <c r="AA340" s="43" t="e" cm="1">
        <f t="array" aca="1" ref="AA340" ca="1">IF(LEFT(_xlfn.SINGLE(_xll.BDP(AA341, $E340)),1)="#", "-", _xll.BDP(AA341, $E340))</f>
        <v>#NAME?</v>
      </c>
      <c r="AB340" s="43" t="e" cm="1">
        <f t="array" aca="1" ref="AB340" ca="1">IF(LEFT(_xlfn.SINGLE(_xll.BDP(AB341, $E340)),1)="#", "-", _xll.BDP(AB341, $E340))</f>
        <v>#NAME?</v>
      </c>
      <c r="AC340" s="43" t="e" cm="1">
        <f t="array" aca="1" ref="AC340" ca="1">IF(LEFT(_xlfn.SINGLE(_xll.BDP(AC341, $E340)),1)="#", "-", _xll.BDP(AC341, $E340))</f>
        <v>#NAME?</v>
      </c>
      <c r="AD340" s="43" t="e" cm="1">
        <f t="array" aca="1" ref="AD340" ca="1">IF(LEFT(_xlfn.SINGLE(_xll.BDP(AD341, $E340)),1)="#", "-", _xll.BDP(AD341, $E340))</f>
        <v>#NAME?</v>
      </c>
      <c r="AE340" s="43" t="e" cm="1">
        <f t="array" aca="1" ref="AE340" ca="1">IF(LEFT(_xlfn.SINGLE(_xll.BDP(AE341, $E340)),1)="#", "-", _xll.BDP(AE341, $E340))</f>
        <v>#NAME?</v>
      </c>
      <c r="AF340" s="43" t="e" cm="1">
        <f t="array" aca="1" ref="AF340" ca="1">IF(LEFT(_xlfn.SINGLE(_xll.BDP(AF341, $E340)),1)="#", "-", _xll.BDP(AF341, $E340))</f>
        <v>#NAME?</v>
      </c>
      <c r="AG340" s="43" t="e" cm="1">
        <f t="array" aca="1" ref="AG340" ca="1">IF(LEFT(_xlfn.SINGLE(_xll.BDP(AG341, $E340)),1)="#", "-", _xll.BDP(AG341, $E340))</f>
        <v>#NAME?</v>
      </c>
      <c r="AH340" s="43" t="e" cm="1">
        <f t="array" aca="1" ref="AH340" ca="1">IF(LEFT(_xlfn.SINGLE(_xll.BDP(AH341, $E340)),1)="#", "-", _xll.BDP(AH341, $E340))</f>
        <v>#NAME?</v>
      </c>
      <c r="AI340" s="43" t="e" cm="1">
        <f t="array" aca="1" ref="AI340" ca="1">IF(LEFT(_xlfn.SINGLE(_xll.BDP(AI341, $E340)),1)="#", "-", _xll.BDP(AI341, $E340))</f>
        <v>#NAME?</v>
      </c>
      <c r="AJ340" s="43" t="e" cm="1">
        <f t="array" aca="1" ref="AJ340" ca="1">IF(LEFT(_xlfn.SINGLE(_xll.BDP(AJ341, $E340)),1)="#", "-", _xll.BDP(AJ341, $E340))</f>
        <v>#NAME?</v>
      </c>
      <c r="AK340" s="43" t="e" cm="1">
        <f t="array" aca="1" ref="AK340" ca="1">IF(LEFT(_xlfn.SINGLE(_xll.BDP(AK341, $E340)),1)="#", "-", _xll.BDP(AK341, $E340))</f>
        <v>#NAME?</v>
      </c>
      <c r="AL340" s="43" t="e" cm="1">
        <f t="array" aca="1" ref="AL340" ca="1">IF(LEFT(_xlfn.SINGLE(_xll.BDP(AL341, $E340)),1)="#", "-", _xll.BDP(AL341, $E340))</f>
        <v>#NAME?</v>
      </c>
      <c r="AM340" s="43" t="e" cm="1">
        <f t="array" aca="1" ref="AM340" ca="1">IF(LEFT(_xlfn.SINGLE(_xll.BDP(AM341, $E340)),1)="#", "-", _xll.BDP(AM341, $E340))</f>
        <v>#NAME?</v>
      </c>
      <c r="AN340" s="43" t="e" cm="1">
        <f t="array" aca="1" ref="AN340" ca="1">IF(LEFT(_xlfn.SINGLE(_xll.BDP(AN341, $E340)),1)="#", "-", _xll.BDP(AN341, $E340))</f>
        <v>#NAME?</v>
      </c>
      <c r="AO340" s="43" t="e" cm="1">
        <f t="array" aca="1" ref="AO340" ca="1">IF(LEFT(_xlfn.SINGLE(_xll.BDP(AO341, $E340)),1)="#", "-", _xll.BDP(AO341, $E340))</f>
        <v>#NAME?</v>
      </c>
      <c r="AP340" s="43" t="e" cm="1">
        <f t="array" aca="1" ref="AP340" ca="1">IF(LEFT(_xlfn.SINGLE(_xll.BDP(AP341, $E340)),1)="#", "-", _xll.BDP(AP341, $E340))</f>
        <v>#NAME?</v>
      </c>
      <c r="AQ340" s="43" t="e" cm="1">
        <f t="array" aca="1" ref="AQ340" ca="1">IF(LEFT(_xlfn.SINGLE(_xll.BDP(AQ341, $E340)),1)="#", "-", _xll.BDP(AQ341, $E340))</f>
        <v>#NAME?</v>
      </c>
      <c r="AR340" s="43" t="e" cm="1">
        <f t="array" aca="1" ref="AR340" ca="1">IF(LEFT(_xlfn.SINGLE(_xll.BDP(AR341, $E340)),1)="#", "-", _xll.BDP(AR341, $E340))</f>
        <v>#NAME?</v>
      </c>
      <c r="AS340" s="43" t="e" cm="1">
        <f t="array" aca="1" ref="AS340" ca="1">IF(LEFT(_xlfn.SINGLE(_xll.BDP(AS341, $E340)),1)="#", "-", _xll.BDP(AS341, $E340))</f>
        <v>#NAME?</v>
      </c>
      <c r="AT340" s="43" t="e" cm="1">
        <f t="array" aca="1" ref="AT340" ca="1">IF(LEFT(_xlfn.SINGLE(_xll.BDP(AT341, $E340)),1)="#", "-", _xll.BDP(AT341, $E340))</f>
        <v>#NAME?</v>
      </c>
      <c r="AU340" s="43" t="e" cm="1">
        <f t="array" aca="1" ref="AU340" ca="1">IF(LEFT(_xlfn.SINGLE(_xll.BDP(AU341, $E340)),1)="#", "-", _xll.BDP(AU341, $E340))</f>
        <v>#NAME?</v>
      </c>
      <c r="AV340" s="43" t="e" cm="1">
        <f t="array" aca="1" ref="AV340" ca="1">IF(LEFT(_xlfn.SINGLE(_xll.BDP(AV341, $E340)),1)="#", "-", _xll.BDP(AV341, $E340))</f>
        <v>#NAME?</v>
      </c>
      <c r="AW340" s="43" t="e" cm="1">
        <f t="array" aca="1" ref="AW340" ca="1">IF(LEFT(_xlfn.SINGLE(_xll.BDP(AW341, $E340)),1)="#", "-", _xll.BDP(AW341, $E340))</f>
        <v>#NAME?</v>
      </c>
      <c r="AX340" s="43" t="e" cm="1">
        <f t="array" aca="1" ref="AX340" ca="1">IF(LEFT(_xlfn.SINGLE(_xll.BDP(AX341, $E340)),1)="#", "-", _xll.BDP(AX341, $E340))</f>
        <v>#NAME?</v>
      </c>
      <c r="AY340" s="43" t="e" cm="1">
        <f t="array" aca="1" ref="AY340" ca="1">IF(LEFT(_xlfn.SINGLE(_xll.BDP(AY341, $E340)),1)="#", "-", _xll.BDP(AY341, $E340))</f>
        <v>#NAME?</v>
      </c>
      <c r="AZ340" s="43" t="e" cm="1">
        <f t="array" aca="1" ref="AZ340" ca="1">IF(LEFT(_xlfn.SINGLE(_xll.BDP(AZ341, $E340)),1)="#", "-", _xll.BDP(AZ341, $E340))</f>
        <v>#NAME?</v>
      </c>
      <c r="BA340" s="45" t="e" cm="1">
        <f t="array" aca="1" ref="BA340" ca="1">IF(LEFT(_xlfn.SINGLE(_xll.BDP(BA341, $E340)),1)="#", "-", _xll.BDP(BA341, $E340))</f>
        <v>#NAME?</v>
      </c>
    </row>
    <row r="341" spans="2:53" ht="15" customHeight="1">
      <c r="B341" s="40"/>
      <c r="C341" s="145" t="str">
        <f>trans_getMessage("","Curve Tickers",,LANG_ID)</f>
        <v>Curve Tickers</v>
      </c>
      <c r="D341" s="146"/>
      <c r="E341" s="50" t="s">
        <v>46</v>
      </c>
      <c r="F341" s="42" t="e" cm="1">
        <f t="array" aca="1" ref="F341" ca="1">_xll.BDS(E336,E341,"Dir=H",)</f>
        <v>#NAME?</v>
      </c>
      <c r="G341" s="94"/>
      <c r="H341" s="94"/>
      <c r="I341" s="94"/>
      <c r="J341" s="94"/>
      <c r="K341" s="94"/>
      <c r="L341" s="42"/>
      <c r="M341" s="42"/>
      <c r="N341" s="42"/>
      <c r="O341" s="42"/>
      <c r="P341" s="42"/>
      <c r="Q341" s="42"/>
      <c r="R341" s="42"/>
      <c r="S341" s="42"/>
      <c r="T341" s="42"/>
      <c r="U341" s="42"/>
      <c r="V341" s="42"/>
      <c r="W341" s="42"/>
      <c r="X341" s="42"/>
      <c r="Y341" s="42"/>
      <c r="Z341" s="42"/>
      <c r="AA341" s="42"/>
      <c r="AB341" s="42"/>
      <c r="AC341" s="42"/>
      <c r="AD341" s="42"/>
      <c r="AE341" s="42"/>
      <c r="AF341" s="42"/>
      <c r="AG341" s="42"/>
      <c r="AH341" s="42"/>
      <c r="AI341" s="42"/>
      <c r="AJ341" s="42"/>
      <c r="AK341" s="42"/>
      <c r="AL341" s="42"/>
      <c r="AM341" s="42"/>
      <c r="AN341" s="42"/>
      <c r="AO341" s="42"/>
      <c r="AP341" s="42"/>
      <c r="AQ341" s="42"/>
      <c r="AR341" s="42"/>
      <c r="AS341" s="42"/>
      <c r="AT341" s="42"/>
      <c r="AU341" s="42"/>
      <c r="AV341" s="42"/>
      <c r="AW341" s="42"/>
      <c r="AX341" s="42"/>
      <c r="AY341" s="42"/>
      <c r="AZ341" s="42"/>
      <c r="BA341" s="44"/>
    </row>
    <row r="342" spans="2:53" ht="15" customHeight="1">
      <c r="C342" s="138" t="str">
        <f>trans_getMessage("","Rate",,LANG_ID)</f>
        <v>Rate</v>
      </c>
      <c r="D342" s="139"/>
      <c r="E342" s="51" t="s">
        <v>44</v>
      </c>
      <c r="F342" s="46" t="str" cm="1">
        <f t="array" aca="1" ref="F342" ca="1">IF(ISERROR(_xlfn.SINGLE(_xll.BDP(F341, $E342))*1), "-", _xll.BDP(F341, $E342))</f>
        <v>-</v>
      </c>
      <c r="G342" s="95" t="str" cm="1">
        <f t="array" aca="1" ref="G342" ca="1">IF(ISERROR(_xlfn.SINGLE(_xll.BDP(G341, $E342))*1), "-", _xll.BDP(G341, $E342))</f>
        <v>-</v>
      </c>
      <c r="H342" s="95" t="str" cm="1">
        <f t="array" aca="1" ref="H342" ca="1">IF(ISERROR(_xlfn.SINGLE(_xll.BDP(H341, $E342))*1), "-", _xll.BDP(H341, $E342))</f>
        <v>-</v>
      </c>
      <c r="I342" s="95" t="str" cm="1">
        <f t="array" aca="1" ref="I342" ca="1">IF(ISERROR(_xlfn.SINGLE(_xll.BDP(I341, $E342))*1), "-", _xll.BDP(I341, $E342))</f>
        <v>-</v>
      </c>
      <c r="J342" s="95" t="str" cm="1">
        <f t="array" aca="1" ref="J342" ca="1">IF(ISERROR(_xlfn.SINGLE(_xll.BDP(J341, $E342))*1), "-", _xll.BDP(J341, $E342))</f>
        <v>-</v>
      </c>
      <c r="K342" s="95" t="str" cm="1">
        <f t="array" aca="1" ref="K342" ca="1">IF(ISERROR(_xlfn.SINGLE(_xll.BDP(K341, $E342))*1), "-", _xll.BDP(K341, $E342))</f>
        <v>-</v>
      </c>
      <c r="L342" s="46" t="str" cm="1">
        <f t="array" aca="1" ref="L342" ca="1">IF(ISERROR(_xlfn.SINGLE(_xll.BDP(L341, $E342))*1), "-", _xll.BDP(L341, $E342))</f>
        <v>-</v>
      </c>
      <c r="M342" s="46" t="str" cm="1">
        <f t="array" aca="1" ref="M342" ca="1">IF(ISERROR(_xlfn.SINGLE(_xll.BDP(M341, $E342))*1), "-", _xll.BDP(M341, $E342))</f>
        <v>-</v>
      </c>
      <c r="N342" s="46" t="str" cm="1">
        <f t="array" aca="1" ref="N342" ca="1">IF(ISERROR(_xlfn.SINGLE(_xll.BDP(N341, $E342))*1), "-", _xll.BDP(N341, $E342))</f>
        <v>-</v>
      </c>
      <c r="O342" s="46" t="str" cm="1">
        <f t="array" aca="1" ref="O342" ca="1">IF(ISERROR(_xlfn.SINGLE(_xll.BDP(O341, $E342))*1), "-", _xll.BDP(O341, $E342))</f>
        <v>-</v>
      </c>
      <c r="P342" s="46" t="str" cm="1">
        <f t="array" aca="1" ref="P342" ca="1">IF(ISERROR(_xlfn.SINGLE(_xll.BDP(P341, $E342))*1), "-", _xll.BDP(P341, $E342))</f>
        <v>-</v>
      </c>
      <c r="Q342" s="46" t="str" cm="1">
        <f t="array" aca="1" ref="Q342" ca="1">IF(ISERROR(_xlfn.SINGLE(_xll.BDP(Q341, $E342))*1), "-", _xll.BDP(Q341, $E342))</f>
        <v>-</v>
      </c>
      <c r="R342" s="46" t="str" cm="1">
        <f t="array" aca="1" ref="R342" ca="1">IF(ISERROR(_xlfn.SINGLE(_xll.BDP(R341, $E342))*1), "-", _xll.BDP(R341, $E342))</f>
        <v>-</v>
      </c>
      <c r="S342" s="46" t="str" cm="1">
        <f t="array" aca="1" ref="S342" ca="1">IF(ISERROR(_xlfn.SINGLE(_xll.BDP(S341, $E342))*1), "-", _xll.BDP(S341, $E342))</f>
        <v>-</v>
      </c>
      <c r="T342" s="46" t="str" cm="1">
        <f t="array" aca="1" ref="T342" ca="1">IF(ISERROR(_xlfn.SINGLE(_xll.BDP(T341, $E342))*1), "-", _xll.BDP(T341, $E342))</f>
        <v>-</v>
      </c>
      <c r="U342" s="46" t="str" cm="1">
        <f t="array" aca="1" ref="U342" ca="1">IF(ISERROR(_xlfn.SINGLE(_xll.BDP(U341, $E342))*1), "-", _xll.BDP(U341, $E342))</f>
        <v>-</v>
      </c>
      <c r="V342" s="46" t="str" cm="1">
        <f t="array" aca="1" ref="V342" ca="1">IF(ISERROR(_xlfn.SINGLE(_xll.BDP(V341, $E342))*1), "-", _xll.BDP(V341, $E342))</f>
        <v>-</v>
      </c>
      <c r="W342" s="46" t="str" cm="1">
        <f t="array" aca="1" ref="W342" ca="1">IF(ISERROR(_xlfn.SINGLE(_xll.BDP(W341, $E342))*1), "-", _xll.BDP(W341, $E342))</f>
        <v>-</v>
      </c>
      <c r="X342" s="46" t="str" cm="1">
        <f t="array" aca="1" ref="X342" ca="1">IF(ISERROR(_xlfn.SINGLE(_xll.BDP(X341, $E342))*1), "-", _xll.BDP(X341, $E342))</f>
        <v>-</v>
      </c>
      <c r="Y342" s="46" t="str" cm="1">
        <f t="array" aca="1" ref="Y342" ca="1">IF(ISERROR(_xlfn.SINGLE(_xll.BDP(Y341, $E342))*1), "-", _xll.BDP(Y341, $E342))</f>
        <v>-</v>
      </c>
      <c r="Z342" s="46" t="str" cm="1">
        <f t="array" aca="1" ref="Z342" ca="1">IF(ISERROR(_xlfn.SINGLE(_xll.BDP(Z341, $E342))*1), "-", _xll.BDP(Z341, $E342))</f>
        <v>-</v>
      </c>
      <c r="AA342" s="46" t="str" cm="1">
        <f t="array" aca="1" ref="AA342" ca="1">IF(ISERROR(_xlfn.SINGLE(_xll.BDP(AA341, $E342))*1), "-", _xll.BDP(AA341, $E342))</f>
        <v>-</v>
      </c>
      <c r="AB342" s="46" t="str" cm="1">
        <f t="array" aca="1" ref="AB342" ca="1">IF(ISERROR(_xlfn.SINGLE(_xll.BDP(AB341, $E342))*1), "-", _xll.BDP(AB341, $E342))</f>
        <v>-</v>
      </c>
      <c r="AC342" s="46" t="str" cm="1">
        <f t="array" aca="1" ref="AC342" ca="1">IF(ISERROR(_xlfn.SINGLE(_xll.BDP(AC341, $E342))*1), "-", _xll.BDP(AC341, $E342))</f>
        <v>-</v>
      </c>
      <c r="AD342" s="46" t="str" cm="1">
        <f t="array" aca="1" ref="AD342" ca="1">IF(ISERROR(_xlfn.SINGLE(_xll.BDP(AD341, $E342))*1), "-", _xll.BDP(AD341, $E342))</f>
        <v>-</v>
      </c>
      <c r="AE342" s="46" t="str" cm="1">
        <f t="array" aca="1" ref="AE342" ca="1">IF(ISERROR(_xlfn.SINGLE(_xll.BDP(AE341, $E342))*1), "-", _xll.BDP(AE341, $E342))</f>
        <v>-</v>
      </c>
      <c r="AF342" s="46" t="str" cm="1">
        <f t="array" aca="1" ref="AF342" ca="1">IF(ISERROR(_xlfn.SINGLE(_xll.BDP(AF341, $E342))*1), "-", _xll.BDP(AF341, $E342))</f>
        <v>-</v>
      </c>
      <c r="AG342" s="46" t="str" cm="1">
        <f t="array" aca="1" ref="AG342" ca="1">IF(ISERROR(_xlfn.SINGLE(_xll.BDP(AG341, $E342))*1), "-", _xll.BDP(AG341, $E342))</f>
        <v>-</v>
      </c>
      <c r="AH342" s="46" t="str" cm="1">
        <f t="array" aca="1" ref="AH342" ca="1">IF(ISERROR(_xlfn.SINGLE(_xll.BDP(AH341, $E342))*1), "-", _xll.BDP(AH341, $E342))</f>
        <v>-</v>
      </c>
      <c r="AI342" s="46" t="str" cm="1">
        <f t="array" aca="1" ref="AI342" ca="1">IF(ISERROR(_xlfn.SINGLE(_xll.BDP(AI341, $E342))*1), "-", _xll.BDP(AI341, $E342))</f>
        <v>-</v>
      </c>
      <c r="AJ342" s="46" t="str" cm="1">
        <f t="array" aca="1" ref="AJ342" ca="1">IF(ISERROR(_xlfn.SINGLE(_xll.BDP(AJ341, $E342))*1), "-", _xll.BDP(AJ341, $E342))</f>
        <v>-</v>
      </c>
      <c r="AK342" s="46" t="str" cm="1">
        <f t="array" aca="1" ref="AK342" ca="1">IF(ISERROR(_xlfn.SINGLE(_xll.BDP(AK341, $E342))*1), "-", _xll.BDP(AK341, $E342))</f>
        <v>-</v>
      </c>
      <c r="AL342" s="46" t="str" cm="1">
        <f t="array" aca="1" ref="AL342" ca="1">IF(ISERROR(_xlfn.SINGLE(_xll.BDP(AL341, $E342))*1), "-", _xll.BDP(AL341, $E342))</f>
        <v>-</v>
      </c>
      <c r="AM342" s="46" t="str" cm="1">
        <f t="array" aca="1" ref="AM342" ca="1">IF(ISERROR(_xlfn.SINGLE(_xll.BDP(AM341, $E342))*1), "-", _xll.BDP(AM341, $E342))</f>
        <v>-</v>
      </c>
      <c r="AN342" s="46" t="str" cm="1">
        <f t="array" aca="1" ref="AN342" ca="1">IF(ISERROR(_xlfn.SINGLE(_xll.BDP(AN341, $E342))*1), "-", _xll.BDP(AN341, $E342))</f>
        <v>-</v>
      </c>
      <c r="AO342" s="46" t="str" cm="1">
        <f t="array" aca="1" ref="AO342" ca="1">IF(ISERROR(_xlfn.SINGLE(_xll.BDP(AO341, $E342))*1), "-", _xll.BDP(AO341, $E342))</f>
        <v>-</v>
      </c>
      <c r="AP342" s="46" t="str" cm="1">
        <f t="array" aca="1" ref="AP342" ca="1">IF(ISERROR(_xlfn.SINGLE(_xll.BDP(AP341, $E342))*1), "-", _xll.BDP(AP341, $E342))</f>
        <v>-</v>
      </c>
      <c r="AQ342" s="46" t="str" cm="1">
        <f t="array" aca="1" ref="AQ342" ca="1">IF(ISERROR(_xlfn.SINGLE(_xll.BDP(AQ341, $E342))*1), "-", _xll.BDP(AQ341, $E342))</f>
        <v>-</v>
      </c>
      <c r="AR342" s="46" t="str" cm="1">
        <f t="array" aca="1" ref="AR342" ca="1">IF(ISERROR(_xlfn.SINGLE(_xll.BDP(AR341, $E342))*1), "-", _xll.BDP(AR341, $E342))</f>
        <v>-</v>
      </c>
      <c r="AS342" s="46" t="str" cm="1">
        <f t="array" aca="1" ref="AS342" ca="1">IF(ISERROR(_xlfn.SINGLE(_xll.BDP(AS341, $E342))*1), "-", _xll.BDP(AS341, $E342))</f>
        <v>-</v>
      </c>
      <c r="AT342" s="46" t="str" cm="1">
        <f t="array" aca="1" ref="AT342" ca="1">IF(ISERROR(_xlfn.SINGLE(_xll.BDP(AT341, $E342))*1), "-", _xll.BDP(AT341, $E342))</f>
        <v>-</v>
      </c>
      <c r="AU342" s="46" t="str" cm="1">
        <f t="array" aca="1" ref="AU342" ca="1">IF(ISERROR(_xlfn.SINGLE(_xll.BDP(AU341, $E342))*1), "-", _xll.BDP(AU341, $E342))</f>
        <v>-</v>
      </c>
      <c r="AV342" s="46" t="str" cm="1">
        <f t="array" aca="1" ref="AV342" ca="1">IF(ISERROR(_xlfn.SINGLE(_xll.BDP(AV341, $E342))*1), "-", _xll.BDP(AV341, $E342))</f>
        <v>-</v>
      </c>
      <c r="AW342" s="46" t="str" cm="1">
        <f t="array" aca="1" ref="AW342" ca="1">IF(ISERROR(_xlfn.SINGLE(_xll.BDP(AW341, $E342))*1), "-", _xll.BDP(AW341, $E342))</f>
        <v>-</v>
      </c>
      <c r="AX342" s="46" t="str" cm="1">
        <f t="array" aca="1" ref="AX342" ca="1">IF(ISERROR(_xlfn.SINGLE(_xll.BDP(AX341, $E342))*1), "-", _xll.BDP(AX341, $E342))</f>
        <v>-</v>
      </c>
      <c r="AY342" s="46" t="str" cm="1">
        <f t="array" aca="1" ref="AY342" ca="1">IF(ISERROR(_xlfn.SINGLE(_xll.BDP(AY341, $E342))*1), "-", _xll.BDP(AY341, $E342))</f>
        <v>-</v>
      </c>
      <c r="AZ342" s="46" t="str" cm="1">
        <f t="array" aca="1" ref="AZ342" ca="1">IF(ISERROR(_xlfn.SINGLE(_xll.BDP(AZ341, $E342))*1), "-", _xll.BDP(AZ341, $E342))</f>
        <v>-</v>
      </c>
      <c r="BA342" s="47" t="str" cm="1">
        <f t="array" aca="1" ref="BA342" ca="1">IF(ISERROR(_xlfn.SINGLE(_xll.BDP(BA341, $E342))*1), "-", _xll.BDP(BA341, $E342))</f>
        <v>-</v>
      </c>
    </row>
    <row r="343" spans="2:53" ht="15" hidden="1" customHeight="1"/>
    <row r="344" spans="2:53" ht="5.15" customHeight="1"/>
    <row r="345" spans="2:53" ht="15" customHeight="1">
      <c r="B345" s="38" t="s">
        <v>43</v>
      </c>
      <c r="C345" s="140" t="str">
        <f>trans_getMessage("","Curve Number",,LANG_ID)</f>
        <v>Curve Number</v>
      </c>
      <c r="D345" s="141"/>
      <c r="E345" s="142">
        <f>VLOOKUP(B345, 'Currency-Curve List'!$C$9:$E$103, 2, FALSE)</f>
        <v>18</v>
      </c>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4"/>
    </row>
    <row r="346" spans="2:53" ht="15" customHeight="1">
      <c r="C346" s="145" t="str">
        <f>trans_getMessage("","Curve Index",,LANG_ID)</f>
        <v>Curve Index</v>
      </c>
      <c r="D346" s="146"/>
      <c r="E346" s="147" t="str">
        <f>VLOOKUP(B345, 'Currency-Curve List'!$C$9:$E$103, 3, FALSE)</f>
        <v>YCSW0018 Index</v>
      </c>
      <c r="F346" s="148"/>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9"/>
    </row>
    <row r="347" spans="2:53" ht="15" customHeight="1">
      <c r="C347" s="145" t="str">
        <f>trans_getMessage("","Curve Name",,LANG_ID)</f>
        <v>Curve Name</v>
      </c>
      <c r="D347" s="146"/>
      <c r="E347" s="150" t="e" cm="1">
        <f t="array" aca="1" ref="E347" ca="1">_xll.BDP(E346, "NAME")</f>
        <v>#NAME?</v>
      </c>
      <c r="F347" s="151"/>
      <c r="G347" s="151"/>
      <c r="H347" s="151"/>
      <c r="I347" s="151"/>
      <c r="J347" s="151"/>
      <c r="K347" s="151"/>
      <c r="L347" s="151"/>
      <c r="M347" s="151"/>
      <c r="N347" s="151"/>
      <c r="O347" s="151"/>
      <c r="P347" s="151"/>
      <c r="Q347" s="151"/>
      <c r="R347" s="151"/>
      <c r="S347" s="151"/>
      <c r="T347" s="151"/>
      <c r="U347" s="151"/>
      <c r="V347" s="151"/>
      <c r="W347" s="151"/>
      <c r="X347" s="151"/>
      <c r="Y347" s="151"/>
      <c r="Z347" s="151"/>
      <c r="AA347" s="151"/>
      <c r="AB347" s="151"/>
      <c r="AC347" s="151"/>
      <c r="AD347" s="151"/>
      <c r="AE347" s="151"/>
      <c r="AF347" s="151"/>
      <c r="AG347" s="151"/>
      <c r="AH347" s="151"/>
      <c r="AI347" s="151"/>
      <c r="AJ347" s="151"/>
      <c r="AK347" s="151"/>
      <c r="AL347" s="151"/>
      <c r="AM347" s="151"/>
      <c r="AN347" s="151"/>
      <c r="AO347" s="151"/>
      <c r="AP347" s="151"/>
      <c r="AQ347" s="151"/>
      <c r="AR347" s="151"/>
      <c r="AS347" s="151"/>
      <c r="AT347" s="151"/>
      <c r="AU347" s="151"/>
      <c r="AV347" s="151"/>
      <c r="AW347" s="151"/>
      <c r="AX347" s="151"/>
      <c r="AY347" s="151"/>
      <c r="AZ347" s="151"/>
      <c r="BA347" s="152"/>
    </row>
    <row r="348" spans="2:53" ht="15" customHeight="1">
      <c r="C348" s="145" t="str">
        <f>trans_getMessage("","Tenors",,LANG_ID)</f>
        <v>Tenors</v>
      </c>
      <c r="D348" s="146"/>
      <c r="E348" s="48" t="s">
        <v>50</v>
      </c>
      <c r="F348" s="42" t="e" cm="1">
        <f t="array" aca="1" ref="F348" ca="1">_xll.BDS(E346,E348,"Dir=H",)</f>
        <v>#NAME?</v>
      </c>
      <c r="G348" s="42"/>
      <c r="H348" s="42"/>
      <c r="I348" s="42"/>
      <c r="J348" s="42"/>
      <c r="K348" s="42"/>
      <c r="L348" s="42"/>
      <c r="M348" s="42"/>
      <c r="N348" s="42"/>
      <c r="O348" s="42"/>
      <c r="P348" s="42"/>
      <c r="Q348" s="42"/>
      <c r="R348" s="42"/>
      <c r="S348" s="42"/>
      <c r="T348" s="42"/>
      <c r="U348" s="42"/>
      <c r="V348" s="42"/>
      <c r="W348" s="42"/>
      <c r="X348" s="42"/>
      <c r="Y348" s="42"/>
      <c r="Z348" s="42"/>
      <c r="AA348" s="42"/>
      <c r="AB348" s="42"/>
      <c r="AC348" s="42"/>
      <c r="AD348" s="42"/>
      <c r="AE348" s="42"/>
      <c r="AF348" s="42"/>
      <c r="AG348" s="42"/>
      <c r="AH348" s="42"/>
      <c r="AI348" s="42"/>
      <c r="AJ348" s="42"/>
      <c r="AK348" s="42"/>
      <c r="AL348" s="42"/>
      <c r="AM348" s="42"/>
      <c r="AN348" s="42"/>
      <c r="AO348" s="42"/>
      <c r="AP348" s="42"/>
      <c r="AQ348" s="42"/>
      <c r="AR348" s="42"/>
      <c r="AS348" s="42"/>
      <c r="AT348" s="42"/>
      <c r="AU348" s="42"/>
      <c r="AV348" s="42"/>
      <c r="AW348" s="42"/>
      <c r="AX348" s="42"/>
      <c r="AY348" s="42"/>
      <c r="AZ348" s="42"/>
      <c r="BA348" s="44"/>
    </row>
    <row r="349" spans="2:53" ht="15" hidden="1" customHeight="1">
      <c r="C349" s="145" t="s">
        <v>2211</v>
      </c>
      <c r="D349" s="146"/>
      <c r="E349" s="48"/>
      <c r="F349" s="42" t="e">
        <f ca="1">IF(F348="","",IF(F348="12M","1Y",IF(F348="24M","2Y",F348)))</f>
        <v>#NAME?</v>
      </c>
      <c r="G349" s="42" t="str">
        <f t="shared" ref="G349" si="1505">IF(G348="","",IF(G348="12M","1Y",IF(G348="24M","2Y",G348)))</f>
        <v/>
      </c>
      <c r="H349" s="42" t="str">
        <f t="shared" ref="H349" si="1506">IF(H348="","",IF(H348="12M","1Y",IF(H348="24M","2Y",H348)))</f>
        <v/>
      </c>
      <c r="I349" s="42" t="str">
        <f t="shared" ref="I349" si="1507">IF(I348="","",IF(I348="12M","1Y",IF(I348="24M","2Y",I348)))</f>
        <v/>
      </c>
      <c r="J349" s="42" t="str">
        <f t="shared" ref="J349" si="1508">IF(J348="","",IF(J348="12M","1Y",IF(J348="24M","2Y",J348)))</f>
        <v/>
      </c>
      <c r="K349" s="42" t="str">
        <f t="shared" ref="K349" si="1509">IF(K348="","",IF(K348="12M","1Y",IF(K348="24M","2Y",K348)))</f>
        <v/>
      </c>
      <c r="L349" s="42" t="str">
        <f t="shared" ref="L349" si="1510">IF(L348="","",IF(L348="12M","1Y",IF(L348="24M","2Y",L348)))</f>
        <v/>
      </c>
      <c r="M349" s="42" t="str">
        <f t="shared" ref="M349" si="1511">IF(M348="","",IF(M348="12M","1Y",IF(M348="24M","2Y",M348)))</f>
        <v/>
      </c>
      <c r="N349" s="42" t="str">
        <f t="shared" ref="N349" si="1512">IF(N348="","",IF(N348="12M","1Y",IF(N348="24M","2Y",N348)))</f>
        <v/>
      </c>
      <c r="O349" s="42" t="str">
        <f t="shared" ref="O349" si="1513">IF(O348="","",IF(O348="12M","1Y",IF(O348="24M","2Y",O348)))</f>
        <v/>
      </c>
      <c r="P349" s="42" t="str">
        <f t="shared" ref="P349" si="1514">IF(P348="","",IF(P348="12M","1Y",IF(P348="24M","2Y",P348)))</f>
        <v/>
      </c>
      <c r="Q349" s="42" t="str">
        <f t="shared" ref="Q349" si="1515">IF(Q348="","",IF(Q348="12M","1Y",IF(Q348="24M","2Y",Q348)))</f>
        <v/>
      </c>
      <c r="R349" s="42" t="str">
        <f t="shared" ref="R349" si="1516">IF(R348="","",IF(R348="12M","1Y",IF(R348="24M","2Y",R348)))</f>
        <v/>
      </c>
      <c r="S349" s="42" t="str">
        <f t="shared" ref="S349" si="1517">IF(S348="","",IF(S348="12M","1Y",IF(S348="24M","2Y",S348)))</f>
        <v/>
      </c>
      <c r="T349" s="42" t="str">
        <f t="shared" ref="T349" si="1518">IF(T348="","",IF(T348="12M","1Y",IF(T348="24M","2Y",T348)))</f>
        <v/>
      </c>
      <c r="U349" s="42" t="str">
        <f t="shared" ref="U349" si="1519">IF(U348="","",IF(U348="12M","1Y",IF(U348="24M","2Y",U348)))</f>
        <v/>
      </c>
      <c r="V349" s="42" t="str">
        <f t="shared" ref="V349" si="1520">IF(V348="","",IF(V348="12M","1Y",IF(V348="24M","2Y",V348)))</f>
        <v/>
      </c>
      <c r="W349" s="42" t="str">
        <f t="shared" ref="W349" si="1521">IF(W348="","",IF(W348="12M","1Y",IF(W348="24M","2Y",W348)))</f>
        <v/>
      </c>
      <c r="X349" s="42" t="str">
        <f t="shared" ref="X349" si="1522">IF(X348="","",IF(X348="12M","1Y",IF(X348="24M","2Y",X348)))</f>
        <v/>
      </c>
      <c r="Y349" s="42" t="str">
        <f t="shared" ref="Y349" si="1523">IF(Y348="","",IF(Y348="12M","1Y",IF(Y348="24M","2Y",Y348)))</f>
        <v/>
      </c>
      <c r="Z349" s="42" t="str">
        <f t="shared" ref="Z349" si="1524">IF(Z348="","",IF(Z348="12M","1Y",IF(Z348="24M","2Y",Z348)))</f>
        <v/>
      </c>
      <c r="AA349" s="42" t="str">
        <f t="shared" ref="AA349" si="1525">IF(AA348="","",IF(AA348="12M","1Y",IF(AA348="24M","2Y",AA348)))</f>
        <v/>
      </c>
      <c r="AB349" s="42" t="str">
        <f t="shared" ref="AB349" si="1526">IF(AB348="","",IF(AB348="12M","1Y",IF(AB348="24M","2Y",AB348)))</f>
        <v/>
      </c>
      <c r="AC349" s="42" t="str">
        <f t="shared" ref="AC349" si="1527">IF(AC348="","",IF(AC348="12M","1Y",IF(AC348="24M","2Y",AC348)))</f>
        <v/>
      </c>
      <c r="AD349" s="42" t="str">
        <f t="shared" ref="AD349" si="1528">IF(AD348="","",IF(AD348="12M","1Y",IF(AD348="24M","2Y",AD348)))</f>
        <v/>
      </c>
      <c r="AE349" s="42" t="str">
        <f t="shared" ref="AE349" si="1529">IF(AE348="","",IF(AE348="12M","1Y",IF(AE348="24M","2Y",AE348)))</f>
        <v/>
      </c>
      <c r="AF349" s="42" t="str">
        <f t="shared" ref="AF349" si="1530">IF(AF348="","",IF(AF348="12M","1Y",IF(AF348="24M","2Y",AF348)))</f>
        <v/>
      </c>
      <c r="AG349" s="42" t="str">
        <f t="shared" ref="AG349" si="1531">IF(AG348="","",IF(AG348="12M","1Y",IF(AG348="24M","2Y",AG348)))</f>
        <v/>
      </c>
      <c r="AH349" s="42" t="str">
        <f t="shared" ref="AH349" si="1532">IF(AH348="","",IF(AH348="12M","1Y",IF(AH348="24M","2Y",AH348)))</f>
        <v/>
      </c>
      <c r="AI349" s="42" t="str">
        <f t="shared" ref="AI349" si="1533">IF(AI348="","",IF(AI348="12M","1Y",IF(AI348="24M","2Y",AI348)))</f>
        <v/>
      </c>
      <c r="AJ349" s="42" t="str">
        <f t="shared" ref="AJ349" si="1534">IF(AJ348="","",IF(AJ348="12M","1Y",IF(AJ348="24M","2Y",AJ348)))</f>
        <v/>
      </c>
      <c r="AK349" s="42" t="str">
        <f t="shared" ref="AK349" si="1535">IF(AK348="","",IF(AK348="12M","1Y",IF(AK348="24M","2Y",AK348)))</f>
        <v/>
      </c>
      <c r="AL349" s="42" t="str">
        <f t="shared" ref="AL349" si="1536">IF(AL348="","",IF(AL348="12M","1Y",IF(AL348="24M","2Y",AL348)))</f>
        <v/>
      </c>
      <c r="AM349" s="42" t="str">
        <f t="shared" ref="AM349" si="1537">IF(AM348="","",IF(AM348="12M","1Y",IF(AM348="24M","2Y",AM348)))</f>
        <v/>
      </c>
      <c r="AN349" s="42" t="str">
        <f t="shared" ref="AN349" si="1538">IF(AN348="","",IF(AN348="12M","1Y",IF(AN348="24M","2Y",AN348)))</f>
        <v/>
      </c>
      <c r="AO349" s="42" t="str">
        <f t="shared" ref="AO349" si="1539">IF(AO348="","",IF(AO348="12M","1Y",IF(AO348="24M","2Y",AO348)))</f>
        <v/>
      </c>
      <c r="AP349" s="42" t="str">
        <f t="shared" ref="AP349" si="1540">IF(AP348="","",IF(AP348="12M","1Y",IF(AP348="24M","2Y",AP348)))</f>
        <v/>
      </c>
      <c r="AQ349" s="42" t="str">
        <f t="shared" ref="AQ349" si="1541">IF(AQ348="","",IF(AQ348="12M","1Y",IF(AQ348="24M","2Y",AQ348)))</f>
        <v/>
      </c>
      <c r="AR349" s="42" t="str">
        <f t="shared" ref="AR349" si="1542">IF(AR348="","",IF(AR348="12M","1Y",IF(AR348="24M","2Y",AR348)))</f>
        <v/>
      </c>
      <c r="AS349" s="42" t="str">
        <f t="shared" ref="AS349" si="1543">IF(AS348="","",IF(AS348="12M","1Y",IF(AS348="24M","2Y",AS348)))</f>
        <v/>
      </c>
      <c r="AT349" s="42" t="str">
        <f t="shared" ref="AT349" si="1544">IF(AT348="","",IF(AT348="12M","1Y",IF(AT348="24M","2Y",AT348)))</f>
        <v/>
      </c>
      <c r="AU349" s="42" t="str">
        <f t="shared" ref="AU349" si="1545">IF(AU348="","",IF(AU348="12M","1Y",IF(AU348="24M","2Y",AU348)))</f>
        <v/>
      </c>
      <c r="AV349" s="42" t="str">
        <f t="shared" ref="AV349" si="1546">IF(AV348="","",IF(AV348="12M","1Y",IF(AV348="24M","2Y",AV348)))</f>
        <v/>
      </c>
      <c r="AW349" s="42" t="str">
        <f t="shared" ref="AW349" si="1547">IF(AW348="","",IF(AW348="12M","1Y",IF(AW348="24M","2Y",AW348)))</f>
        <v/>
      </c>
      <c r="AX349" s="42" t="str">
        <f t="shared" ref="AX349" si="1548">IF(AX348="","",IF(AX348="12M","1Y",IF(AX348="24M","2Y",AX348)))</f>
        <v/>
      </c>
      <c r="AY349" s="42" t="str">
        <f t="shared" ref="AY349" si="1549">IF(AY348="","",IF(AY348="12M","1Y",IF(AY348="24M","2Y",AY348)))</f>
        <v/>
      </c>
      <c r="AZ349" s="42" t="str">
        <f t="shared" ref="AZ349" si="1550">IF(AZ348="","",IF(AZ348="12M","1Y",IF(AZ348="24M","2Y",AZ348)))</f>
        <v/>
      </c>
      <c r="BA349" s="42" t="str">
        <f t="shared" ref="BA349" si="1551">IF(BA348="","",IF(BA348="12M","1Y",IF(BA348="24M","2Y",BA348)))</f>
        <v/>
      </c>
    </row>
    <row r="350" spans="2:53" s="41" customFormat="1" ht="15" customHeight="1">
      <c r="B350" s="7"/>
      <c r="C350" s="153" t="str">
        <f>trans_getMessage("","Name",,LANG_ID)</f>
        <v>Name</v>
      </c>
      <c r="D350" s="154"/>
      <c r="E350" s="49" t="s">
        <v>49</v>
      </c>
      <c r="F350" s="43" t="e" cm="1">
        <f t="array" aca="1" ref="F350" ca="1">IF(LEFT(_xlfn.SINGLE(_xll.BDP(F351, $E350)),1)="#", "-", _xll.BDP(F351, $E350))</f>
        <v>#NAME?</v>
      </c>
      <c r="G350" s="43" t="e" cm="1">
        <f t="array" aca="1" ref="G350" ca="1">IF(LEFT(_xlfn.SINGLE(_xll.BDP(G351, $E350)),1)="#", "-", _xll.BDP(G351, $E350))</f>
        <v>#NAME?</v>
      </c>
      <c r="H350" s="43" t="e" cm="1">
        <f t="array" aca="1" ref="H350" ca="1">IF(LEFT(_xlfn.SINGLE(_xll.BDP(H351, $E350)),1)="#", "-", _xll.BDP(H351, $E350))</f>
        <v>#NAME?</v>
      </c>
      <c r="I350" s="43" t="e" cm="1">
        <f t="array" aca="1" ref="I350" ca="1">IF(LEFT(_xlfn.SINGLE(_xll.BDP(I351, $E350)),1)="#", "-", _xll.BDP(I351, $E350))</f>
        <v>#NAME?</v>
      </c>
      <c r="J350" s="43" t="e" cm="1">
        <f t="array" aca="1" ref="J350" ca="1">IF(LEFT(_xlfn.SINGLE(_xll.BDP(J351, $E350)),1)="#", "-", _xll.BDP(J351, $E350))</f>
        <v>#NAME?</v>
      </c>
      <c r="K350" s="43" t="e" cm="1">
        <f t="array" aca="1" ref="K350" ca="1">IF(LEFT(_xlfn.SINGLE(_xll.BDP(K351, $E350)),1)="#", "-", _xll.BDP(K351, $E350))</f>
        <v>#NAME?</v>
      </c>
      <c r="L350" s="43" t="e" cm="1">
        <f t="array" aca="1" ref="L350" ca="1">IF(LEFT(_xlfn.SINGLE(_xll.BDP(L351, $E350)),1)="#", "-", _xll.BDP(L351, $E350))</f>
        <v>#NAME?</v>
      </c>
      <c r="M350" s="43" t="e" cm="1">
        <f t="array" aca="1" ref="M350" ca="1">IF(LEFT(_xlfn.SINGLE(_xll.BDP(M351, $E350)),1)="#", "-", _xll.BDP(M351, $E350))</f>
        <v>#NAME?</v>
      </c>
      <c r="N350" s="43" t="e" cm="1">
        <f t="array" aca="1" ref="N350" ca="1">IF(LEFT(_xlfn.SINGLE(_xll.BDP(N351, $E350)),1)="#", "-", _xll.BDP(N351, $E350))</f>
        <v>#NAME?</v>
      </c>
      <c r="O350" s="43" t="e" cm="1">
        <f t="array" aca="1" ref="O350" ca="1">IF(LEFT(_xlfn.SINGLE(_xll.BDP(O351, $E350)),1)="#", "-", _xll.BDP(O351, $E350))</f>
        <v>#NAME?</v>
      </c>
      <c r="P350" s="43" t="e" cm="1">
        <f t="array" aca="1" ref="P350" ca="1">IF(LEFT(_xlfn.SINGLE(_xll.BDP(P351, $E350)),1)="#", "-", _xll.BDP(P351, $E350))</f>
        <v>#NAME?</v>
      </c>
      <c r="Q350" s="43" t="e" cm="1">
        <f t="array" aca="1" ref="Q350" ca="1">IF(LEFT(_xlfn.SINGLE(_xll.BDP(Q351, $E350)),1)="#", "-", _xll.BDP(Q351, $E350))</f>
        <v>#NAME?</v>
      </c>
      <c r="R350" s="43" t="e" cm="1">
        <f t="array" aca="1" ref="R350" ca="1">IF(LEFT(_xlfn.SINGLE(_xll.BDP(R351, $E350)),1)="#", "-", _xll.BDP(R351, $E350))</f>
        <v>#NAME?</v>
      </c>
      <c r="S350" s="43" t="e" cm="1">
        <f t="array" aca="1" ref="S350" ca="1">IF(LEFT(_xlfn.SINGLE(_xll.BDP(S351, $E350)),1)="#", "-", _xll.BDP(S351, $E350))</f>
        <v>#NAME?</v>
      </c>
      <c r="T350" s="43" t="e" cm="1">
        <f t="array" aca="1" ref="T350" ca="1">IF(LEFT(_xlfn.SINGLE(_xll.BDP(T351, $E350)),1)="#", "-", _xll.BDP(T351, $E350))</f>
        <v>#NAME?</v>
      </c>
      <c r="U350" s="43" t="e" cm="1">
        <f t="array" aca="1" ref="U350" ca="1">IF(LEFT(_xlfn.SINGLE(_xll.BDP(U351, $E350)),1)="#", "-", _xll.BDP(U351, $E350))</f>
        <v>#NAME?</v>
      </c>
      <c r="V350" s="43" t="e" cm="1">
        <f t="array" aca="1" ref="V350" ca="1">IF(LEFT(_xlfn.SINGLE(_xll.BDP(V351, $E350)),1)="#", "-", _xll.BDP(V351, $E350))</f>
        <v>#NAME?</v>
      </c>
      <c r="W350" s="43" t="e" cm="1">
        <f t="array" aca="1" ref="W350" ca="1">IF(LEFT(_xlfn.SINGLE(_xll.BDP(W351, $E350)),1)="#", "-", _xll.BDP(W351, $E350))</f>
        <v>#NAME?</v>
      </c>
      <c r="X350" s="43" t="e" cm="1">
        <f t="array" aca="1" ref="X350" ca="1">IF(LEFT(_xlfn.SINGLE(_xll.BDP(X351, $E350)),1)="#", "-", _xll.BDP(X351, $E350))</f>
        <v>#NAME?</v>
      </c>
      <c r="Y350" s="43" t="e" cm="1">
        <f t="array" aca="1" ref="Y350" ca="1">IF(LEFT(_xlfn.SINGLE(_xll.BDP(Y351, $E350)),1)="#", "-", _xll.BDP(Y351, $E350))</f>
        <v>#NAME?</v>
      </c>
      <c r="Z350" s="43" t="e" cm="1">
        <f t="array" aca="1" ref="Z350" ca="1">IF(LEFT(_xlfn.SINGLE(_xll.BDP(Z351, $E350)),1)="#", "-", _xll.BDP(Z351, $E350))</f>
        <v>#NAME?</v>
      </c>
      <c r="AA350" s="43" t="e" cm="1">
        <f t="array" aca="1" ref="AA350" ca="1">IF(LEFT(_xlfn.SINGLE(_xll.BDP(AA351, $E350)),1)="#", "-", _xll.BDP(AA351, $E350))</f>
        <v>#NAME?</v>
      </c>
      <c r="AB350" s="43" t="e" cm="1">
        <f t="array" aca="1" ref="AB350" ca="1">IF(LEFT(_xlfn.SINGLE(_xll.BDP(AB351, $E350)),1)="#", "-", _xll.BDP(AB351, $E350))</f>
        <v>#NAME?</v>
      </c>
      <c r="AC350" s="43" t="e" cm="1">
        <f t="array" aca="1" ref="AC350" ca="1">IF(LEFT(_xlfn.SINGLE(_xll.BDP(AC351, $E350)),1)="#", "-", _xll.BDP(AC351, $E350))</f>
        <v>#NAME?</v>
      </c>
      <c r="AD350" s="43" t="e" cm="1">
        <f t="array" aca="1" ref="AD350" ca="1">IF(LEFT(_xlfn.SINGLE(_xll.BDP(AD351, $E350)),1)="#", "-", _xll.BDP(AD351, $E350))</f>
        <v>#NAME?</v>
      </c>
      <c r="AE350" s="43" t="e" cm="1">
        <f t="array" aca="1" ref="AE350" ca="1">IF(LEFT(_xlfn.SINGLE(_xll.BDP(AE351, $E350)),1)="#", "-", _xll.BDP(AE351, $E350))</f>
        <v>#NAME?</v>
      </c>
      <c r="AF350" s="43" t="e" cm="1">
        <f t="array" aca="1" ref="AF350" ca="1">IF(LEFT(_xlfn.SINGLE(_xll.BDP(AF351, $E350)),1)="#", "-", _xll.BDP(AF351, $E350))</f>
        <v>#NAME?</v>
      </c>
      <c r="AG350" s="43" t="e" cm="1">
        <f t="array" aca="1" ref="AG350" ca="1">IF(LEFT(_xlfn.SINGLE(_xll.BDP(AG351, $E350)),1)="#", "-", _xll.BDP(AG351, $E350))</f>
        <v>#NAME?</v>
      </c>
      <c r="AH350" s="43" t="e" cm="1">
        <f t="array" aca="1" ref="AH350" ca="1">IF(LEFT(_xlfn.SINGLE(_xll.BDP(AH351, $E350)),1)="#", "-", _xll.BDP(AH351, $E350))</f>
        <v>#NAME?</v>
      </c>
      <c r="AI350" s="43" t="e" cm="1">
        <f t="array" aca="1" ref="AI350" ca="1">IF(LEFT(_xlfn.SINGLE(_xll.BDP(AI351, $E350)),1)="#", "-", _xll.BDP(AI351, $E350))</f>
        <v>#NAME?</v>
      </c>
      <c r="AJ350" s="43" t="e" cm="1">
        <f t="array" aca="1" ref="AJ350" ca="1">IF(LEFT(_xlfn.SINGLE(_xll.BDP(AJ351, $E350)),1)="#", "-", _xll.BDP(AJ351, $E350))</f>
        <v>#NAME?</v>
      </c>
      <c r="AK350" s="43" t="e" cm="1">
        <f t="array" aca="1" ref="AK350" ca="1">IF(LEFT(_xlfn.SINGLE(_xll.BDP(AK351, $E350)),1)="#", "-", _xll.BDP(AK351, $E350))</f>
        <v>#NAME?</v>
      </c>
      <c r="AL350" s="43" t="e" cm="1">
        <f t="array" aca="1" ref="AL350" ca="1">IF(LEFT(_xlfn.SINGLE(_xll.BDP(AL351, $E350)),1)="#", "-", _xll.BDP(AL351, $E350))</f>
        <v>#NAME?</v>
      </c>
      <c r="AM350" s="43" t="e" cm="1">
        <f t="array" aca="1" ref="AM350" ca="1">IF(LEFT(_xlfn.SINGLE(_xll.BDP(AM351, $E350)),1)="#", "-", _xll.BDP(AM351, $E350))</f>
        <v>#NAME?</v>
      </c>
      <c r="AN350" s="43" t="e" cm="1">
        <f t="array" aca="1" ref="AN350" ca="1">IF(LEFT(_xlfn.SINGLE(_xll.BDP(AN351, $E350)),1)="#", "-", _xll.BDP(AN351, $E350))</f>
        <v>#NAME?</v>
      </c>
      <c r="AO350" s="43" t="e" cm="1">
        <f t="array" aca="1" ref="AO350" ca="1">IF(LEFT(_xlfn.SINGLE(_xll.BDP(AO351, $E350)),1)="#", "-", _xll.BDP(AO351, $E350))</f>
        <v>#NAME?</v>
      </c>
      <c r="AP350" s="43" t="e" cm="1">
        <f t="array" aca="1" ref="AP350" ca="1">IF(LEFT(_xlfn.SINGLE(_xll.BDP(AP351, $E350)),1)="#", "-", _xll.BDP(AP351, $E350))</f>
        <v>#NAME?</v>
      </c>
      <c r="AQ350" s="43" t="e" cm="1">
        <f t="array" aca="1" ref="AQ350" ca="1">IF(LEFT(_xlfn.SINGLE(_xll.BDP(AQ351, $E350)),1)="#", "-", _xll.BDP(AQ351, $E350))</f>
        <v>#NAME?</v>
      </c>
      <c r="AR350" s="43" t="e" cm="1">
        <f t="array" aca="1" ref="AR350" ca="1">IF(LEFT(_xlfn.SINGLE(_xll.BDP(AR351, $E350)),1)="#", "-", _xll.BDP(AR351, $E350))</f>
        <v>#NAME?</v>
      </c>
      <c r="AS350" s="43" t="e" cm="1">
        <f t="array" aca="1" ref="AS350" ca="1">IF(LEFT(_xlfn.SINGLE(_xll.BDP(AS351, $E350)),1)="#", "-", _xll.BDP(AS351, $E350))</f>
        <v>#NAME?</v>
      </c>
      <c r="AT350" s="43" t="e" cm="1">
        <f t="array" aca="1" ref="AT350" ca="1">IF(LEFT(_xlfn.SINGLE(_xll.BDP(AT351, $E350)),1)="#", "-", _xll.BDP(AT351, $E350))</f>
        <v>#NAME?</v>
      </c>
      <c r="AU350" s="43" t="e" cm="1">
        <f t="array" aca="1" ref="AU350" ca="1">IF(LEFT(_xlfn.SINGLE(_xll.BDP(AU351, $E350)),1)="#", "-", _xll.BDP(AU351, $E350))</f>
        <v>#NAME?</v>
      </c>
      <c r="AV350" s="43" t="e" cm="1">
        <f t="array" aca="1" ref="AV350" ca="1">IF(LEFT(_xlfn.SINGLE(_xll.BDP(AV351, $E350)),1)="#", "-", _xll.BDP(AV351, $E350))</f>
        <v>#NAME?</v>
      </c>
      <c r="AW350" s="43" t="e" cm="1">
        <f t="array" aca="1" ref="AW350" ca="1">IF(LEFT(_xlfn.SINGLE(_xll.BDP(AW351, $E350)),1)="#", "-", _xll.BDP(AW351, $E350))</f>
        <v>#NAME?</v>
      </c>
      <c r="AX350" s="43" t="e" cm="1">
        <f t="array" aca="1" ref="AX350" ca="1">IF(LEFT(_xlfn.SINGLE(_xll.BDP(AX351, $E350)),1)="#", "-", _xll.BDP(AX351, $E350))</f>
        <v>#NAME?</v>
      </c>
      <c r="AY350" s="43" t="e" cm="1">
        <f t="array" aca="1" ref="AY350" ca="1">IF(LEFT(_xlfn.SINGLE(_xll.BDP(AY351, $E350)),1)="#", "-", _xll.BDP(AY351, $E350))</f>
        <v>#NAME?</v>
      </c>
      <c r="AZ350" s="43" t="e" cm="1">
        <f t="array" aca="1" ref="AZ350" ca="1">IF(LEFT(_xlfn.SINGLE(_xll.BDP(AZ351, $E350)),1)="#", "-", _xll.BDP(AZ351, $E350))</f>
        <v>#NAME?</v>
      </c>
      <c r="BA350" s="45" t="e" cm="1">
        <f t="array" aca="1" ref="BA350" ca="1">IF(LEFT(_xlfn.SINGLE(_xll.BDP(BA351, $E350)),1)="#", "-", _xll.BDP(BA351, $E350))</f>
        <v>#NAME?</v>
      </c>
    </row>
    <row r="351" spans="2:53" ht="15" customHeight="1">
      <c r="B351" s="40"/>
      <c r="C351" s="145" t="str">
        <f>trans_getMessage("","Curve Tickers",,LANG_ID)</f>
        <v>Curve Tickers</v>
      </c>
      <c r="D351" s="146"/>
      <c r="E351" s="50" t="s">
        <v>46</v>
      </c>
      <c r="F351" s="42" t="e" cm="1">
        <f t="array" aca="1" ref="F351" ca="1">_xll.BDS(E346,E351,"Dir=H",)</f>
        <v>#NAME?</v>
      </c>
      <c r="G351" s="42"/>
      <c r="H351" s="42"/>
      <c r="I351" s="42"/>
      <c r="J351" s="42"/>
      <c r="K351" s="42"/>
      <c r="L351" s="42"/>
      <c r="M351" s="42"/>
      <c r="N351" s="42"/>
      <c r="O351" s="42"/>
      <c r="P351" s="42"/>
      <c r="Q351" s="42"/>
      <c r="R351" s="42"/>
      <c r="S351" s="42"/>
      <c r="T351" s="42"/>
      <c r="U351" s="42"/>
      <c r="V351" s="42"/>
      <c r="W351" s="42"/>
      <c r="X351" s="42"/>
      <c r="Y351" s="42"/>
      <c r="Z351" s="42"/>
      <c r="AA351" s="42"/>
      <c r="AB351" s="42"/>
      <c r="AC351" s="42"/>
      <c r="AD351" s="42"/>
      <c r="AE351" s="42"/>
      <c r="AF351" s="42"/>
      <c r="AG351" s="42"/>
      <c r="AH351" s="42"/>
      <c r="AI351" s="42"/>
      <c r="AJ351" s="42"/>
      <c r="AK351" s="42"/>
      <c r="AL351" s="42"/>
      <c r="AM351" s="42"/>
      <c r="AN351" s="42"/>
      <c r="AO351" s="42"/>
      <c r="AP351" s="42"/>
      <c r="AQ351" s="42"/>
      <c r="AR351" s="42"/>
      <c r="AS351" s="42"/>
      <c r="AT351" s="42"/>
      <c r="AU351" s="42"/>
      <c r="AV351" s="42"/>
      <c r="AW351" s="42"/>
      <c r="AX351" s="42"/>
      <c r="AY351" s="42"/>
      <c r="AZ351" s="42"/>
      <c r="BA351" s="44"/>
    </row>
    <row r="352" spans="2:53" ht="15" customHeight="1">
      <c r="C352" s="138" t="str">
        <f>trans_getMessage("","Rate",,LANG_ID)</f>
        <v>Rate</v>
      </c>
      <c r="D352" s="139"/>
      <c r="E352" s="51" t="s">
        <v>44</v>
      </c>
      <c r="F352" s="46" t="str" cm="1">
        <f t="array" aca="1" ref="F352" ca="1">IF(ISERROR(_xlfn.SINGLE(_xll.BDP(F351, $E352))*1), "-", _xll.BDP(F351, $E352))</f>
        <v>-</v>
      </c>
      <c r="G352" s="46" t="str" cm="1">
        <f t="array" aca="1" ref="G352" ca="1">IF(ISERROR(_xlfn.SINGLE(_xll.BDP(G351, $E352))*1), "-", _xll.BDP(G351, $E352))</f>
        <v>-</v>
      </c>
      <c r="H352" s="46" t="str" cm="1">
        <f t="array" aca="1" ref="H352" ca="1">IF(ISERROR(_xlfn.SINGLE(_xll.BDP(H351, $E352))*1), "-", _xll.BDP(H351, $E352))</f>
        <v>-</v>
      </c>
      <c r="I352" s="46" t="str" cm="1">
        <f t="array" aca="1" ref="I352" ca="1">IF(ISERROR(_xlfn.SINGLE(_xll.BDP(I351, $E352))*1), "-", _xll.BDP(I351, $E352))</f>
        <v>-</v>
      </c>
      <c r="J352" s="46" t="str" cm="1">
        <f t="array" aca="1" ref="J352" ca="1">IF(ISERROR(_xlfn.SINGLE(_xll.BDP(J351, $E352))*1), "-", _xll.BDP(J351, $E352))</f>
        <v>-</v>
      </c>
      <c r="K352" s="46" t="str" cm="1">
        <f t="array" aca="1" ref="K352" ca="1">IF(ISERROR(_xlfn.SINGLE(_xll.BDP(K351, $E352))*1), "-", _xll.BDP(K351, $E352))</f>
        <v>-</v>
      </c>
      <c r="L352" s="46" t="str" cm="1">
        <f t="array" aca="1" ref="L352" ca="1">IF(ISERROR(_xlfn.SINGLE(_xll.BDP(L351, $E352))*1), "-", _xll.BDP(L351, $E352))</f>
        <v>-</v>
      </c>
      <c r="M352" s="46" t="str" cm="1">
        <f t="array" aca="1" ref="M352" ca="1">IF(ISERROR(_xlfn.SINGLE(_xll.BDP(M351, $E352))*1), "-", _xll.BDP(M351, $E352))</f>
        <v>-</v>
      </c>
      <c r="N352" s="46" t="str" cm="1">
        <f t="array" aca="1" ref="N352" ca="1">IF(ISERROR(_xlfn.SINGLE(_xll.BDP(N351, $E352))*1), "-", _xll.BDP(N351, $E352))</f>
        <v>-</v>
      </c>
      <c r="O352" s="46" t="str" cm="1">
        <f t="array" aca="1" ref="O352" ca="1">IF(ISERROR(_xlfn.SINGLE(_xll.BDP(O351, $E352))*1), "-", _xll.BDP(O351, $E352))</f>
        <v>-</v>
      </c>
      <c r="P352" s="46" t="str" cm="1">
        <f t="array" aca="1" ref="P352" ca="1">IF(ISERROR(_xlfn.SINGLE(_xll.BDP(P351, $E352))*1), "-", _xll.BDP(P351, $E352))</f>
        <v>-</v>
      </c>
      <c r="Q352" s="46" t="str" cm="1">
        <f t="array" aca="1" ref="Q352" ca="1">IF(ISERROR(_xlfn.SINGLE(_xll.BDP(Q351, $E352))*1), "-", _xll.BDP(Q351, $E352))</f>
        <v>-</v>
      </c>
      <c r="R352" s="46" t="str" cm="1">
        <f t="array" aca="1" ref="R352" ca="1">IF(ISERROR(_xlfn.SINGLE(_xll.BDP(R351, $E352))*1), "-", _xll.BDP(R351, $E352))</f>
        <v>-</v>
      </c>
      <c r="S352" s="46" t="str" cm="1">
        <f t="array" aca="1" ref="S352" ca="1">IF(ISERROR(_xlfn.SINGLE(_xll.BDP(S351, $E352))*1), "-", _xll.BDP(S351, $E352))</f>
        <v>-</v>
      </c>
      <c r="T352" s="46" t="str" cm="1">
        <f t="array" aca="1" ref="T352" ca="1">IF(ISERROR(_xlfn.SINGLE(_xll.BDP(T351, $E352))*1), "-", _xll.BDP(T351, $E352))</f>
        <v>-</v>
      </c>
      <c r="U352" s="46" t="str" cm="1">
        <f t="array" aca="1" ref="U352" ca="1">IF(ISERROR(_xlfn.SINGLE(_xll.BDP(U351, $E352))*1), "-", _xll.BDP(U351, $E352))</f>
        <v>-</v>
      </c>
      <c r="V352" s="46" t="str" cm="1">
        <f t="array" aca="1" ref="V352" ca="1">IF(ISERROR(_xlfn.SINGLE(_xll.BDP(V351, $E352))*1), "-", _xll.BDP(V351, $E352))</f>
        <v>-</v>
      </c>
      <c r="W352" s="46" t="str" cm="1">
        <f t="array" aca="1" ref="W352" ca="1">IF(ISERROR(_xlfn.SINGLE(_xll.BDP(W351, $E352))*1), "-", _xll.BDP(W351, $E352))</f>
        <v>-</v>
      </c>
      <c r="X352" s="46" t="str" cm="1">
        <f t="array" aca="1" ref="X352" ca="1">IF(ISERROR(_xlfn.SINGLE(_xll.BDP(X351, $E352))*1), "-", _xll.BDP(X351, $E352))</f>
        <v>-</v>
      </c>
      <c r="Y352" s="46" t="str" cm="1">
        <f t="array" aca="1" ref="Y352" ca="1">IF(ISERROR(_xlfn.SINGLE(_xll.BDP(Y351, $E352))*1), "-", _xll.BDP(Y351, $E352))</f>
        <v>-</v>
      </c>
      <c r="Z352" s="46" t="str" cm="1">
        <f t="array" aca="1" ref="Z352" ca="1">IF(ISERROR(_xlfn.SINGLE(_xll.BDP(Z351, $E352))*1), "-", _xll.BDP(Z351, $E352))</f>
        <v>-</v>
      </c>
      <c r="AA352" s="46" t="str" cm="1">
        <f t="array" aca="1" ref="AA352" ca="1">IF(ISERROR(_xlfn.SINGLE(_xll.BDP(AA351, $E352))*1), "-", _xll.BDP(AA351, $E352))</f>
        <v>-</v>
      </c>
      <c r="AB352" s="46" t="str" cm="1">
        <f t="array" aca="1" ref="AB352" ca="1">IF(ISERROR(_xlfn.SINGLE(_xll.BDP(AB351, $E352))*1), "-", _xll.BDP(AB351, $E352))</f>
        <v>-</v>
      </c>
      <c r="AC352" s="46" t="str" cm="1">
        <f t="array" aca="1" ref="AC352" ca="1">IF(ISERROR(_xlfn.SINGLE(_xll.BDP(AC351, $E352))*1), "-", _xll.BDP(AC351, $E352))</f>
        <v>-</v>
      </c>
      <c r="AD352" s="46" t="str" cm="1">
        <f t="array" aca="1" ref="AD352" ca="1">IF(ISERROR(_xlfn.SINGLE(_xll.BDP(AD351, $E352))*1), "-", _xll.BDP(AD351, $E352))</f>
        <v>-</v>
      </c>
      <c r="AE352" s="46" t="str" cm="1">
        <f t="array" aca="1" ref="AE352" ca="1">IF(ISERROR(_xlfn.SINGLE(_xll.BDP(AE351, $E352))*1), "-", _xll.BDP(AE351, $E352))</f>
        <v>-</v>
      </c>
      <c r="AF352" s="46" t="str" cm="1">
        <f t="array" aca="1" ref="AF352" ca="1">IF(ISERROR(_xlfn.SINGLE(_xll.BDP(AF351, $E352))*1), "-", _xll.BDP(AF351, $E352))</f>
        <v>-</v>
      </c>
      <c r="AG352" s="46" t="str" cm="1">
        <f t="array" aca="1" ref="AG352" ca="1">IF(ISERROR(_xlfn.SINGLE(_xll.BDP(AG351, $E352))*1), "-", _xll.BDP(AG351, $E352))</f>
        <v>-</v>
      </c>
      <c r="AH352" s="46" t="str" cm="1">
        <f t="array" aca="1" ref="AH352" ca="1">IF(ISERROR(_xlfn.SINGLE(_xll.BDP(AH351, $E352))*1), "-", _xll.BDP(AH351, $E352))</f>
        <v>-</v>
      </c>
      <c r="AI352" s="46" t="str" cm="1">
        <f t="array" aca="1" ref="AI352" ca="1">IF(ISERROR(_xlfn.SINGLE(_xll.BDP(AI351, $E352))*1), "-", _xll.BDP(AI351, $E352))</f>
        <v>-</v>
      </c>
      <c r="AJ352" s="46" t="str" cm="1">
        <f t="array" aca="1" ref="AJ352" ca="1">IF(ISERROR(_xlfn.SINGLE(_xll.BDP(AJ351, $E352))*1), "-", _xll.BDP(AJ351, $E352))</f>
        <v>-</v>
      </c>
      <c r="AK352" s="46" t="str" cm="1">
        <f t="array" aca="1" ref="AK352" ca="1">IF(ISERROR(_xlfn.SINGLE(_xll.BDP(AK351, $E352))*1), "-", _xll.BDP(AK351, $E352))</f>
        <v>-</v>
      </c>
      <c r="AL352" s="46" t="str" cm="1">
        <f t="array" aca="1" ref="AL352" ca="1">IF(ISERROR(_xlfn.SINGLE(_xll.BDP(AL351, $E352))*1), "-", _xll.BDP(AL351, $E352))</f>
        <v>-</v>
      </c>
      <c r="AM352" s="46" t="str" cm="1">
        <f t="array" aca="1" ref="AM352" ca="1">IF(ISERROR(_xlfn.SINGLE(_xll.BDP(AM351, $E352))*1), "-", _xll.BDP(AM351, $E352))</f>
        <v>-</v>
      </c>
      <c r="AN352" s="46" t="str" cm="1">
        <f t="array" aca="1" ref="AN352" ca="1">IF(ISERROR(_xlfn.SINGLE(_xll.BDP(AN351, $E352))*1), "-", _xll.BDP(AN351, $E352))</f>
        <v>-</v>
      </c>
      <c r="AO352" s="46" t="str" cm="1">
        <f t="array" aca="1" ref="AO352" ca="1">IF(ISERROR(_xlfn.SINGLE(_xll.BDP(AO351, $E352))*1), "-", _xll.BDP(AO351, $E352))</f>
        <v>-</v>
      </c>
      <c r="AP352" s="46" t="str" cm="1">
        <f t="array" aca="1" ref="AP352" ca="1">IF(ISERROR(_xlfn.SINGLE(_xll.BDP(AP351, $E352))*1), "-", _xll.BDP(AP351, $E352))</f>
        <v>-</v>
      </c>
      <c r="AQ352" s="46" t="str" cm="1">
        <f t="array" aca="1" ref="AQ352" ca="1">IF(ISERROR(_xlfn.SINGLE(_xll.BDP(AQ351, $E352))*1), "-", _xll.BDP(AQ351, $E352))</f>
        <v>-</v>
      </c>
      <c r="AR352" s="46" t="str" cm="1">
        <f t="array" aca="1" ref="AR352" ca="1">IF(ISERROR(_xlfn.SINGLE(_xll.BDP(AR351, $E352))*1), "-", _xll.BDP(AR351, $E352))</f>
        <v>-</v>
      </c>
      <c r="AS352" s="46" t="str" cm="1">
        <f t="array" aca="1" ref="AS352" ca="1">IF(ISERROR(_xlfn.SINGLE(_xll.BDP(AS351, $E352))*1), "-", _xll.BDP(AS351, $E352))</f>
        <v>-</v>
      </c>
      <c r="AT352" s="46" t="str" cm="1">
        <f t="array" aca="1" ref="AT352" ca="1">IF(ISERROR(_xlfn.SINGLE(_xll.BDP(AT351, $E352))*1), "-", _xll.BDP(AT351, $E352))</f>
        <v>-</v>
      </c>
      <c r="AU352" s="46" t="str" cm="1">
        <f t="array" aca="1" ref="AU352" ca="1">IF(ISERROR(_xlfn.SINGLE(_xll.BDP(AU351, $E352))*1), "-", _xll.BDP(AU351, $E352))</f>
        <v>-</v>
      </c>
      <c r="AV352" s="46" t="str" cm="1">
        <f t="array" aca="1" ref="AV352" ca="1">IF(ISERROR(_xlfn.SINGLE(_xll.BDP(AV351, $E352))*1), "-", _xll.BDP(AV351, $E352))</f>
        <v>-</v>
      </c>
      <c r="AW352" s="46" t="str" cm="1">
        <f t="array" aca="1" ref="AW352" ca="1">IF(ISERROR(_xlfn.SINGLE(_xll.BDP(AW351, $E352))*1), "-", _xll.BDP(AW351, $E352))</f>
        <v>-</v>
      </c>
      <c r="AX352" s="46" t="str" cm="1">
        <f t="array" aca="1" ref="AX352" ca="1">IF(ISERROR(_xlfn.SINGLE(_xll.BDP(AX351, $E352))*1), "-", _xll.BDP(AX351, $E352))</f>
        <v>-</v>
      </c>
      <c r="AY352" s="46" t="str" cm="1">
        <f t="array" aca="1" ref="AY352" ca="1">IF(ISERROR(_xlfn.SINGLE(_xll.BDP(AY351, $E352))*1), "-", _xll.BDP(AY351, $E352))</f>
        <v>-</v>
      </c>
      <c r="AZ352" s="46" t="str" cm="1">
        <f t="array" aca="1" ref="AZ352" ca="1">IF(ISERROR(_xlfn.SINGLE(_xll.BDP(AZ351, $E352))*1), "-", _xll.BDP(AZ351, $E352))</f>
        <v>-</v>
      </c>
      <c r="BA352" s="47" t="str" cm="1">
        <f t="array" aca="1" ref="BA352" ca="1">IF(ISERROR(_xlfn.SINGLE(_xll.BDP(BA351, $E352))*1), "-", _xll.BDP(BA351, $E352))</f>
        <v>-</v>
      </c>
    </row>
    <row r="354" spans="1:53" ht="15" customHeight="1">
      <c r="B354" s="38" t="s">
        <v>2210</v>
      </c>
      <c r="C354" s="140" t="str">
        <f>trans_getMessage("","Curve Number",,LANG_ID)</f>
        <v>Curve Number</v>
      </c>
      <c r="D354" s="141"/>
      <c r="E354" s="142">
        <f>VLOOKUP(B354, 'Currency-Curve List'!$C$9:$E$103, 2, FALSE)</f>
        <v>368</v>
      </c>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4"/>
    </row>
    <row r="355" spans="1:53" ht="15" customHeight="1">
      <c r="C355" s="145" t="str">
        <f>trans_getMessage("","Curve Index",,LANG_ID)</f>
        <v>Curve Index</v>
      </c>
      <c r="D355" s="146"/>
      <c r="E355" s="147" t="str">
        <f>VLOOKUP(B354, 'Currency-Curve List'!$C$9:$E$103, 3, FALSE)</f>
        <v>YCSW0368 Index</v>
      </c>
      <c r="F355" s="148"/>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9"/>
    </row>
    <row r="356" spans="1:53" ht="15" customHeight="1">
      <c r="C356" s="145" t="str">
        <f>trans_getMessage("","Curve Name",,LANG_ID)</f>
        <v>Curve Name</v>
      </c>
      <c r="D356" s="146"/>
      <c r="E356" s="150" t="e" cm="1">
        <f t="array" aca="1" ref="E356" ca="1">_xll.BDP(E355, "NAME")</f>
        <v>#NAME?</v>
      </c>
      <c r="F356" s="151"/>
      <c r="G356" s="151"/>
      <c r="H356" s="151"/>
      <c r="I356" s="151"/>
      <c r="J356" s="151"/>
      <c r="K356" s="151"/>
      <c r="L356" s="151"/>
      <c r="M356" s="151"/>
      <c r="N356" s="151"/>
      <c r="O356" s="151"/>
      <c r="P356" s="151"/>
      <c r="Q356" s="151"/>
      <c r="R356" s="151"/>
      <c r="S356" s="151"/>
      <c r="T356" s="151"/>
      <c r="U356" s="151"/>
      <c r="V356" s="151"/>
      <c r="W356" s="151"/>
      <c r="X356" s="151"/>
      <c r="Y356" s="151"/>
      <c r="Z356" s="151"/>
      <c r="AA356" s="151"/>
      <c r="AB356" s="151"/>
      <c r="AC356" s="151"/>
      <c r="AD356" s="151"/>
      <c r="AE356" s="151"/>
      <c r="AF356" s="151"/>
      <c r="AG356" s="151"/>
      <c r="AH356" s="151"/>
      <c r="AI356" s="151"/>
      <c r="AJ356" s="151"/>
      <c r="AK356" s="151"/>
      <c r="AL356" s="151"/>
      <c r="AM356" s="151"/>
      <c r="AN356" s="151"/>
      <c r="AO356" s="151"/>
      <c r="AP356" s="151"/>
      <c r="AQ356" s="151"/>
      <c r="AR356" s="151"/>
      <c r="AS356" s="151"/>
      <c r="AT356" s="151"/>
      <c r="AU356" s="151"/>
      <c r="AV356" s="151"/>
      <c r="AW356" s="151"/>
      <c r="AX356" s="151"/>
      <c r="AY356" s="151"/>
      <c r="AZ356" s="151"/>
      <c r="BA356" s="152"/>
    </row>
    <row r="357" spans="1:53" ht="15" customHeight="1">
      <c r="C357" s="145" t="str">
        <f>trans_getMessage("","Tenors",,LANG_ID)</f>
        <v>Tenors</v>
      </c>
      <c r="D357" s="146"/>
      <c r="E357" s="48" t="s">
        <v>50</v>
      </c>
      <c r="F357" s="42" t="e" cm="1">
        <f t="array" aca="1" ref="F357" ca="1">_xll.BDS(E355,E357,"Dir=H",)</f>
        <v>#NAME?</v>
      </c>
      <c r="G357" s="42"/>
      <c r="H357" s="42"/>
      <c r="I357" s="42"/>
      <c r="J357" s="42"/>
      <c r="K357" s="42"/>
      <c r="L357" s="42"/>
      <c r="M357" s="42"/>
      <c r="N357" s="42"/>
      <c r="O357" s="42"/>
      <c r="P357" s="42"/>
      <c r="Q357" s="42"/>
      <c r="R357" s="42"/>
      <c r="S357" s="42"/>
      <c r="T357" s="42"/>
      <c r="U357" s="42"/>
      <c r="V357" s="42"/>
      <c r="W357" s="42"/>
      <c r="X357" s="42"/>
      <c r="Y357" s="42"/>
      <c r="Z357" s="42"/>
      <c r="AA357" s="42"/>
      <c r="AB357" s="42"/>
      <c r="AC357" s="42"/>
      <c r="AD357" s="42"/>
      <c r="AE357" s="42"/>
      <c r="AF357" s="42"/>
      <c r="AG357" s="42"/>
      <c r="AH357" s="42"/>
      <c r="AI357" s="42"/>
      <c r="AJ357" s="42"/>
      <c r="AK357" s="42"/>
      <c r="AL357" s="42"/>
      <c r="AM357" s="42"/>
      <c r="AN357" s="42"/>
      <c r="AO357" s="42"/>
      <c r="AP357" s="42"/>
      <c r="AQ357" s="42"/>
      <c r="AR357" s="42"/>
      <c r="AS357" s="42"/>
      <c r="AT357" s="42"/>
      <c r="AU357" s="42"/>
      <c r="AV357" s="42"/>
      <c r="AW357" s="42"/>
      <c r="AX357" s="42"/>
      <c r="AY357" s="42"/>
      <c r="AZ357" s="42"/>
      <c r="BA357" s="44"/>
    </row>
    <row r="358" spans="1:53" ht="15" hidden="1" customHeight="1">
      <c r="C358" s="145" t="s">
        <v>2211</v>
      </c>
      <c r="D358" s="146"/>
      <c r="E358" s="48"/>
      <c r="F358" s="42" t="e">
        <f ca="1">IF(F357="","",IF(F357="12M","1Y",IF(F357="24M","2Y",F357)))</f>
        <v>#NAME?</v>
      </c>
      <c r="G358" s="42" t="str">
        <f t="shared" ref="G358" si="1552">IF(G357="","",IF(G357="12M","1Y",IF(G357="24M","2Y",G357)))</f>
        <v/>
      </c>
      <c r="H358" s="42" t="str">
        <f t="shared" ref="H358" si="1553">IF(H357="","",IF(H357="12M","1Y",IF(H357="24M","2Y",H357)))</f>
        <v/>
      </c>
      <c r="I358" s="42" t="str">
        <f t="shared" ref="I358" si="1554">IF(I357="","",IF(I357="12M","1Y",IF(I357="24M","2Y",I357)))</f>
        <v/>
      </c>
      <c r="J358" s="42" t="str">
        <f t="shared" ref="J358" si="1555">IF(J357="","",IF(J357="12M","1Y",IF(J357="24M","2Y",J357)))</f>
        <v/>
      </c>
      <c r="K358" s="42" t="str">
        <f t="shared" ref="K358" si="1556">IF(K357="","",IF(K357="12M","1Y",IF(K357="24M","2Y",K357)))</f>
        <v/>
      </c>
      <c r="L358" s="42" t="str">
        <f t="shared" ref="L358" si="1557">IF(L357="","",IF(L357="12M","1Y",IF(L357="24M","2Y",L357)))</f>
        <v/>
      </c>
      <c r="M358" s="42" t="str">
        <f t="shared" ref="M358" si="1558">IF(M357="","",IF(M357="12M","1Y",IF(M357="24M","2Y",M357)))</f>
        <v/>
      </c>
      <c r="N358" s="42" t="str">
        <f t="shared" ref="N358" si="1559">IF(N357="","",IF(N357="12M","1Y",IF(N357="24M","2Y",N357)))</f>
        <v/>
      </c>
      <c r="O358" s="42" t="str">
        <f t="shared" ref="O358" si="1560">IF(O357="","",IF(O357="12M","1Y",IF(O357="24M","2Y",O357)))</f>
        <v/>
      </c>
      <c r="P358" s="42" t="str">
        <f t="shared" ref="P358" si="1561">IF(P357="","",IF(P357="12M","1Y",IF(P357="24M","2Y",P357)))</f>
        <v/>
      </c>
      <c r="Q358" s="42" t="str">
        <f t="shared" ref="Q358" si="1562">IF(Q357="","",IF(Q357="12M","1Y",IF(Q357="24M","2Y",Q357)))</f>
        <v/>
      </c>
      <c r="R358" s="42" t="str">
        <f t="shared" ref="R358" si="1563">IF(R357="","",IF(R357="12M","1Y",IF(R357="24M","2Y",R357)))</f>
        <v/>
      </c>
      <c r="S358" s="42" t="str">
        <f t="shared" ref="S358" si="1564">IF(S357="","",IF(S357="12M","1Y",IF(S357="24M","2Y",S357)))</f>
        <v/>
      </c>
      <c r="T358" s="42" t="str">
        <f t="shared" ref="T358" si="1565">IF(T357="","",IF(T357="12M","1Y",IF(T357="24M","2Y",T357)))</f>
        <v/>
      </c>
      <c r="U358" s="42" t="str">
        <f t="shared" ref="U358" si="1566">IF(U357="","",IF(U357="12M","1Y",IF(U357="24M","2Y",U357)))</f>
        <v/>
      </c>
      <c r="V358" s="42" t="str">
        <f t="shared" ref="V358" si="1567">IF(V357="","",IF(V357="12M","1Y",IF(V357="24M","2Y",V357)))</f>
        <v/>
      </c>
      <c r="W358" s="42" t="str">
        <f t="shared" ref="W358" si="1568">IF(W357="","",IF(W357="12M","1Y",IF(W357="24M","2Y",W357)))</f>
        <v/>
      </c>
      <c r="X358" s="42" t="str">
        <f t="shared" ref="X358" si="1569">IF(X357="","",IF(X357="12M","1Y",IF(X357="24M","2Y",X357)))</f>
        <v/>
      </c>
      <c r="Y358" s="42" t="str">
        <f t="shared" ref="Y358" si="1570">IF(Y357="","",IF(Y357="12M","1Y",IF(Y357="24M","2Y",Y357)))</f>
        <v/>
      </c>
      <c r="Z358" s="42" t="str">
        <f t="shared" ref="Z358" si="1571">IF(Z357="","",IF(Z357="12M","1Y",IF(Z357="24M","2Y",Z357)))</f>
        <v/>
      </c>
      <c r="AA358" s="42" t="str">
        <f t="shared" ref="AA358" si="1572">IF(AA357="","",IF(AA357="12M","1Y",IF(AA357="24M","2Y",AA357)))</f>
        <v/>
      </c>
      <c r="AB358" s="42" t="str">
        <f t="shared" ref="AB358" si="1573">IF(AB357="","",IF(AB357="12M","1Y",IF(AB357="24M","2Y",AB357)))</f>
        <v/>
      </c>
      <c r="AC358" s="42" t="str">
        <f t="shared" ref="AC358" si="1574">IF(AC357="","",IF(AC357="12M","1Y",IF(AC357="24M","2Y",AC357)))</f>
        <v/>
      </c>
      <c r="AD358" s="42" t="str">
        <f t="shared" ref="AD358" si="1575">IF(AD357="","",IF(AD357="12M","1Y",IF(AD357="24M","2Y",AD357)))</f>
        <v/>
      </c>
      <c r="AE358" s="42" t="str">
        <f t="shared" ref="AE358" si="1576">IF(AE357="","",IF(AE357="12M","1Y",IF(AE357="24M","2Y",AE357)))</f>
        <v/>
      </c>
      <c r="AF358" s="42" t="str">
        <f t="shared" ref="AF358" si="1577">IF(AF357="","",IF(AF357="12M","1Y",IF(AF357="24M","2Y",AF357)))</f>
        <v/>
      </c>
      <c r="AG358" s="42" t="str">
        <f t="shared" ref="AG358" si="1578">IF(AG357="","",IF(AG357="12M","1Y",IF(AG357="24M","2Y",AG357)))</f>
        <v/>
      </c>
      <c r="AH358" s="42" t="str">
        <f t="shared" ref="AH358" si="1579">IF(AH357="","",IF(AH357="12M","1Y",IF(AH357="24M","2Y",AH357)))</f>
        <v/>
      </c>
      <c r="AI358" s="42" t="str">
        <f t="shared" ref="AI358" si="1580">IF(AI357="","",IF(AI357="12M","1Y",IF(AI357="24M","2Y",AI357)))</f>
        <v/>
      </c>
      <c r="AJ358" s="42" t="str">
        <f t="shared" ref="AJ358" si="1581">IF(AJ357="","",IF(AJ357="12M","1Y",IF(AJ357="24M","2Y",AJ357)))</f>
        <v/>
      </c>
      <c r="AK358" s="42" t="str">
        <f t="shared" ref="AK358" si="1582">IF(AK357="","",IF(AK357="12M","1Y",IF(AK357="24M","2Y",AK357)))</f>
        <v/>
      </c>
      <c r="AL358" s="42" t="str">
        <f t="shared" ref="AL358" si="1583">IF(AL357="","",IF(AL357="12M","1Y",IF(AL357="24M","2Y",AL357)))</f>
        <v/>
      </c>
      <c r="AM358" s="42" t="str">
        <f t="shared" ref="AM358" si="1584">IF(AM357="","",IF(AM357="12M","1Y",IF(AM357="24M","2Y",AM357)))</f>
        <v/>
      </c>
      <c r="AN358" s="42" t="str">
        <f t="shared" ref="AN358" si="1585">IF(AN357="","",IF(AN357="12M","1Y",IF(AN357="24M","2Y",AN357)))</f>
        <v/>
      </c>
      <c r="AO358" s="42" t="str">
        <f t="shared" ref="AO358" si="1586">IF(AO357="","",IF(AO357="12M","1Y",IF(AO357="24M","2Y",AO357)))</f>
        <v/>
      </c>
      <c r="AP358" s="42" t="str">
        <f t="shared" ref="AP358" si="1587">IF(AP357="","",IF(AP357="12M","1Y",IF(AP357="24M","2Y",AP357)))</f>
        <v/>
      </c>
      <c r="AQ358" s="42" t="str">
        <f t="shared" ref="AQ358" si="1588">IF(AQ357="","",IF(AQ357="12M","1Y",IF(AQ357="24M","2Y",AQ357)))</f>
        <v/>
      </c>
      <c r="AR358" s="42" t="str">
        <f t="shared" ref="AR358" si="1589">IF(AR357="","",IF(AR357="12M","1Y",IF(AR357="24M","2Y",AR357)))</f>
        <v/>
      </c>
      <c r="AS358" s="42" t="str">
        <f t="shared" ref="AS358" si="1590">IF(AS357="","",IF(AS357="12M","1Y",IF(AS357="24M","2Y",AS357)))</f>
        <v/>
      </c>
      <c r="AT358" s="42" t="str">
        <f t="shared" ref="AT358" si="1591">IF(AT357="","",IF(AT357="12M","1Y",IF(AT357="24M","2Y",AT357)))</f>
        <v/>
      </c>
      <c r="AU358" s="42" t="str">
        <f t="shared" ref="AU358" si="1592">IF(AU357="","",IF(AU357="12M","1Y",IF(AU357="24M","2Y",AU357)))</f>
        <v/>
      </c>
      <c r="AV358" s="42" t="str">
        <f t="shared" ref="AV358" si="1593">IF(AV357="","",IF(AV357="12M","1Y",IF(AV357="24M","2Y",AV357)))</f>
        <v/>
      </c>
      <c r="AW358" s="42" t="str">
        <f t="shared" ref="AW358" si="1594">IF(AW357="","",IF(AW357="12M","1Y",IF(AW357="24M","2Y",AW357)))</f>
        <v/>
      </c>
      <c r="AX358" s="42" t="str">
        <f t="shared" ref="AX358" si="1595">IF(AX357="","",IF(AX357="12M","1Y",IF(AX357="24M","2Y",AX357)))</f>
        <v/>
      </c>
      <c r="AY358" s="42" t="str">
        <f t="shared" ref="AY358" si="1596">IF(AY357="","",IF(AY357="12M","1Y",IF(AY357="24M","2Y",AY357)))</f>
        <v/>
      </c>
      <c r="AZ358" s="42" t="str">
        <f t="shared" ref="AZ358" si="1597">IF(AZ357="","",IF(AZ357="12M","1Y",IF(AZ357="24M","2Y",AZ357)))</f>
        <v/>
      </c>
      <c r="BA358" s="42" t="str">
        <f t="shared" ref="BA358" si="1598">IF(BA357="","",IF(BA357="12M","1Y",IF(BA357="24M","2Y",BA357)))</f>
        <v/>
      </c>
    </row>
    <row r="359" spans="1:53" ht="15" customHeight="1">
      <c r="A359" s="41"/>
      <c r="C359" s="153" t="str">
        <f>trans_getMessage("","Name",,LANG_ID)</f>
        <v>Name</v>
      </c>
      <c r="D359" s="154"/>
      <c r="E359" s="49" t="s">
        <v>49</v>
      </c>
      <c r="F359" s="43" t="e" cm="1">
        <f t="array" aca="1" ref="F359" ca="1">IF(LEFT(_xlfn.SINGLE(_xll.BDP(F360, $E359)),1)="#", "-", _xll.BDP(F360, $E359))</f>
        <v>#NAME?</v>
      </c>
      <c r="G359" s="43" t="e" cm="1">
        <f t="array" aca="1" ref="G359" ca="1">IF(LEFT(_xlfn.SINGLE(_xll.BDP(G360, $E359)),1)="#", "-", _xll.BDP(G360, $E359))</f>
        <v>#NAME?</v>
      </c>
      <c r="H359" s="43" t="e" cm="1">
        <f t="array" aca="1" ref="H359" ca="1">IF(LEFT(_xlfn.SINGLE(_xll.BDP(H360, $E359)),1)="#", "-", _xll.BDP(H360, $E359))</f>
        <v>#NAME?</v>
      </c>
      <c r="I359" s="43" t="e" cm="1">
        <f t="array" aca="1" ref="I359" ca="1">IF(LEFT(_xlfn.SINGLE(_xll.BDP(I360, $E359)),1)="#", "-", _xll.BDP(I360, $E359))</f>
        <v>#NAME?</v>
      </c>
      <c r="J359" s="43" t="e" cm="1">
        <f t="array" aca="1" ref="J359" ca="1">IF(LEFT(_xlfn.SINGLE(_xll.BDP(J360, $E359)),1)="#", "-", _xll.BDP(J360, $E359))</f>
        <v>#NAME?</v>
      </c>
      <c r="K359" s="43" t="e" cm="1">
        <f t="array" aca="1" ref="K359" ca="1">IF(LEFT(_xlfn.SINGLE(_xll.BDP(K360, $E359)),1)="#", "-", _xll.BDP(K360, $E359))</f>
        <v>#NAME?</v>
      </c>
      <c r="L359" s="43" t="e" cm="1">
        <f t="array" aca="1" ref="L359" ca="1">IF(LEFT(_xlfn.SINGLE(_xll.BDP(L360, $E359)),1)="#", "-", _xll.BDP(L360, $E359))</f>
        <v>#NAME?</v>
      </c>
      <c r="M359" s="43" t="e" cm="1">
        <f t="array" aca="1" ref="M359" ca="1">IF(LEFT(_xlfn.SINGLE(_xll.BDP(M360, $E359)),1)="#", "-", _xll.BDP(M360, $E359))</f>
        <v>#NAME?</v>
      </c>
      <c r="N359" s="43" t="e" cm="1">
        <f t="array" aca="1" ref="N359" ca="1">IF(LEFT(_xlfn.SINGLE(_xll.BDP(N360, $E359)),1)="#", "-", _xll.BDP(N360, $E359))</f>
        <v>#NAME?</v>
      </c>
      <c r="O359" s="43" t="e" cm="1">
        <f t="array" aca="1" ref="O359" ca="1">IF(LEFT(_xlfn.SINGLE(_xll.BDP(O360, $E359)),1)="#", "-", _xll.BDP(O360, $E359))</f>
        <v>#NAME?</v>
      </c>
      <c r="P359" s="43" t="e" cm="1">
        <f t="array" aca="1" ref="P359" ca="1">IF(LEFT(_xlfn.SINGLE(_xll.BDP(P360, $E359)),1)="#", "-", _xll.BDP(P360, $E359))</f>
        <v>#NAME?</v>
      </c>
      <c r="Q359" s="43" t="e" cm="1">
        <f t="array" aca="1" ref="Q359" ca="1">IF(LEFT(_xlfn.SINGLE(_xll.BDP(Q360, $E359)),1)="#", "-", _xll.BDP(Q360, $E359))</f>
        <v>#NAME?</v>
      </c>
      <c r="R359" s="43" t="e" cm="1">
        <f t="array" aca="1" ref="R359" ca="1">IF(LEFT(_xlfn.SINGLE(_xll.BDP(R360, $E359)),1)="#", "-", _xll.BDP(R360, $E359))</f>
        <v>#NAME?</v>
      </c>
      <c r="S359" s="43" t="e" cm="1">
        <f t="array" aca="1" ref="S359" ca="1">IF(LEFT(_xlfn.SINGLE(_xll.BDP(S360, $E359)),1)="#", "-", _xll.BDP(S360, $E359))</f>
        <v>#NAME?</v>
      </c>
      <c r="T359" s="43" t="e" cm="1">
        <f t="array" aca="1" ref="T359" ca="1">IF(LEFT(_xlfn.SINGLE(_xll.BDP(T360, $E359)),1)="#", "-", _xll.BDP(T360, $E359))</f>
        <v>#NAME?</v>
      </c>
      <c r="U359" s="43" t="e" cm="1">
        <f t="array" aca="1" ref="U359" ca="1">IF(LEFT(_xlfn.SINGLE(_xll.BDP(U360, $E359)),1)="#", "-", _xll.BDP(U360, $E359))</f>
        <v>#NAME?</v>
      </c>
      <c r="V359" s="43" t="e" cm="1">
        <f t="array" aca="1" ref="V359" ca="1">IF(LEFT(_xlfn.SINGLE(_xll.BDP(V360, $E359)),1)="#", "-", _xll.BDP(V360, $E359))</f>
        <v>#NAME?</v>
      </c>
      <c r="W359" s="43" t="e" cm="1">
        <f t="array" aca="1" ref="W359" ca="1">IF(LEFT(_xlfn.SINGLE(_xll.BDP(W360, $E359)),1)="#", "-", _xll.BDP(W360, $E359))</f>
        <v>#NAME?</v>
      </c>
      <c r="X359" s="43" t="e" cm="1">
        <f t="array" aca="1" ref="X359" ca="1">IF(LEFT(_xlfn.SINGLE(_xll.BDP(X360, $E359)),1)="#", "-", _xll.BDP(X360, $E359))</f>
        <v>#NAME?</v>
      </c>
      <c r="Y359" s="43" t="e" cm="1">
        <f t="array" aca="1" ref="Y359" ca="1">IF(LEFT(_xlfn.SINGLE(_xll.BDP(Y360, $E359)),1)="#", "-", _xll.BDP(Y360, $E359))</f>
        <v>#NAME?</v>
      </c>
      <c r="Z359" s="43" t="e" cm="1">
        <f t="array" aca="1" ref="Z359" ca="1">IF(LEFT(_xlfn.SINGLE(_xll.BDP(Z360, $E359)),1)="#", "-", _xll.BDP(Z360, $E359))</f>
        <v>#NAME?</v>
      </c>
      <c r="AA359" s="43" t="e" cm="1">
        <f t="array" aca="1" ref="AA359" ca="1">IF(LEFT(_xlfn.SINGLE(_xll.BDP(AA360, $E359)),1)="#", "-", _xll.BDP(AA360, $E359))</f>
        <v>#NAME?</v>
      </c>
      <c r="AB359" s="43" t="e" cm="1">
        <f t="array" aca="1" ref="AB359" ca="1">IF(LEFT(_xlfn.SINGLE(_xll.BDP(AB360, $E359)),1)="#", "-", _xll.BDP(AB360, $E359))</f>
        <v>#NAME?</v>
      </c>
      <c r="AC359" s="43" t="e" cm="1">
        <f t="array" aca="1" ref="AC359" ca="1">IF(LEFT(_xlfn.SINGLE(_xll.BDP(AC360, $E359)),1)="#", "-", _xll.BDP(AC360, $E359))</f>
        <v>#NAME?</v>
      </c>
      <c r="AD359" s="43" t="e" cm="1">
        <f t="array" aca="1" ref="AD359" ca="1">IF(LEFT(_xlfn.SINGLE(_xll.BDP(AD360, $E359)),1)="#", "-", _xll.BDP(AD360, $E359))</f>
        <v>#NAME?</v>
      </c>
      <c r="AE359" s="43" t="e" cm="1">
        <f t="array" aca="1" ref="AE359" ca="1">IF(LEFT(_xlfn.SINGLE(_xll.BDP(AE360, $E359)),1)="#", "-", _xll.BDP(AE360, $E359))</f>
        <v>#NAME?</v>
      </c>
      <c r="AF359" s="43" t="e" cm="1">
        <f t="array" aca="1" ref="AF359" ca="1">IF(LEFT(_xlfn.SINGLE(_xll.BDP(AF360, $E359)),1)="#", "-", _xll.BDP(AF360, $E359))</f>
        <v>#NAME?</v>
      </c>
      <c r="AG359" s="43" t="e" cm="1">
        <f t="array" aca="1" ref="AG359" ca="1">IF(LEFT(_xlfn.SINGLE(_xll.BDP(AG360, $E359)),1)="#", "-", _xll.BDP(AG360, $E359))</f>
        <v>#NAME?</v>
      </c>
      <c r="AH359" s="43" t="e" cm="1">
        <f t="array" aca="1" ref="AH359" ca="1">IF(LEFT(_xlfn.SINGLE(_xll.BDP(AH360, $E359)),1)="#", "-", _xll.BDP(AH360, $E359))</f>
        <v>#NAME?</v>
      </c>
      <c r="AI359" s="43" t="e" cm="1">
        <f t="array" aca="1" ref="AI359" ca="1">IF(LEFT(_xlfn.SINGLE(_xll.BDP(AI360, $E359)),1)="#", "-", _xll.BDP(AI360, $E359))</f>
        <v>#NAME?</v>
      </c>
      <c r="AJ359" s="43" t="e" cm="1">
        <f t="array" aca="1" ref="AJ359" ca="1">IF(LEFT(_xlfn.SINGLE(_xll.BDP(AJ360, $E359)),1)="#", "-", _xll.BDP(AJ360, $E359))</f>
        <v>#NAME?</v>
      </c>
      <c r="AK359" s="43" t="e" cm="1">
        <f t="array" aca="1" ref="AK359" ca="1">IF(LEFT(_xlfn.SINGLE(_xll.BDP(AK360, $E359)),1)="#", "-", _xll.BDP(AK360, $E359))</f>
        <v>#NAME?</v>
      </c>
      <c r="AL359" s="43" t="e" cm="1">
        <f t="array" aca="1" ref="AL359" ca="1">IF(LEFT(_xlfn.SINGLE(_xll.BDP(AL360, $E359)),1)="#", "-", _xll.BDP(AL360, $E359))</f>
        <v>#NAME?</v>
      </c>
      <c r="AM359" s="43" t="e" cm="1">
        <f t="array" aca="1" ref="AM359" ca="1">IF(LEFT(_xlfn.SINGLE(_xll.BDP(AM360, $E359)),1)="#", "-", _xll.BDP(AM360, $E359))</f>
        <v>#NAME?</v>
      </c>
      <c r="AN359" s="43" t="e" cm="1">
        <f t="array" aca="1" ref="AN359" ca="1">IF(LEFT(_xlfn.SINGLE(_xll.BDP(AN360, $E359)),1)="#", "-", _xll.BDP(AN360, $E359))</f>
        <v>#NAME?</v>
      </c>
      <c r="AO359" s="43" t="e" cm="1">
        <f t="array" aca="1" ref="AO359" ca="1">IF(LEFT(_xlfn.SINGLE(_xll.BDP(AO360, $E359)),1)="#", "-", _xll.BDP(AO360, $E359))</f>
        <v>#NAME?</v>
      </c>
      <c r="AP359" s="43" t="e" cm="1">
        <f t="array" aca="1" ref="AP359" ca="1">IF(LEFT(_xlfn.SINGLE(_xll.BDP(AP360, $E359)),1)="#", "-", _xll.BDP(AP360, $E359))</f>
        <v>#NAME?</v>
      </c>
      <c r="AQ359" s="43" t="e" cm="1">
        <f t="array" aca="1" ref="AQ359" ca="1">IF(LEFT(_xlfn.SINGLE(_xll.BDP(AQ360, $E359)),1)="#", "-", _xll.BDP(AQ360, $E359))</f>
        <v>#NAME?</v>
      </c>
      <c r="AR359" s="43" t="e" cm="1">
        <f t="array" aca="1" ref="AR359" ca="1">IF(LEFT(_xlfn.SINGLE(_xll.BDP(AR360, $E359)),1)="#", "-", _xll.BDP(AR360, $E359))</f>
        <v>#NAME?</v>
      </c>
      <c r="AS359" s="43" t="e" cm="1">
        <f t="array" aca="1" ref="AS359" ca="1">IF(LEFT(_xlfn.SINGLE(_xll.BDP(AS360, $E359)),1)="#", "-", _xll.BDP(AS360, $E359))</f>
        <v>#NAME?</v>
      </c>
      <c r="AT359" s="43" t="e" cm="1">
        <f t="array" aca="1" ref="AT359" ca="1">IF(LEFT(_xlfn.SINGLE(_xll.BDP(AT360, $E359)),1)="#", "-", _xll.BDP(AT360, $E359))</f>
        <v>#NAME?</v>
      </c>
      <c r="AU359" s="43" t="e" cm="1">
        <f t="array" aca="1" ref="AU359" ca="1">IF(LEFT(_xlfn.SINGLE(_xll.BDP(AU360, $E359)),1)="#", "-", _xll.BDP(AU360, $E359))</f>
        <v>#NAME?</v>
      </c>
      <c r="AV359" s="43" t="e" cm="1">
        <f t="array" aca="1" ref="AV359" ca="1">IF(LEFT(_xlfn.SINGLE(_xll.BDP(AV360, $E359)),1)="#", "-", _xll.BDP(AV360, $E359))</f>
        <v>#NAME?</v>
      </c>
      <c r="AW359" s="43" t="e" cm="1">
        <f t="array" aca="1" ref="AW359" ca="1">IF(LEFT(_xlfn.SINGLE(_xll.BDP(AW360, $E359)),1)="#", "-", _xll.BDP(AW360, $E359))</f>
        <v>#NAME?</v>
      </c>
      <c r="AX359" s="43" t="e" cm="1">
        <f t="array" aca="1" ref="AX359" ca="1">IF(LEFT(_xlfn.SINGLE(_xll.BDP(AX360, $E359)),1)="#", "-", _xll.BDP(AX360, $E359))</f>
        <v>#NAME?</v>
      </c>
      <c r="AY359" s="43" t="e" cm="1">
        <f t="array" aca="1" ref="AY359" ca="1">IF(LEFT(_xlfn.SINGLE(_xll.BDP(AY360, $E359)),1)="#", "-", _xll.BDP(AY360, $E359))</f>
        <v>#NAME?</v>
      </c>
      <c r="AZ359" s="43" t="e" cm="1">
        <f t="array" aca="1" ref="AZ359" ca="1">IF(LEFT(_xlfn.SINGLE(_xll.BDP(AZ360, $E359)),1)="#", "-", _xll.BDP(AZ360, $E359))</f>
        <v>#NAME?</v>
      </c>
      <c r="BA359" s="45" t="e" cm="1">
        <f t="array" aca="1" ref="BA359" ca="1">IF(LEFT(_xlfn.SINGLE(_xll.BDP(BA360, $E359)),1)="#", "-", _xll.BDP(BA360, $E359))</f>
        <v>#NAME?</v>
      </c>
    </row>
    <row r="360" spans="1:53" ht="15" customHeight="1">
      <c r="B360" s="40"/>
      <c r="C360" s="145" t="str">
        <f>trans_getMessage("","Curve Tickers",,LANG_ID)</f>
        <v>Curve Tickers</v>
      </c>
      <c r="D360" s="146"/>
      <c r="E360" s="50" t="s">
        <v>46</v>
      </c>
      <c r="F360" s="42" t="e" cm="1">
        <f t="array" aca="1" ref="F360" ca="1">_xll.BDS(E355,E360,"Dir=H",)</f>
        <v>#NAME?</v>
      </c>
      <c r="G360" s="42"/>
      <c r="H360" s="42"/>
      <c r="I360" s="42"/>
      <c r="J360" s="42"/>
      <c r="K360" s="42"/>
      <c r="L360" s="42"/>
      <c r="M360" s="42"/>
      <c r="N360" s="42"/>
      <c r="O360" s="42"/>
      <c r="P360" s="42"/>
      <c r="Q360" s="42"/>
      <c r="R360" s="42"/>
      <c r="S360" s="42"/>
      <c r="T360" s="42"/>
      <c r="U360" s="42"/>
      <c r="V360" s="42"/>
      <c r="W360" s="42"/>
      <c r="X360" s="42"/>
      <c r="Y360" s="42"/>
      <c r="Z360" s="42"/>
      <c r="AA360" s="42"/>
      <c r="AB360" s="42"/>
      <c r="AC360" s="42"/>
      <c r="AD360" s="42"/>
      <c r="AE360" s="42"/>
      <c r="AF360" s="42"/>
      <c r="AG360" s="42"/>
      <c r="AH360" s="42"/>
      <c r="AI360" s="42"/>
      <c r="AJ360" s="42"/>
      <c r="AK360" s="42"/>
      <c r="AL360" s="42"/>
      <c r="AM360" s="42"/>
      <c r="AN360" s="42"/>
      <c r="AO360" s="42"/>
      <c r="AP360" s="42"/>
      <c r="AQ360" s="42"/>
      <c r="AR360" s="42"/>
      <c r="AS360" s="42"/>
      <c r="AT360" s="42"/>
      <c r="AU360" s="42"/>
      <c r="AV360" s="42"/>
      <c r="AW360" s="42"/>
      <c r="AX360" s="42"/>
      <c r="AY360" s="42"/>
      <c r="AZ360" s="42"/>
      <c r="BA360" s="44"/>
    </row>
    <row r="361" spans="1:53" ht="15" customHeight="1">
      <c r="C361" s="138" t="str">
        <f>trans_getMessage("","Rate",,LANG_ID)</f>
        <v>Rate</v>
      </c>
      <c r="D361" s="139"/>
      <c r="E361" s="51" t="s">
        <v>44</v>
      </c>
      <c r="F361" s="46" t="str" cm="1">
        <f t="array" aca="1" ref="F361" ca="1">IF(ISERROR(_xlfn.SINGLE(_xll.BDP(F360, $E361))*1), "-", _xll.BDP(F360, $E361))</f>
        <v>-</v>
      </c>
      <c r="G361" s="46" t="str" cm="1">
        <f t="array" aca="1" ref="G361" ca="1">IF(ISERROR(_xlfn.SINGLE(_xll.BDP(G360, $E361))*1), "-", _xll.BDP(G360, $E361))</f>
        <v>-</v>
      </c>
      <c r="H361" s="46" t="str" cm="1">
        <f t="array" aca="1" ref="H361" ca="1">IF(ISERROR(_xlfn.SINGLE(_xll.BDP(H360, $E361))*1), "-", _xll.BDP(H360, $E361))</f>
        <v>-</v>
      </c>
      <c r="I361" s="46" t="str" cm="1">
        <f t="array" aca="1" ref="I361" ca="1">IF(ISERROR(_xlfn.SINGLE(_xll.BDP(I360, $E361))*1), "-", _xll.BDP(I360, $E361))</f>
        <v>-</v>
      </c>
      <c r="J361" s="46" t="str" cm="1">
        <f t="array" aca="1" ref="J361" ca="1">IF(ISERROR(_xlfn.SINGLE(_xll.BDP(J360, $E361))*1), "-", _xll.BDP(J360, $E361))</f>
        <v>-</v>
      </c>
      <c r="K361" s="46" t="str" cm="1">
        <f t="array" aca="1" ref="K361" ca="1">IF(ISERROR(_xlfn.SINGLE(_xll.BDP(K360, $E361))*1), "-", _xll.BDP(K360, $E361))</f>
        <v>-</v>
      </c>
      <c r="L361" s="46" t="str" cm="1">
        <f t="array" aca="1" ref="L361" ca="1">IF(ISERROR(_xlfn.SINGLE(_xll.BDP(L360, $E361))*1), "-", _xll.BDP(L360, $E361))</f>
        <v>-</v>
      </c>
      <c r="M361" s="46" t="str" cm="1">
        <f t="array" aca="1" ref="M361" ca="1">IF(ISERROR(_xlfn.SINGLE(_xll.BDP(M360, $E361))*1), "-", _xll.BDP(M360, $E361))</f>
        <v>-</v>
      </c>
      <c r="N361" s="46" t="str" cm="1">
        <f t="array" aca="1" ref="N361" ca="1">IF(ISERROR(_xlfn.SINGLE(_xll.BDP(N360, $E361))*1), "-", _xll.BDP(N360, $E361))</f>
        <v>-</v>
      </c>
      <c r="O361" s="46" t="str" cm="1">
        <f t="array" aca="1" ref="O361" ca="1">IF(ISERROR(_xlfn.SINGLE(_xll.BDP(O360, $E361))*1), "-", _xll.BDP(O360, $E361))</f>
        <v>-</v>
      </c>
      <c r="P361" s="46" t="str" cm="1">
        <f t="array" aca="1" ref="P361" ca="1">IF(ISERROR(_xlfn.SINGLE(_xll.BDP(P360, $E361))*1), "-", _xll.BDP(P360, $E361))</f>
        <v>-</v>
      </c>
      <c r="Q361" s="46" t="str" cm="1">
        <f t="array" aca="1" ref="Q361" ca="1">IF(ISERROR(_xlfn.SINGLE(_xll.BDP(Q360, $E361))*1), "-", _xll.BDP(Q360, $E361))</f>
        <v>-</v>
      </c>
      <c r="R361" s="46" t="str" cm="1">
        <f t="array" aca="1" ref="R361" ca="1">IF(ISERROR(_xlfn.SINGLE(_xll.BDP(R360, $E361))*1), "-", _xll.BDP(R360, $E361))</f>
        <v>-</v>
      </c>
      <c r="S361" s="46" t="str" cm="1">
        <f t="array" aca="1" ref="S361" ca="1">IF(ISERROR(_xlfn.SINGLE(_xll.BDP(S360, $E361))*1), "-", _xll.BDP(S360, $E361))</f>
        <v>-</v>
      </c>
      <c r="T361" s="46" t="str" cm="1">
        <f t="array" aca="1" ref="T361" ca="1">IF(ISERROR(_xlfn.SINGLE(_xll.BDP(T360, $E361))*1), "-", _xll.BDP(T360, $E361))</f>
        <v>-</v>
      </c>
      <c r="U361" s="46" t="str" cm="1">
        <f t="array" aca="1" ref="U361" ca="1">IF(ISERROR(_xlfn.SINGLE(_xll.BDP(U360, $E361))*1), "-", _xll.BDP(U360, $E361))</f>
        <v>-</v>
      </c>
      <c r="V361" s="46" t="str" cm="1">
        <f t="array" aca="1" ref="V361" ca="1">IF(ISERROR(_xlfn.SINGLE(_xll.BDP(V360, $E361))*1), "-", _xll.BDP(V360, $E361))</f>
        <v>-</v>
      </c>
      <c r="W361" s="46" t="str" cm="1">
        <f t="array" aca="1" ref="W361" ca="1">IF(ISERROR(_xlfn.SINGLE(_xll.BDP(W360, $E361))*1), "-", _xll.BDP(W360, $E361))</f>
        <v>-</v>
      </c>
      <c r="X361" s="46" t="str" cm="1">
        <f t="array" aca="1" ref="X361" ca="1">IF(ISERROR(_xlfn.SINGLE(_xll.BDP(X360, $E361))*1), "-", _xll.BDP(X360, $E361))</f>
        <v>-</v>
      </c>
      <c r="Y361" s="46" t="str" cm="1">
        <f t="array" aca="1" ref="Y361" ca="1">IF(ISERROR(_xlfn.SINGLE(_xll.BDP(Y360, $E361))*1), "-", _xll.BDP(Y360, $E361))</f>
        <v>-</v>
      </c>
      <c r="Z361" s="46" t="str" cm="1">
        <f t="array" aca="1" ref="Z361" ca="1">IF(ISERROR(_xlfn.SINGLE(_xll.BDP(Z360, $E361))*1), "-", _xll.BDP(Z360, $E361))</f>
        <v>-</v>
      </c>
      <c r="AA361" s="46" t="str" cm="1">
        <f t="array" aca="1" ref="AA361" ca="1">IF(ISERROR(_xlfn.SINGLE(_xll.BDP(AA360, $E361))*1), "-", _xll.BDP(AA360, $E361))</f>
        <v>-</v>
      </c>
      <c r="AB361" s="46" t="str" cm="1">
        <f t="array" aca="1" ref="AB361" ca="1">IF(ISERROR(_xlfn.SINGLE(_xll.BDP(AB360, $E361))*1), "-", _xll.BDP(AB360, $E361))</f>
        <v>-</v>
      </c>
      <c r="AC361" s="46" t="str" cm="1">
        <f t="array" aca="1" ref="AC361" ca="1">IF(ISERROR(_xlfn.SINGLE(_xll.BDP(AC360, $E361))*1), "-", _xll.BDP(AC360, $E361))</f>
        <v>-</v>
      </c>
      <c r="AD361" s="46" t="str" cm="1">
        <f t="array" aca="1" ref="AD361" ca="1">IF(ISERROR(_xlfn.SINGLE(_xll.BDP(AD360, $E361))*1), "-", _xll.BDP(AD360, $E361))</f>
        <v>-</v>
      </c>
      <c r="AE361" s="46" t="str" cm="1">
        <f t="array" aca="1" ref="AE361" ca="1">IF(ISERROR(_xlfn.SINGLE(_xll.BDP(AE360, $E361))*1), "-", _xll.BDP(AE360, $E361))</f>
        <v>-</v>
      </c>
      <c r="AF361" s="46" t="str" cm="1">
        <f t="array" aca="1" ref="AF361" ca="1">IF(ISERROR(_xlfn.SINGLE(_xll.BDP(AF360, $E361))*1), "-", _xll.BDP(AF360, $E361))</f>
        <v>-</v>
      </c>
      <c r="AG361" s="46" t="str" cm="1">
        <f t="array" aca="1" ref="AG361" ca="1">IF(ISERROR(_xlfn.SINGLE(_xll.BDP(AG360, $E361))*1), "-", _xll.BDP(AG360, $E361))</f>
        <v>-</v>
      </c>
      <c r="AH361" s="46" t="str" cm="1">
        <f t="array" aca="1" ref="AH361" ca="1">IF(ISERROR(_xlfn.SINGLE(_xll.BDP(AH360, $E361))*1), "-", _xll.BDP(AH360, $E361))</f>
        <v>-</v>
      </c>
      <c r="AI361" s="46" t="str" cm="1">
        <f t="array" aca="1" ref="AI361" ca="1">IF(ISERROR(_xlfn.SINGLE(_xll.BDP(AI360, $E361))*1), "-", _xll.BDP(AI360, $E361))</f>
        <v>-</v>
      </c>
      <c r="AJ361" s="46" t="str" cm="1">
        <f t="array" aca="1" ref="AJ361" ca="1">IF(ISERROR(_xlfn.SINGLE(_xll.BDP(AJ360, $E361))*1), "-", _xll.BDP(AJ360, $E361))</f>
        <v>-</v>
      </c>
      <c r="AK361" s="46" t="str" cm="1">
        <f t="array" aca="1" ref="AK361" ca="1">IF(ISERROR(_xlfn.SINGLE(_xll.BDP(AK360, $E361))*1), "-", _xll.BDP(AK360, $E361))</f>
        <v>-</v>
      </c>
      <c r="AL361" s="46" t="str" cm="1">
        <f t="array" aca="1" ref="AL361" ca="1">IF(ISERROR(_xlfn.SINGLE(_xll.BDP(AL360, $E361))*1), "-", _xll.BDP(AL360, $E361))</f>
        <v>-</v>
      </c>
      <c r="AM361" s="46" t="str" cm="1">
        <f t="array" aca="1" ref="AM361" ca="1">IF(ISERROR(_xlfn.SINGLE(_xll.BDP(AM360, $E361))*1), "-", _xll.BDP(AM360, $E361))</f>
        <v>-</v>
      </c>
      <c r="AN361" s="46" t="str" cm="1">
        <f t="array" aca="1" ref="AN361" ca="1">IF(ISERROR(_xlfn.SINGLE(_xll.BDP(AN360, $E361))*1), "-", _xll.BDP(AN360, $E361))</f>
        <v>-</v>
      </c>
      <c r="AO361" s="46" t="str" cm="1">
        <f t="array" aca="1" ref="AO361" ca="1">IF(ISERROR(_xlfn.SINGLE(_xll.BDP(AO360, $E361))*1), "-", _xll.BDP(AO360, $E361))</f>
        <v>-</v>
      </c>
      <c r="AP361" s="46" t="str" cm="1">
        <f t="array" aca="1" ref="AP361" ca="1">IF(ISERROR(_xlfn.SINGLE(_xll.BDP(AP360, $E361))*1), "-", _xll.BDP(AP360, $E361))</f>
        <v>-</v>
      </c>
      <c r="AQ361" s="46" t="str" cm="1">
        <f t="array" aca="1" ref="AQ361" ca="1">IF(ISERROR(_xlfn.SINGLE(_xll.BDP(AQ360, $E361))*1), "-", _xll.BDP(AQ360, $E361))</f>
        <v>-</v>
      </c>
      <c r="AR361" s="46" t="str" cm="1">
        <f t="array" aca="1" ref="AR361" ca="1">IF(ISERROR(_xlfn.SINGLE(_xll.BDP(AR360, $E361))*1), "-", _xll.BDP(AR360, $E361))</f>
        <v>-</v>
      </c>
      <c r="AS361" s="46" t="str" cm="1">
        <f t="array" aca="1" ref="AS361" ca="1">IF(ISERROR(_xlfn.SINGLE(_xll.BDP(AS360, $E361))*1), "-", _xll.BDP(AS360, $E361))</f>
        <v>-</v>
      </c>
      <c r="AT361" s="46" t="str" cm="1">
        <f t="array" aca="1" ref="AT361" ca="1">IF(ISERROR(_xlfn.SINGLE(_xll.BDP(AT360, $E361))*1), "-", _xll.BDP(AT360, $E361))</f>
        <v>-</v>
      </c>
      <c r="AU361" s="46" t="str" cm="1">
        <f t="array" aca="1" ref="AU361" ca="1">IF(ISERROR(_xlfn.SINGLE(_xll.BDP(AU360, $E361))*1), "-", _xll.BDP(AU360, $E361))</f>
        <v>-</v>
      </c>
      <c r="AV361" s="46" t="str" cm="1">
        <f t="array" aca="1" ref="AV361" ca="1">IF(ISERROR(_xlfn.SINGLE(_xll.BDP(AV360, $E361))*1), "-", _xll.BDP(AV360, $E361))</f>
        <v>-</v>
      </c>
      <c r="AW361" s="46" t="str" cm="1">
        <f t="array" aca="1" ref="AW361" ca="1">IF(ISERROR(_xlfn.SINGLE(_xll.BDP(AW360, $E361))*1), "-", _xll.BDP(AW360, $E361))</f>
        <v>-</v>
      </c>
      <c r="AX361" s="46" t="str" cm="1">
        <f t="array" aca="1" ref="AX361" ca="1">IF(ISERROR(_xlfn.SINGLE(_xll.BDP(AX360, $E361))*1), "-", _xll.BDP(AX360, $E361))</f>
        <v>-</v>
      </c>
      <c r="AY361" s="46" t="str" cm="1">
        <f t="array" aca="1" ref="AY361" ca="1">IF(ISERROR(_xlfn.SINGLE(_xll.BDP(AY360, $E361))*1), "-", _xll.BDP(AY360, $E361))</f>
        <v>-</v>
      </c>
      <c r="AZ361" s="46" t="str" cm="1">
        <f t="array" aca="1" ref="AZ361" ca="1">IF(ISERROR(_xlfn.SINGLE(_xll.BDP(AZ360, $E361))*1), "-", _xll.BDP(AZ360, $E361))</f>
        <v>-</v>
      </c>
      <c r="BA361" s="47" t="str" cm="1">
        <f t="array" aca="1" ref="BA361" ca="1">IF(ISERROR(_xlfn.SINGLE(_xll.BDP(BA360, $E361))*1), "-", _xll.BDP(BA360, $E361))</f>
        <v>-</v>
      </c>
    </row>
  </sheetData>
  <mergeCells count="385">
    <mergeCell ref="C127:D127"/>
    <mergeCell ref="C137:D137"/>
    <mergeCell ref="C147:D147"/>
    <mergeCell ref="C157:D157"/>
    <mergeCell ref="C205:D205"/>
    <mergeCell ref="C206:D206"/>
    <mergeCell ref="C208:D208"/>
    <mergeCell ref="C209:D209"/>
    <mergeCell ref="C210:D210"/>
    <mergeCell ref="C213:D213"/>
    <mergeCell ref="C196:D196"/>
    <mergeCell ref="C198:D198"/>
    <mergeCell ref="C199:D199"/>
    <mergeCell ref="C200:D200"/>
    <mergeCell ref="C203:D203"/>
    <mergeCell ref="C204:D204"/>
    <mergeCell ref="C197:D197"/>
    <mergeCell ref="C207:D207"/>
    <mergeCell ref="C350:D350"/>
    <mergeCell ref="C351:D351"/>
    <mergeCell ref="C352:D352"/>
    <mergeCell ref="C341:D341"/>
    <mergeCell ref="C342:D342"/>
    <mergeCell ref="C345:D345"/>
    <mergeCell ref="C346:D346"/>
    <mergeCell ref="C347:D347"/>
    <mergeCell ref="C348:D348"/>
    <mergeCell ref="C349:D349"/>
    <mergeCell ref="C332:D332"/>
    <mergeCell ref="C335:D335"/>
    <mergeCell ref="C336:D336"/>
    <mergeCell ref="C337:D337"/>
    <mergeCell ref="C338:D338"/>
    <mergeCell ref="C340:D340"/>
    <mergeCell ref="C325:D325"/>
    <mergeCell ref="C326:D326"/>
    <mergeCell ref="C327:D327"/>
    <mergeCell ref="C328:D328"/>
    <mergeCell ref="C330:D330"/>
    <mergeCell ref="C331:D331"/>
    <mergeCell ref="C329:D329"/>
    <mergeCell ref="C339:D339"/>
    <mergeCell ref="C316:D316"/>
    <mergeCell ref="C317:D317"/>
    <mergeCell ref="C318:D318"/>
    <mergeCell ref="C320:D320"/>
    <mergeCell ref="C321:D321"/>
    <mergeCell ref="C322:D322"/>
    <mergeCell ref="C315:D315"/>
    <mergeCell ref="C307:D307"/>
    <mergeCell ref="C309:D309"/>
    <mergeCell ref="C310:D310"/>
    <mergeCell ref="C311:D311"/>
    <mergeCell ref="C308:D308"/>
    <mergeCell ref="C319:D319"/>
    <mergeCell ref="C299:D299"/>
    <mergeCell ref="C300:D300"/>
    <mergeCell ref="C301:D301"/>
    <mergeCell ref="C304:D304"/>
    <mergeCell ref="C305:D305"/>
    <mergeCell ref="C306:D306"/>
    <mergeCell ref="C290:D290"/>
    <mergeCell ref="C291:D291"/>
    <mergeCell ref="C294:D294"/>
    <mergeCell ref="C295:D295"/>
    <mergeCell ref="C296:D296"/>
    <mergeCell ref="C297:D297"/>
    <mergeCell ref="C298:D298"/>
    <mergeCell ref="C281:D281"/>
    <mergeCell ref="C284:D284"/>
    <mergeCell ref="C285:D285"/>
    <mergeCell ref="C286:D286"/>
    <mergeCell ref="C287:D287"/>
    <mergeCell ref="C289:D289"/>
    <mergeCell ref="C288:D288"/>
    <mergeCell ref="C274:D274"/>
    <mergeCell ref="C275:D275"/>
    <mergeCell ref="C276:D276"/>
    <mergeCell ref="C277:D277"/>
    <mergeCell ref="C279:D279"/>
    <mergeCell ref="C280:D280"/>
    <mergeCell ref="C278:D278"/>
    <mergeCell ref="C265:D265"/>
    <mergeCell ref="C266:D266"/>
    <mergeCell ref="C268:D268"/>
    <mergeCell ref="C269:D269"/>
    <mergeCell ref="C270:D270"/>
    <mergeCell ref="C256:D256"/>
    <mergeCell ref="C258:D258"/>
    <mergeCell ref="C259:D259"/>
    <mergeCell ref="C260:D260"/>
    <mergeCell ref="C263:D263"/>
    <mergeCell ref="C264:D264"/>
    <mergeCell ref="C257:D257"/>
    <mergeCell ref="C267:D267"/>
    <mergeCell ref="C249:D249"/>
    <mergeCell ref="C250:D250"/>
    <mergeCell ref="C253:D253"/>
    <mergeCell ref="C254:D254"/>
    <mergeCell ref="C255:D255"/>
    <mergeCell ref="C239:D239"/>
    <mergeCell ref="C240:D240"/>
    <mergeCell ref="C243:D243"/>
    <mergeCell ref="C244:D244"/>
    <mergeCell ref="C245:D245"/>
    <mergeCell ref="C246:D246"/>
    <mergeCell ref="C247:D247"/>
    <mergeCell ref="C217:D217"/>
    <mergeCell ref="C227:D227"/>
    <mergeCell ref="C214:D214"/>
    <mergeCell ref="C215:D215"/>
    <mergeCell ref="C216:D216"/>
    <mergeCell ref="C218:D218"/>
    <mergeCell ref="C219:D219"/>
    <mergeCell ref="C248:D248"/>
    <mergeCell ref="C220:D220"/>
    <mergeCell ref="C230:D230"/>
    <mergeCell ref="C233:D233"/>
    <mergeCell ref="C234:D234"/>
    <mergeCell ref="C235:D235"/>
    <mergeCell ref="C236:D236"/>
    <mergeCell ref="C238:D238"/>
    <mergeCell ref="C223:D223"/>
    <mergeCell ref="C224:D224"/>
    <mergeCell ref="C225:D225"/>
    <mergeCell ref="C226:D226"/>
    <mergeCell ref="C228:D228"/>
    <mergeCell ref="C229:D229"/>
    <mergeCell ref="C237:D237"/>
    <mergeCell ref="C170:D170"/>
    <mergeCell ref="C173:D173"/>
    <mergeCell ref="C174:D174"/>
    <mergeCell ref="C175:D175"/>
    <mergeCell ref="C176:D176"/>
    <mergeCell ref="C178:D178"/>
    <mergeCell ref="C177:D177"/>
    <mergeCell ref="C163:D163"/>
    <mergeCell ref="C164:D164"/>
    <mergeCell ref="C165:D165"/>
    <mergeCell ref="C166:D166"/>
    <mergeCell ref="C168:D168"/>
    <mergeCell ref="C169:D169"/>
    <mergeCell ref="C188:D188"/>
    <mergeCell ref="C189:D189"/>
    <mergeCell ref="C190:D190"/>
    <mergeCell ref="C193:D193"/>
    <mergeCell ref="C194:D194"/>
    <mergeCell ref="C195:D195"/>
    <mergeCell ref="C179:D179"/>
    <mergeCell ref="C180:D180"/>
    <mergeCell ref="C183:D183"/>
    <mergeCell ref="C184:D184"/>
    <mergeCell ref="C185:D185"/>
    <mergeCell ref="C186:D186"/>
    <mergeCell ref="C187:D187"/>
    <mergeCell ref="C154:D154"/>
    <mergeCell ref="C155:D155"/>
    <mergeCell ref="C156:D156"/>
    <mergeCell ref="C158:D158"/>
    <mergeCell ref="C159:D159"/>
    <mergeCell ref="C160:D160"/>
    <mergeCell ref="C167:D167"/>
    <mergeCell ref="C145:D145"/>
    <mergeCell ref="C146:D146"/>
    <mergeCell ref="C148:D148"/>
    <mergeCell ref="C149:D149"/>
    <mergeCell ref="C150:D150"/>
    <mergeCell ref="C153:D153"/>
    <mergeCell ref="C136:D136"/>
    <mergeCell ref="C138:D138"/>
    <mergeCell ref="C139:D139"/>
    <mergeCell ref="C140:D140"/>
    <mergeCell ref="C143:D143"/>
    <mergeCell ref="C144:D144"/>
    <mergeCell ref="C128:D128"/>
    <mergeCell ref="C129:D129"/>
    <mergeCell ref="C130:D130"/>
    <mergeCell ref="C133:D133"/>
    <mergeCell ref="C134:D134"/>
    <mergeCell ref="C135:D135"/>
    <mergeCell ref="C119:D119"/>
    <mergeCell ref="C120:D120"/>
    <mergeCell ref="C123:D123"/>
    <mergeCell ref="C124:D124"/>
    <mergeCell ref="C125:D125"/>
    <mergeCell ref="C126:D126"/>
    <mergeCell ref="C110:D110"/>
    <mergeCell ref="C113:D113"/>
    <mergeCell ref="C114:D114"/>
    <mergeCell ref="C115:D115"/>
    <mergeCell ref="C116:D116"/>
    <mergeCell ref="C118:D118"/>
    <mergeCell ref="C117:D117"/>
    <mergeCell ref="C103:D103"/>
    <mergeCell ref="C104:D104"/>
    <mergeCell ref="C105:D105"/>
    <mergeCell ref="C106:D106"/>
    <mergeCell ref="C108:D108"/>
    <mergeCell ref="C109:D109"/>
    <mergeCell ref="C94:D94"/>
    <mergeCell ref="C95:D95"/>
    <mergeCell ref="C96:D96"/>
    <mergeCell ref="C98:D98"/>
    <mergeCell ref="C99:D99"/>
    <mergeCell ref="C100:D100"/>
    <mergeCell ref="C97:D97"/>
    <mergeCell ref="C107:D107"/>
    <mergeCell ref="C86:D86"/>
    <mergeCell ref="C88:D88"/>
    <mergeCell ref="C89:D89"/>
    <mergeCell ref="C90:D90"/>
    <mergeCell ref="C93:D93"/>
    <mergeCell ref="C76:D76"/>
    <mergeCell ref="C78:D78"/>
    <mergeCell ref="C79:D79"/>
    <mergeCell ref="C80:D80"/>
    <mergeCell ref="C83:D83"/>
    <mergeCell ref="C84:D84"/>
    <mergeCell ref="C77:D77"/>
    <mergeCell ref="C87:D87"/>
    <mergeCell ref="C74:D74"/>
    <mergeCell ref="C75:D75"/>
    <mergeCell ref="C59:D59"/>
    <mergeCell ref="C60:D60"/>
    <mergeCell ref="C63:D63"/>
    <mergeCell ref="C64:D64"/>
    <mergeCell ref="C65:D65"/>
    <mergeCell ref="C66:D66"/>
    <mergeCell ref="C85:D85"/>
    <mergeCell ref="C67:D67"/>
    <mergeCell ref="C53:D53"/>
    <mergeCell ref="C54:D54"/>
    <mergeCell ref="C55:D55"/>
    <mergeCell ref="C56:D56"/>
    <mergeCell ref="C58:D58"/>
    <mergeCell ref="C68:D68"/>
    <mergeCell ref="C69:D69"/>
    <mergeCell ref="C70:D70"/>
    <mergeCell ref="C73:D73"/>
    <mergeCell ref="C57:D57"/>
    <mergeCell ref="C44:D44"/>
    <mergeCell ref="C45:D45"/>
    <mergeCell ref="C46:D46"/>
    <mergeCell ref="C48:D48"/>
    <mergeCell ref="C49:D49"/>
    <mergeCell ref="C50:D50"/>
    <mergeCell ref="C35:D35"/>
    <mergeCell ref="C36:D36"/>
    <mergeCell ref="C38:D38"/>
    <mergeCell ref="C39:D39"/>
    <mergeCell ref="C40:D40"/>
    <mergeCell ref="C43:D43"/>
    <mergeCell ref="C37:D37"/>
    <mergeCell ref="C47:D47"/>
    <mergeCell ref="C33:D33"/>
    <mergeCell ref="C34:D34"/>
    <mergeCell ref="C27:D27"/>
    <mergeCell ref="C28:D28"/>
    <mergeCell ref="C29:D29"/>
    <mergeCell ref="C22:D22"/>
    <mergeCell ref="C23:D23"/>
    <mergeCell ref="C24:D24"/>
    <mergeCell ref="C25:D25"/>
    <mergeCell ref="C26:D26"/>
    <mergeCell ref="C18:D18"/>
    <mergeCell ref="C11:D11"/>
    <mergeCell ref="C12:D12"/>
    <mergeCell ref="C13:D13"/>
    <mergeCell ref="C14:D14"/>
    <mergeCell ref="C16:D16"/>
    <mergeCell ref="C17:D17"/>
    <mergeCell ref="C15:D15"/>
    <mergeCell ref="E11:BA11"/>
    <mergeCell ref="E12:BA12"/>
    <mergeCell ref="E13:BA13"/>
    <mergeCell ref="E22:BA22"/>
    <mergeCell ref="E23:BA23"/>
    <mergeCell ref="E24:BA24"/>
    <mergeCell ref="E33:BA33"/>
    <mergeCell ref="E34:BA34"/>
    <mergeCell ref="E35:BA35"/>
    <mergeCell ref="E43:BA43"/>
    <mergeCell ref="E44:BA44"/>
    <mergeCell ref="E55:BA55"/>
    <mergeCell ref="E63:BA63"/>
    <mergeCell ref="E64:BA64"/>
    <mergeCell ref="E65:BA65"/>
    <mergeCell ref="E45:BA45"/>
    <mergeCell ref="E53:BA53"/>
    <mergeCell ref="E54:BA54"/>
    <mergeCell ref="E84:BA84"/>
    <mergeCell ref="E85:BA85"/>
    <mergeCell ref="E93:BA93"/>
    <mergeCell ref="E94:BA94"/>
    <mergeCell ref="E73:BA73"/>
    <mergeCell ref="E74:BA74"/>
    <mergeCell ref="E75:BA75"/>
    <mergeCell ref="E83:BA83"/>
    <mergeCell ref="E95:BA95"/>
    <mergeCell ref="E103:BA103"/>
    <mergeCell ref="E104:BA104"/>
    <mergeCell ref="E105:BA105"/>
    <mergeCell ref="E113:BA113"/>
    <mergeCell ref="E114:BA114"/>
    <mergeCell ref="E115:BA115"/>
    <mergeCell ref="E123:BA123"/>
    <mergeCell ref="E124:BA124"/>
    <mergeCell ref="E125:BA125"/>
    <mergeCell ref="E133:BA133"/>
    <mergeCell ref="E134:BA134"/>
    <mergeCell ref="E135:BA135"/>
    <mergeCell ref="E143:BA143"/>
    <mergeCell ref="E144:BA144"/>
    <mergeCell ref="E145:BA145"/>
    <mergeCell ref="E153:BA153"/>
    <mergeCell ref="E154:BA154"/>
    <mergeCell ref="E155:BA155"/>
    <mergeCell ref="E163:BA163"/>
    <mergeCell ref="E164:BA164"/>
    <mergeCell ref="E165:BA165"/>
    <mergeCell ref="E173:BA173"/>
    <mergeCell ref="E174:BA174"/>
    <mergeCell ref="E175:BA175"/>
    <mergeCell ref="E183:BA183"/>
    <mergeCell ref="E184:BA184"/>
    <mergeCell ref="E185:BA185"/>
    <mergeCell ref="E193:BA193"/>
    <mergeCell ref="E194:BA194"/>
    <mergeCell ref="E195:BA195"/>
    <mergeCell ref="E203:BA203"/>
    <mergeCell ref="E204:BA204"/>
    <mergeCell ref="E205:BA205"/>
    <mergeCell ref="E213:BA213"/>
    <mergeCell ref="E214:BA214"/>
    <mergeCell ref="E215:BA215"/>
    <mergeCell ref="E223:BA223"/>
    <mergeCell ref="E224:BA224"/>
    <mergeCell ref="E225:BA225"/>
    <mergeCell ref="E233:BA233"/>
    <mergeCell ref="E234:BA234"/>
    <mergeCell ref="E235:BA235"/>
    <mergeCell ref="E243:BA243"/>
    <mergeCell ref="E244:BA244"/>
    <mergeCell ref="E245:BA245"/>
    <mergeCell ref="E253:BA253"/>
    <mergeCell ref="E254:BA254"/>
    <mergeCell ref="E255:BA255"/>
    <mergeCell ref="E263:BA263"/>
    <mergeCell ref="E264:BA264"/>
    <mergeCell ref="E265:BA265"/>
    <mergeCell ref="E274:BA274"/>
    <mergeCell ref="E275:BA275"/>
    <mergeCell ref="E276:BA276"/>
    <mergeCell ref="E284:BA284"/>
    <mergeCell ref="E285:BA285"/>
    <mergeCell ref="E286:BA286"/>
    <mergeCell ref="E294:BA294"/>
    <mergeCell ref="E295:BA295"/>
    <mergeCell ref="E296:BA296"/>
    <mergeCell ref="E304:BA304"/>
    <mergeCell ref="E305:BA305"/>
    <mergeCell ref="E306:BA306"/>
    <mergeCell ref="E315:BA315"/>
    <mergeCell ref="E316:BA316"/>
    <mergeCell ref="E317:BA317"/>
    <mergeCell ref="E325:BA325"/>
    <mergeCell ref="E346:BA346"/>
    <mergeCell ref="E347:BA347"/>
    <mergeCell ref="E326:BA326"/>
    <mergeCell ref="E327:BA327"/>
    <mergeCell ref="E335:BA335"/>
    <mergeCell ref="E336:BA336"/>
    <mergeCell ref="E337:BA337"/>
    <mergeCell ref="E345:BA345"/>
    <mergeCell ref="C361:D361"/>
    <mergeCell ref="C354:D354"/>
    <mergeCell ref="E354:BA354"/>
    <mergeCell ref="C355:D355"/>
    <mergeCell ref="E355:BA355"/>
    <mergeCell ref="C356:D356"/>
    <mergeCell ref="E356:BA356"/>
    <mergeCell ref="C357:D357"/>
    <mergeCell ref="C359:D359"/>
    <mergeCell ref="C360:D360"/>
    <mergeCell ref="C358:D358"/>
  </mergeCells>
  <phoneticPr fontId="0" type="noConversion"/>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J45"/>
  <sheetViews>
    <sheetView showGridLines="0" showRowColHeaders="0" zoomScale="145" zoomScaleNormal="145" workbookViewId="0">
      <pane ySplit="4" topLeftCell="A5" activePane="bottomLeft" state="frozen"/>
      <selection pane="bottomLeft" activeCell="C9" sqref="C9"/>
    </sheetView>
  </sheetViews>
  <sheetFormatPr defaultRowHeight="15" customHeight="1"/>
  <cols>
    <col min="1" max="1" width="1.7265625" customWidth="1"/>
    <col min="2" max="2" width="9.1796875" hidden="1" customWidth="1"/>
    <col min="3" max="3" width="12.26953125" customWidth="1"/>
    <col min="4" max="4" width="9.1796875" style="1" customWidth="1"/>
    <col min="5" max="5" width="9.1796875" customWidth="1"/>
  </cols>
  <sheetData>
    <row r="1" spans="3:10" ht="5.15" customHeight="1"/>
    <row r="5" spans="3:10" ht="5.15" customHeight="1"/>
    <row r="7" spans="3:10" ht="10" customHeight="1"/>
    <row r="8" spans="3:10" ht="15" customHeight="1">
      <c r="C8" s="63" t="str">
        <f>trans_getMessage("","* This list is used in the 'Interest Rate Curves' sheet to lookup the curve terms.",,LANG_ID)</f>
        <v>* This list is used in the 'Interest Rate Curves' sheet to lookup the curve terms.</v>
      </c>
    </row>
    <row r="9" spans="3:10" ht="18.75" customHeight="1">
      <c r="C9" s="61" t="str">
        <f>trans_getMessage("","Currency",,LANG_ID)</f>
        <v>CURRENCY</v>
      </c>
      <c r="D9" s="62" t="str">
        <f>trans_getMessage("","Curve #",,LANG_ID)</f>
        <v>Curve #</v>
      </c>
      <c r="E9" s="155" t="str">
        <f>trans_getMessage("","Curve Index",,LANG_ID)</f>
        <v>Curve Index</v>
      </c>
      <c r="F9" s="158"/>
      <c r="G9" s="155" t="str">
        <f>trans_getMessage("","Curve Name",,LANG_ID)</f>
        <v>Curve Name</v>
      </c>
      <c r="H9" s="156"/>
      <c r="I9" s="156"/>
      <c r="J9" s="157"/>
    </row>
    <row r="10" spans="3:10" ht="15" customHeight="1">
      <c r="C10" s="79" t="s">
        <v>80</v>
      </c>
      <c r="D10" s="80">
        <v>230</v>
      </c>
      <c r="E10" s="159" t="str">
        <f t="shared" ref="E10:E45" si="0">"YCSW"&amp;TEXT(D10, "0000")&amp;" Index"</f>
        <v>YCSW0230 Index</v>
      </c>
      <c r="F10" s="160"/>
      <c r="G10" s="173" t="e" cm="1">
        <f t="array" aca="1" ref="G10" ca="1">_xll.BDP(E10,"name")</f>
        <v>#NAME?</v>
      </c>
      <c r="H10" s="174"/>
      <c r="I10" s="174"/>
      <c r="J10" s="175"/>
    </row>
    <row r="11" spans="3:10" ht="15" customHeight="1">
      <c r="C11" s="79" t="s">
        <v>26</v>
      </c>
      <c r="D11" s="80">
        <v>159</v>
      </c>
      <c r="E11" s="161" t="str">
        <f t="shared" si="0"/>
        <v>YCSW0159 Index</v>
      </c>
      <c r="F11" s="162"/>
      <c r="G11" s="170" t="e" cm="1">
        <f t="array" aca="1" ref="G11" ca="1">_xll.BDP(E11,"name")</f>
        <v>#NAME?</v>
      </c>
      <c r="H11" s="171"/>
      <c r="I11" s="171"/>
      <c r="J11" s="172"/>
    </row>
    <row r="12" spans="3:10" ht="15" customHeight="1">
      <c r="C12" s="79" t="s">
        <v>55</v>
      </c>
      <c r="D12" s="80">
        <v>89</v>
      </c>
      <c r="E12" s="161" t="str">
        <f t="shared" si="0"/>
        <v>YCSW0089 Index</v>
      </c>
      <c r="F12" s="162"/>
      <c r="G12" s="170" t="e" cm="1">
        <f t="array" aca="1" ref="G12" ca="1">_xll.BDP(E12,"name")</f>
        <v>#NAME?</v>
      </c>
      <c r="H12" s="171"/>
      <c r="I12" s="171"/>
      <c r="J12" s="172"/>
    </row>
    <row r="13" spans="3:10" ht="15" customHeight="1">
      <c r="C13" s="79" t="s">
        <v>28</v>
      </c>
      <c r="D13" s="80">
        <v>147</v>
      </c>
      <c r="E13" s="163" t="str">
        <f t="shared" si="0"/>
        <v>YCSW0147 Index</v>
      </c>
      <c r="F13" s="164"/>
      <c r="G13" s="167" t="e" cm="1">
        <f t="array" aca="1" ref="G13" ca="1">_xll.BDP(E13,"name")</f>
        <v>#NAME?</v>
      </c>
      <c r="H13" s="168"/>
      <c r="I13" s="168"/>
      <c r="J13" s="169"/>
    </row>
    <row r="14" spans="3:10" ht="15" customHeight="1">
      <c r="C14" s="79" t="s">
        <v>34</v>
      </c>
      <c r="D14" s="80">
        <v>234</v>
      </c>
      <c r="E14" s="161" t="str">
        <f t="shared" si="0"/>
        <v>YCSW0234 Index</v>
      </c>
      <c r="F14" s="162"/>
      <c r="G14" s="170" t="e" cm="1">
        <f t="array" aca="1" ref="G14" ca="1">_xll.BDP(E14,"name")</f>
        <v>#NAME?</v>
      </c>
      <c r="H14" s="171"/>
      <c r="I14" s="171"/>
      <c r="J14" s="172"/>
    </row>
    <row r="15" spans="3:10" ht="15" customHeight="1">
      <c r="C15" s="79" t="s">
        <v>92</v>
      </c>
      <c r="D15" s="80">
        <v>193</v>
      </c>
      <c r="E15" s="163" t="str">
        <f t="shared" si="0"/>
        <v>YCSW0193 Index</v>
      </c>
      <c r="F15" s="164"/>
      <c r="G15" s="167" t="e" cm="1">
        <f t="array" aca="1" ref="G15" ca="1">_xll.BDP(E15,"name")</f>
        <v>#NAME?</v>
      </c>
      <c r="H15" s="168"/>
      <c r="I15" s="168"/>
      <c r="J15" s="169"/>
    </row>
    <row r="16" spans="3:10" ht="15" customHeight="1">
      <c r="C16" s="79" t="s">
        <v>82</v>
      </c>
      <c r="D16" s="80">
        <v>204</v>
      </c>
      <c r="E16" s="161" t="str">
        <f t="shared" si="0"/>
        <v>YCSW0204 Index</v>
      </c>
      <c r="F16" s="162"/>
      <c r="G16" s="170" t="e" cm="1">
        <f t="array" aca="1" ref="G16" ca="1">_xll.BDP(E16,"name")</f>
        <v>#NAME?</v>
      </c>
      <c r="H16" s="171"/>
      <c r="I16" s="171"/>
      <c r="J16" s="172"/>
    </row>
    <row r="17" spans="3:10" ht="15" customHeight="1">
      <c r="C17" s="79" t="s">
        <v>93</v>
      </c>
      <c r="D17" s="80">
        <v>329</v>
      </c>
      <c r="E17" s="163" t="str">
        <f t="shared" si="0"/>
        <v>YCSW0329 Index</v>
      </c>
      <c r="F17" s="164"/>
      <c r="G17" s="167" t="e" cm="1">
        <f t="array" aca="1" ref="G17" ca="1">_xll.BDP(E17,"name")</f>
        <v>#NAME?</v>
      </c>
      <c r="H17" s="168"/>
      <c r="I17" s="168"/>
      <c r="J17" s="169"/>
    </row>
    <row r="18" spans="3:10" ht="15" customHeight="1">
      <c r="C18" s="79" t="s">
        <v>36</v>
      </c>
      <c r="D18" s="80">
        <v>320</v>
      </c>
      <c r="E18" s="161" t="str">
        <f t="shared" si="0"/>
        <v>YCSW0320 Index</v>
      </c>
      <c r="F18" s="162"/>
      <c r="G18" s="170" t="e" cm="1">
        <f t="array" aca="1" ref="G18" ca="1">_xll.BDP(E18,"name")</f>
        <v>#NAME?</v>
      </c>
      <c r="H18" s="171"/>
      <c r="I18" s="171"/>
      <c r="J18" s="172"/>
    </row>
    <row r="19" spans="3:10" ht="15" customHeight="1">
      <c r="C19" s="79" t="s">
        <v>29</v>
      </c>
      <c r="D19" s="80">
        <v>339</v>
      </c>
      <c r="E19" s="163" t="str">
        <f t="shared" si="0"/>
        <v>YCSW0339 Index</v>
      </c>
      <c r="F19" s="164"/>
      <c r="G19" s="167" t="e" cm="1">
        <f t="array" aca="1" ref="G19" ca="1">_xll.BDP(E19,"name")</f>
        <v>#NAME?</v>
      </c>
      <c r="H19" s="168"/>
      <c r="I19" s="168"/>
      <c r="J19" s="169"/>
    </row>
    <row r="20" spans="3:10" ht="15" customHeight="1">
      <c r="C20" s="79" t="s">
        <v>30</v>
      </c>
      <c r="D20" s="80">
        <v>45</v>
      </c>
      <c r="E20" s="161" t="str">
        <f t="shared" si="0"/>
        <v>YCSW0045 Index</v>
      </c>
      <c r="F20" s="162"/>
      <c r="G20" s="170" t="e" cm="1">
        <f t="array" aca="1" ref="G20" ca="1">_xll.BDP(E20,"name")</f>
        <v>#NAME?</v>
      </c>
      <c r="H20" s="171"/>
      <c r="I20" s="171"/>
      <c r="J20" s="172"/>
    </row>
    <row r="21" spans="3:10" ht="15" customHeight="1">
      <c r="C21" s="79" t="s">
        <v>27</v>
      </c>
      <c r="D21" s="80">
        <v>141</v>
      </c>
      <c r="E21" s="163" t="str">
        <f t="shared" si="0"/>
        <v>YCSW0141 Index</v>
      </c>
      <c r="F21" s="164"/>
      <c r="G21" s="167" t="e" cm="1">
        <f t="array" aca="1" ref="G21" ca="1">_xll.BDP(E21,"name")</f>
        <v>#NAME?</v>
      </c>
      <c r="H21" s="168"/>
      <c r="I21" s="168"/>
      <c r="J21" s="169"/>
    </row>
    <row r="22" spans="3:10" ht="15" customHeight="1">
      <c r="C22" s="79" t="s">
        <v>37</v>
      </c>
      <c r="D22" s="80">
        <v>10</v>
      </c>
      <c r="E22" s="161" t="str">
        <f t="shared" si="0"/>
        <v>YCSW0010 Index</v>
      </c>
      <c r="F22" s="162"/>
      <c r="G22" s="170" t="e" cm="1">
        <f t="array" aca="1" ref="G22" ca="1">_xll.BDP(E22,"name")</f>
        <v>#NAME?</v>
      </c>
      <c r="H22" s="171"/>
      <c r="I22" s="171"/>
      <c r="J22" s="172"/>
    </row>
    <row r="23" spans="3:10" ht="15" customHeight="1">
      <c r="C23" s="79" t="s">
        <v>88</v>
      </c>
      <c r="D23" s="80">
        <v>325</v>
      </c>
      <c r="E23" s="163" t="str">
        <f t="shared" si="0"/>
        <v>YCSW0325 Index</v>
      </c>
      <c r="F23" s="164"/>
      <c r="G23" s="167" t="e" cm="1">
        <f t="array" aca="1" ref="G23" ca="1">_xll.BDP(E23,"name")</f>
        <v>#NAME?</v>
      </c>
      <c r="H23" s="168"/>
      <c r="I23" s="168"/>
      <c r="J23" s="169"/>
    </row>
    <row r="24" spans="3:10" ht="15" customHeight="1">
      <c r="C24" s="79" t="s">
        <v>83</v>
      </c>
      <c r="D24" s="80">
        <v>158</v>
      </c>
      <c r="E24" s="161" t="str">
        <f t="shared" si="0"/>
        <v>YCSW0158 Index</v>
      </c>
      <c r="F24" s="162"/>
      <c r="G24" s="170" t="e" cm="1">
        <f t="array" aca="1" ref="G24" ca="1">_xll.BDP(E24,"name")</f>
        <v>#NAME?</v>
      </c>
      <c r="H24" s="171"/>
      <c r="I24" s="171"/>
      <c r="J24" s="172"/>
    </row>
    <row r="25" spans="3:10" ht="15" customHeight="1">
      <c r="C25" s="79" t="s">
        <v>95</v>
      </c>
      <c r="D25" s="80">
        <v>162</v>
      </c>
      <c r="E25" s="163" t="str">
        <f t="shared" si="0"/>
        <v>YCSW0162 Index</v>
      </c>
      <c r="F25" s="164"/>
      <c r="G25" s="167" t="e" cm="1">
        <f t="array" aca="1" ref="G25" ca="1">_xll.BDP(E25,"name")</f>
        <v>#NAME?</v>
      </c>
      <c r="H25" s="168"/>
      <c r="I25" s="168"/>
      <c r="J25" s="169"/>
    </row>
    <row r="26" spans="3:10" ht="15" customHeight="1">
      <c r="C26" s="79" t="s">
        <v>38</v>
      </c>
      <c r="D26" s="80">
        <v>266</v>
      </c>
      <c r="E26" s="161" t="str">
        <f t="shared" si="0"/>
        <v>YCSW0266 Index</v>
      </c>
      <c r="F26" s="162"/>
      <c r="G26" s="170" t="e" cm="1">
        <f t="array" aca="1" ref="G26" ca="1">_xll.BDP(E26,"name")</f>
        <v>#NAME?</v>
      </c>
      <c r="H26" s="171"/>
      <c r="I26" s="171"/>
      <c r="J26" s="172"/>
    </row>
    <row r="27" spans="3:10" ht="15" customHeight="1">
      <c r="C27" s="79" t="s">
        <v>89</v>
      </c>
      <c r="D27" s="80">
        <v>188</v>
      </c>
      <c r="E27" s="163" t="str">
        <f t="shared" si="0"/>
        <v>YCSW0188 Index</v>
      </c>
      <c r="F27" s="164"/>
      <c r="G27" s="167" t="e" cm="1">
        <f t="array" aca="1" ref="G27" ca="1">_xll.BDP(E27,"name")</f>
        <v>#NAME?</v>
      </c>
      <c r="H27" s="168"/>
      <c r="I27" s="168"/>
      <c r="J27" s="169"/>
    </row>
    <row r="28" spans="3:10" ht="15" customHeight="1">
      <c r="C28" s="79" t="s">
        <v>31</v>
      </c>
      <c r="D28" s="80">
        <v>195</v>
      </c>
      <c r="E28" s="161" t="str">
        <f t="shared" si="0"/>
        <v>YCSW0195 Index</v>
      </c>
      <c r="F28" s="162"/>
      <c r="G28" s="170" t="e" cm="1">
        <f t="array" aca="1" ref="G28" ca="1">_xll.BDP(E28,"name")</f>
        <v>#NAME?</v>
      </c>
      <c r="H28" s="171"/>
      <c r="I28" s="171"/>
      <c r="J28" s="172"/>
    </row>
    <row r="29" spans="3:10" ht="15" customHeight="1">
      <c r="C29" s="79" t="s">
        <v>85</v>
      </c>
      <c r="D29" s="80">
        <v>205</v>
      </c>
      <c r="E29" s="163" t="str">
        <f t="shared" si="0"/>
        <v>YCSW0205 Index</v>
      </c>
      <c r="F29" s="164"/>
      <c r="G29" s="167" t="e" cm="1">
        <f t="array" aca="1" ref="G29" ca="1">_xll.BDP(E29,"name")</f>
        <v>#NAME?</v>
      </c>
      <c r="H29" s="168"/>
      <c r="I29" s="168"/>
      <c r="J29" s="169"/>
    </row>
    <row r="30" spans="3:10" ht="15" customHeight="1">
      <c r="C30" s="79" t="s">
        <v>94</v>
      </c>
      <c r="D30" s="80">
        <v>83</v>
      </c>
      <c r="E30" s="161" t="str">
        <f t="shared" si="0"/>
        <v>YCSW0083 Index</v>
      </c>
      <c r="F30" s="162"/>
      <c r="G30" s="170" t="e" cm="1">
        <f t="array" aca="1" ref="G30" ca="1">_xll.BDP(E30,"name")</f>
        <v>#NAME?</v>
      </c>
      <c r="H30" s="171"/>
      <c r="I30" s="171"/>
      <c r="J30" s="172"/>
    </row>
    <row r="31" spans="3:10" ht="15" customHeight="1">
      <c r="C31" s="79" t="s">
        <v>39</v>
      </c>
      <c r="D31" s="80">
        <v>209</v>
      </c>
      <c r="E31" s="163" t="str">
        <f t="shared" si="0"/>
        <v>YCSW0209 Index</v>
      </c>
      <c r="F31" s="164"/>
      <c r="G31" s="167" t="e" cm="1">
        <f t="array" aca="1" ref="G31" ca="1">_xll.BDP(E31,"name")</f>
        <v>#NAME?</v>
      </c>
      <c r="H31" s="168"/>
      <c r="I31" s="168"/>
      <c r="J31" s="169"/>
    </row>
    <row r="32" spans="3:10" ht="15" customHeight="1">
      <c r="C32" s="79" t="s">
        <v>40</v>
      </c>
      <c r="D32" s="80">
        <v>313</v>
      </c>
      <c r="E32" s="161" t="str">
        <f t="shared" si="0"/>
        <v>YCSW0313 Index</v>
      </c>
      <c r="F32" s="162"/>
      <c r="G32" s="170" t="e" cm="1">
        <f t="array" aca="1" ref="G32" ca="1">_xll.BDP(E32,"name")</f>
        <v>#NAME?</v>
      </c>
      <c r="H32" s="171"/>
      <c r="I32" s="171"/>
      <c r="J32" s="172"/>
    </row>
    <row r="33" spans="3:10" ht="15" customHeight="1">
      <c r="C33" s="79" t="s">
        <v>32</v>
      </c>
      <c r="D33" s="80">
        <v>15</v>
      </c>
      <c r="E33" s="163" t="str">
        <f t="shared" si="0"/>
        <v>YCSW0015 Index</v>
      </c>
      <c r="F33" s="164"/>
      <c r="G33" s="167" t="e" cm="1">
        <f t="array" aca="1" ref="G33" ca="1">_xll.BDP(E33,"name")</f>
        <v>#NAME?</v>
      </c>
      <c r="H33" s="168"/>
      <c r="I33" s="168"/>
      <c r="J33" s="169"/>
    </row>
    <row r="34" spans="3:10" ht="15" customHeight="1">
      <c r="C34" s="79" t="s">
        <v>84</v>
      </c>
      <c r="D34" s="80">
        <v>81</v>
      </c>
      <c r="E34" s="161" t="str">
        <f t="shared" si="0"/>
        <v>YCSW0081 Index</v>
      </c>
      <c r="F34" s="162"/>
      <c r="G34" s="170" t="e" cm="1">
        <f t="array" aca="1" ref="G34" ca="1">_xll.BDP(E34,"name")</f>
        <v>#NAME?</v>
      </c>
      <c r="H34" s="171"/>
      <c r="I34" s="171"/>
      <c r="J34" s="172"/>
    </row>
    <row r="35" spans="3:10" ht="15" customHeight="1">
      <c r="C35" s="79" t="s">
        <v>41</v>
      </c>
      <c r="D35" s="80">
        <v>323</v>
      </c>
      <c r="E35" s="163" t="str">
        <f t="shared" si="0"/>
        <v>YCSW0323 Index</v>
      </c>
      <c r="F35" s="164"/>
      <c r="G35" s="167" t="e" cm="1">
        <f t="array" aca="1" ref="G35" ca="1">_xll.BDP(E35,"name")</f>
        <v>#NAME?</v>
      </c>
      <c r="H35" s="168"/>
      <c r="I35" s="168"/>
      <c r="J35" s="169"/>
    </row>
    <row r="36" spans="3:10" ht="15" customHeight="1">
      <c r="C36" s="79" t="s">
        <v>90</v>
      </c>
      <c r="D36" s="80">
        <v>356</v>
      </c>
      <c r="E36" s="163" t="str">
        <f t="shared" si="0"/>
        <v>YCSW0356 Index</v>
      </c>
      <c r="F36" s="164"/>
      <c r="G36" s="167" t="e" cm="1">
        <f t="array" aca="1" ref="G36" ca="1">_xll.BDP(E36,"name")</f>
        <v>#NAME?</v>
      </c>
      <c r="H36" s="168"/>
      <c r="I36" s="168"/>
      <c r="J36" s="169"/>
    </row>
    <row r="37" spans="3:10" ht="15" customHeight="1">
      <c r="C37" s="79" t="s">
        <v>96</v>
      </c>
      <c r="D37" s="80">
        <v>166</v>
      </c>
      <c r="E37" s="161" t="str">
        <f t="shared" si="0"/>
        <v>YCSW0166 Index</v>
      </c>
      <c r="F37" s="162"/>
      <c r="G37" s="170" t="e" cm="1">
        <f t="array" aca="1" ref="G37" ca="1">_xll.BDP(E37,"name")</f>
        <v>#NAME?</v>
      </c>
      <c r="H37" s="171"/>
      <c r="I37" s="171"/>
      <c r="J37" s="172"/>
    </row>
    <row r="38" spans="3:10" ht="15" customHeight="1">
      <c r="C38" s="79" t="s">
        <v>33</v>
      </c>
      <c r="D38" s="80">
        <v>20</v>
      </c>
      <c r="E38" s="163" t="str">
        <f t="shared" si="0"/>
        <v>YCSW0020 Index</v>
      </c>
      <c r="F38" s="164"/>
      <c r="G38" s="167" t="e" cm="1">
        <f t="array" aca="1" ref="G38" ca="1">_xll.BDP(E38,"name")</f>
        <v>#NAME?</v>
      </c>
      <c r="H38" s="168"/>
      <c r="I38" s="168"/>
      <c r="J38" s="169"/>
    </row>
    <row r="39" spans="3:10" ht="15" customHeight="1">
      <c r="C39" s="79" t="s">
        <v>42</v>
      </c>
      <c r="D39" s="80">
        <v>527</v>
      </c>
      <c r="E39" s="161" t="str">
        <f t="shared" si="0"/>
        <v>YCSW0527 Index</v>
      </c>
      <c r="F39" s="162"/>
      <c r="G39" s="170" t="e" cm="1">
        <f t="array" aca="1" ref="G39" ca="1">_xll.BDP(E39,"name")</f>
        <v>#NAME?</v>
      </c>
      <c r="H39" s="171"/>
      <c r="I39" s="171"/>
      <c r="J39" s="172"/>
    </row>
    <row r="40" spans="3:10" ht="15" customHeight="1">
      <c r="C40" s="79" t="s">
        <v>87</v>
      </c>
      <c r="D40" s="80">
        <v>146</v>
      </c>
      <c r="E40" s="161" t="str">
        <f t="shared" si="0"/>
        <v>YCSW0146 Index</v>
      </c>
      <c r="F40" s="162"/>
      <c r="G40" s="170" t="e" cm="1">
        <f t="array" aca="1" ref="G40" ca="1">_xll.BDP(E40,"name")</f>
        <v>#NAME?</v>
      </c>
      <c r="H40" s="171"/>
      <c r="I40" s="171"/>
      <c r="J40" s="172"/>
    </row>
    <row r="41" spans="3:10" ht="15" customHeight="1">
      <c r="C41" s="79" t="s">
        <v>91</v>
      </c>
      <c r="D41" s="80">
        <v>522</v>
      </c>
      <c r="E41" s="163" t="str">
        <f t="shared" si="0"/>
        <v>YCSW0522 Index</v>
      </c>
      <c r="F41" s="164"/>
      <c r="G41" s="167" t="e" cm="1">
        <f t="array" aca="1" ref="G41" ca="1">_xll.BDP(E41,"name")</f>
        <v>#NAME?</v>
      </c>
      <c r="H41" s="168"/>
      <c r="I41" s="168"/>
      <c r="J41" s="169"/>
    </row>
    <row r="42" spans="3:10" ht="15" customHeight="1">
      <c r="C42" s="79" t="s">
        <v>86</v>
      </c>
      <c r="D42" s="80">
        <v>203</v>
      </c>
      <c r="E42" s="161" t="str">
        <f t="shared" si="0"/>
        <v>YCSW0203 Index</v>
      </c>
      <c r="F42" s="162"/>
      <c r="G42" s="170" t="e" cm="1">
        <f t="array" aca="1" ref="G42" ca="1">_xll.BDP(E42,"name")</f>
        <v>#NAME?</v>
      </c>
      <c r="H42" s="171"/>
      <c r="I42" s="171"/>
      <c r="J42" s="172"/>
    </row>
    <row r="43" spans="3:10" ht="15" customHeight="1">
      <c r="C43" s="79" t="s">
        <v>35</v>
      </c>
      <c r="D43" s="80">
        <v>490</v>
      </c>
      <c r="E43" s="163" t="str">
        <f t="shared" si="0"/>
        <v>YCSW0490 Index</v>
      </c>
      <c r="F43" s="164"/>
      <c r="G43" s="167" t="e" cm="1">
        <f t="array" aca="1" ref="G43" ca="1">_xll.BDP(E43,"name")</f>
        <v>#NAME?</v>
      </c>
      <c r="H43" s="168"/>
      <c r="I43" s="168"/>
      <c r="J43" s="169"/>
    </row>
    <row r="44" spans="3:10" ht="15" customHeight="1">
      <c r="C44" s="79" t="s">
        <v>43</v>
      </c>
      <c r="D44" s="80">
        <v>18</v>
      </c>
      <c r="E44" s="161" t="str">
        <f t="shared" si="0"/>
        <v>YCSW0018 Index</v>
      </c>
      <c r="F44" s="162"/>
      <c r="G44" s="170" t="e" cm="1">
        <f t="array" aca="1" ref="G44" ca="1">_xll.BDP(E44,"name")</f>
        <v>#NAME?</v>
      </c>
      <c r="H44" s="171"/>
      <c r="I44" s="171"/>
      <c r="J44" s="172"/>
    </row>
    <row r="45" spans="3:10" ht="15" customHeight="1">
      <c r="C45" s="79" t="s">
        <v>2210</v>
      </c>
      <c r="D45" s="80">
        <v>368</v>
      </c>
      <c r="E45" s="165" t="str">
        <f t="shared" si="0"/>
        <v>YCSW0368 Index</v>
      </c>
      <c r="F45" s="166"/>
      <c r="G45" s="176" t="e" cm="1">
        <f t="array" aca="1" ref="G45" ca="1">_xll.BDP(E45,"name")</f>
        <v>#NAME?</v>
      </c>
      <c r="H45" s="177"/>
      <c r="I45" s="177"/>
      <c r="J45" s="178"/>
    </row>
  </sheetData>
  <mergeCells count="74">
    <mergeCell ref="G45:J45"/>
    <mergeCell ref="G38:J38"/>
    <mergeCell ref="G39:J39"/>
    <mergeCell ref="G40:J40"/>
    <mergeCell ref="G41:J41"/>
    <mergeCell ref="G42:J42"/>
    <mergeCell ref="G44:J44"/>
    <mergeCell ref="G35:J35"/>
    <mergeCell ref="G36:J36"/>
    <mergeCell ref="G37:J37"/>
    <mergeCell ref="G43:J43"/>
    <mergeCell ref="G34:J34"/>
    <mergeCell ref="G30:J30"/>
    <mergeCell ref="G31:J31"/>
    <mergeCell ref="G32:J32"/>
    <mergeCell ref="G23:J23"/>
    <mergeCell ref="G24:J24"/>
    <mergeCell ref="G25:J25"/>
    <mergeCell ref="G26:J26"/>
    <mergeCell ref="G27:J27"/>
    <mergeCell ref="G33:J33"/>
    <mergeCell ref="G22:J22"/>
    <mergeCell ref="G10:J10"/>
    <mergeCell ref="G11:J11"/>
    <mergeCell ref="G12:J12"/>
    <mergeCell ref="G13:J13"/>
    <mergeCell ref="G14:J14"/>
    <mergeCell ref="G15:J15"/>
    <mergeCell ref="G16:J16"/>
    <mergeCell ref="G17:J17"/>
    <mergeCell ref="G18:J18"/>
    <mergeCell ref="G19:J19"/>
    <mergeCell ref="G20:J20"/>
    <mergeCell ref="G21:J21"/>
    <mergeCell ref="G28:J28"/>
    <mergeCell ref="G29:J29"/>
    <mergeCell ref="E45:F45"/>
    <mergeCell ref="E36:F36"/>
    <mergeCell ref="E37:F37"/>
    <mergeCell ref="E38:F38"/>
    <mergeCell ref="E39:F39"/>
    <mergeCell ref="E40:F40"/>
    <mergeCell ref="E41:F41"/>
    <mergeCell ref="E42:F42"/>
    <mergeCell ref="E43:F43"/>
    <mergeCell ref="E44:F44"/>
    <mergeCell ref="E35:F35"/>
    <mergeCell ref="E24:F24"/>
    <mergeCell ref="E25:F25"/>
    <mergeCell ref="E26:F26"/>
    <mergeCell ref="E27:F27"/>
    <mergeCell ref="E28:F28"/>
    <mergeCell ref="E29:F29"/>
    <mergeCell ref="E30:F30"/>
    <mergeCell ref="E31:F31"/>
    <mergeCell ref="E32:F32"/>
    <mergeCell ref="E33:F33"/>
    <mergeCell ref="E34:F34"/>
    <mergeCell ref="G9:J9"/>
    <mergeCell ref="E9:F9"/>
    <mergeCell ref="E10:F10"/>
    <mergeCell ref="E11:F11"/>
    <mergeCell ref="E23:F23"/>
    <mergeCell ref="E12:F12"/>
    <mergeCell ref="E13:F13"/>
    <mergeCell ref="E14:F14"/>
    <mergeCell ref="E15:F15"/>
    <mergeCell ref="E16:F16"/>
    <mergeCell ref="E17:F17"/>
    <mergeCell ref="E18:F18"/>
    <mergeCell ref="E19:F19"/>
    <mergeCell ref="E20:F20"/>
    <mergeCell ref="E21:F21"/>
    <mergeCell ref="E22:F22"/>
  </mergeCells>
  <phoneticPr fontId="7" type="noConversion"/>
  <pageMargins left="0.75" right="0.75" top="1" bottom="1" header="0.5" footer="0.5"/>
  <headerFooter alignWithMargins="0"/>
  <drawing r:id="rId1"/>
  <legacyDrawing r:id="rId2"/>
  <controls>
    <mc:AlternateContent xmlns:mc="http://schemas.openxmlformats.org/markup-compatibility/2006">
      <mc:Choice Requires="x14">
        <control shapeId="9262" r:id="rId3" name="CommandButton21">
          <controlPr defaultSize="0" autoLine="0" r:id="rId4">
            <anchor moveWithCells="1">
              <from>
                <xdr:col>2</xdr:col>
                <xdr:colOff>0</xdr:colOff>
                <xdr:row>5</xdr:row>
                <xdr:rowOff>0</xdr:rowOff>
              </from>
              <to>
                <xdr:col>3</xdr:col>
                <xdr:colOff>190500</xdr:colOff>
                <xdr:row>7</xdr:row>
                <xdr:rowOff>0</xdr:rowOff>
              </to>
            </anchor>
          </controlPr>
        </control>
      </mc:Choice>
      <mc:Fallback>
        <control shapeId="9262" r:id="rId3" name="CommandButton2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sheetPr>
  <dimension ref="B1:X100"/>
  <sheetViews>
    <sheetView showGridLines="0" showRowColHeaders="0" zoomScale="115" zoomScaleNormal="115" workbookViewId="0">
      <pane ySplit="4" topLeftCell="A7" activePane="bottomLeft" state="frozen"/>
      <selection activeCell="B1" sqref="B1"/>
      <selection pane="bottomLeft" activeCell="S10" sqref="S10:T87"/>
    </sheetView>
  </sheetViews>
  <sheetFormatPr defaultRowHeight="15" customHeight="1"/>
  <cols>
    <col min="1" max="1" width="1.7265625" customWidth="1"/>
  </cols>
  <sheetData>
    <row r="1" spans="2:24" ht="5.15" customHeight="1"/>
    <row r="5" spans="2:24" ht="5.15" customHeight="1"/>
    <row r="6" spans="2:24" ht="15" customHeight="1">
      <c r="B6" s="188"/>
      <c r="C6" s="183"/>
      <c r="D6" s="185"/>
      <c r="E6" s="185"/>
      <c r="F6" s="185"/>
      <c r="G6" s="185"/>
      <c r="H6" s="185"/>
      <c r="I6" s="185"/>
      <c r="J6" s="185"/>
      <c r="K6" s="185"/>
      <c r="L6" s="185"/>
      <c r="M6" s="185"/>
      <c r="N6" s="185"/>
      <c r="O6" s="185"/>
      <c r="P6" s="185"/>
      <c r="Q6" s="185"/>
      <c r="R6" s="185"/>
      <c r="S6" s="189"/>
      <c r="T6" s="183"/>
      <c r="U6" s="184"/>
      <c r="V6" s="183"/>
      <c r="W6" s="183"/>
      <c r="X6" s="183"/>
    </row>
    <row r="7" spans="2:24" ht="15" customHeight="1">
      <c r="B7" s="183"/>
      <c r="C7" s="183"/>
      <c r="D7" s="185"/>
      <c r="E7" s="185"/>
      <c r="F7" s="185"/>
      <c r="G7" s="185"/>
      <c r="H7" s="185"/>
      <c r="I7" s="185"/>
      <c r="J7" s="185"/>
      <c r="K7" s="185"/>
      <c r="L7" s="185"/>
      <c r="M7" s="185"/>
      <c r="N7" s="185"/>
      <c r="O7" s="185"/>
      <c r="P7" s="185"/>
      <c r="Q7" s="185"/>
      <c r="R7" s="185"/>
      <c r="S7" s="183"/>
      <c r="T7" s="183"/>
      <c r="U7" s="183"/>
      <c r="V7" s="183"/>
      <c r="W7" s="183"/>
      <c r="X7" s="183"/>
    </row>
    <row r="8" spans="2:24" ht="15" customHeight="1">
      <c r="B8" s="183"/>
      <c r="C8" s="183"/>
      <c r="D8" s="185"/>
      <c r="E8" s="185"/>
      <c r="F8" s="185"/>
      <c r="G8" s="185"/>
      <c r="H8" s="185"/>
      <c r="I8" s="185"/>
      <c r="J8" s="185"/>
      <c r="K8" s="185"/>
      <c r="L8" s="185"/>
      <c r="M8" s="185"/>
      <c r="N8" s="185"/>
      <c r="O8" s="185"/>
      <c r="P8" s="185"/>
      <c r="Q8" s="185"/>
      <c r="R8" s="185"/>
      <c r="S8" s="183"/>
      <c r="T8" s="183"/>
      <c r="U8" s="183"/>
      <c r="V8" s="183"/>
      <c r="W8" s="183"/>
      <c r="X8" s="183"/>
    </row>
    <row r="9" spans="2:24" ht="15" customHeight="1">
      <c r="B9" s="183"/>
      <c r="C9" s="183"/>
      <c r="D9" s="185"/>
      <c r="E9" s="185"/>
      <c r="F9" s="185"/>
      <c r="G9" s="185"/>
      <c r="H9" s="185"/>
      <c r="I9" s="185"/>
      <c r="J9" s="185"/>
      <c r="K9" s="185"/>
      <c r="L9" s="185"/>
      <c r="M9" s="185"/>
      <c r="N9" s="185"/>
      <c r="O9" s="185"/>
      <c r="P9" s="185"/>
      <c r="Q9" s="185"/>
      <c r="R9" s="185"/>
      <c r="S9" s="183"/>
      <c r="T9" s="183"/>
      <c r="U9" s="183"/>
      <c r="V9" s="183"/>
      <c r="W9" s="183"/>
      <c r="X9" s="183"/>
    </row>
    <row r="10" spans="2:24" ht="15" customHeight="1">
      <c r="B10" s="186"/>
      <c r="C10" s="186"/>
      <c r="D10" s="54" t="s">
        <v>110</v>
      </c>
      <c r="E10" s="55"/>
      <c r="F10" s="55"/>
      <c r="G10" s="55"/>
      <c r="H10" s="55"/>
      <c r="I10" s="55"/>
      <c r="J10" s="55"/>
      <c r="K10" s="55"/>
      <c r="L10" s="55"/>
      <c r="M10" s="55"/>
      <c r="N10" s="55"/>
      <c r="O10" s="55"/>
      <c r="P10" s="55"/>
      <c r="Q10" s="56"/>
      <c r="S10" s="187"/>
      <c r="T10" s="187"/>
      <c r="U10" s="183"/>
      <c r="V10" s="183"/>
      <c r="W10" s="183"/>
      <c r="X10" s="183"/>
    </row>
    <row r="11" spans="2:24" ht="15" customHeight="1">
      <c r="B11" s="186"/>
      <c r="C11" s="186"/>
      <c r="D11" s="54" t="s">
        <v>111</v>
      </c>
      <c r="E11" s="55"/>
      <c r="F11" s="55"/>
      <c r="G11" s="55"/>
      <c r="H11" s="55"/>
      <c r="I11" s="55"/>
      <c r="J11" s="55"/>
      <c r="K11" s="55"/>
      <c r="L11" s="55"/>
      <c r="M11" s="55"/>
      <c r="N11" s="55"/>
      <c r="O11" s="55"/>
      <c r="P11" s="55"/>
      <c r="Q11" s="56"/>
      <c r="S11" s="187"/>
      <c r="T11" s="187"/>
      <c r="U11" s="183"/>
      <c r="V11" s="183"/>
      <c r="W11" s="183"/>
      <c r="X11" s="183"/>
    </row>
    <row r="12" spans="2:24" ht="15" customHeight="1">
      <c r="B12" s="186"/>
      <c r="C12" s="186"/>
      <c r="D12" s="52"/>
      <c r="E12" s="4"/>
      <c r="F12" s="4"/>
      <c r="G12" s="4"/>
      <c r="H12" s="4"/>
      <c r="I12" s="4"/>
      <c r="J12" s="4"/>
      <c r="K12" s="4"/>
      <c r="L12" s="4"/>
      <c r="M12" s="4"/>
      <c r="N12" s="4"/>
      <c r="O12" s="4"/>
      <c r="P12" s="4"/>
      <c r="S12" s="187"/>
      <c r="T12" s="187"/>
      <c r="U12" s="183"/>
      <c r="V12" s="183"/>
      <c r="W12" s="183"/>
      <c r="X12" s="183"/>
    </row>
    <row r="13" spans="2:24" ht="15" customHeight="1" thickBot="1">
      <c r="B13" s="186"/>
      <c r="C13" s="186"/>
      <c r="D13" s="179" t="s">
        <v>97</v>
      </c>
      <c r="E13" s="180"/>
      <c r="F13" s="180"/>
      <c r="G13" s="180"/>
      <c r="H13" s="180"/>
      <c r="I13" s="180"/>
      <c r="J13" s="180"/>
      <c r="K13" s="180"/>
      <c r="L13" s="180"/>
      <c r="M13" s="180"/>
      <c r="N13" s="180"/>
      <c r="O13" s="180"/>
      <c r="P13" s="180"/>
      <c r="Q13" s="180"/>
      <c r="R13" s="181"/>
      <c r="S13" s="187"/>
      <c r="T13" s="187"/>
      <c r="U13" s="183"/>
      <c r="V13" s="183"/>
      <c r="W13" s="183"/>
      <c r="X13" s="183"/>
    </row>
    <row r="14" spans="2:24" ht="5.15" customHeight="1">
      <c r="B14" s="186"/>
      <c r="C14" s="186"/>
      <c r="S14" s="187"/>
      <c r="T14" s="187"/>
      <c r="U14" s="183"/>
      <c r="V14" s="183"/>
      <c r="W14" s="183"/>
      <c r="X14" s="183"/>
    </row>
    <row r="15" spans="2:24" ht="15" customHeight="1">
      <c r="B15" s="186"/>
      <c r="C15" s="186"/>
      <c r="D15" s="64" t="s">
        <v>98</v>
      </c>
      <c r="E15" s="68"/>
      <c r="F15" s="68"/>
      <c r="G15" s="68"/>
      <c r="H15" s="68"/>
      <c r="I15" s="68"/>
      <c r="J15" s="68"/>
      <c r="K15" s="68"/>
      <c r="L15" s="68"/>
      <c r="M15" s="68"/>
      <c r="N15" s="68"/>
      <c r="O15" s="68"/>
      <c r="P15" s="68"/>
      <c r="Q15" s="69"/>
      <c r="S15" s="187"/>
      <c r="T15" s="187"/>
      <c r="U15" s="183"/>
      <c r="V15" s="183"/>
      <c r="W15" s="183"/>
      <c r="X15" s="183"/>
    </row>
    <row r="16" spans="2:24" ht="15" customHeight="1">
      <c r="B16" s="186"/>
      <c r="C16" s="186"/>
      <c r="D16" s="64" t="s">
        <v>99</v>
      </c>
      <c r="E16" s="68"/>
      <c r="F16" s="68"/>
      <c r="G16" s="68"/>
      <c r="H16" s="68"/>
      <c r="I16" s="68"/>
      <c r="J16" s="68"/>
      <c r="K16" s="68"/>
      <c r="L16" s="68"/>
      <c r="M16" s="68"/>
      <c r="N16" s="68"/>
      <c r="O16" s="68"/>
      <c r="P16" s="68"/>
      <c r="Q16" s="69"/>
      <c r="S16" s="187"/>
      <c r="T16" s="187"/>
      <c r="U16" s="183"/>
      <c r="V16" s="183"/>
      <c r="W16" s="183"/>
      <c r="X16" s="183"/>
    </row>
    <row r="17" spans="2:24" ht="15" customHeight="1">
      <c r="B17" s="186"/>
      <c r="C17" s="186"/>
      <c r="D17" s="65"/>
      <c r="E17" s="64" t="s">
        <v>100</v>
      </c>
      <c r="F17" s="68"/>
      <c r="G17" s="68"/>
      <c r="H17" s="68"/>
      <c r="I17" s="68"/>
      <c r="J17" s="68"/>
      <c r="K17" s="68"/>
      <c r="L17" s="68"/>
      <c r="M17" s="68"/>
      <c r="N17" s="68"/>
      <c r="O17" s="68"/>
      <c r="P17" s="68"/>
      <c r="Q17" s="69"/>
      <c r="S17" s="187"/>
      <c r="T17" s="187"/>
      <c r="U17" s="183"/>
      <c r="V17" s="183"/>
      <c r="W17" s="183"/>
      <c r="X17" s="183"/>
    </row>
    <row r="18" spans="2:24" ht="15" customHeight="1">
      <c r="B18" s="186"/>
      <c r="C18" s="186"/>
      <c r="D18" s="64" t="s">
        <v>101</v>
      </c>
      <c r="E18" s="68"/>
      <c r="F18" s="68"/>
      <c r="G18" s="68"/>
      <c r="H18" s="68"/>
      <c r="I18" s="68"/>
      <c r="J18" s="68"/>
      <c r="K18" s="68"/>
      <c r="L18" s="68"/>
      <c r="M18" s="68"/>
      <c r="N18" s="68"/>
      <c r="O18" s="68"/>
      <c r="P18" s="68"/>
      <c r="Q18" s="69"/>
      <c r="S18" s="187"/>
      <c r="T18" s="187"/>
      <c r="U18" s="183"/>
      <c r="V18" s="183"/>
      <c r="W18" s="183"/>
      <c r="X18" s="183"/>
    </row>
    <row r="19" spans="2:24" ht="15" customHeight="1">
      <c r="B19" s="186"/>
      <c r="C19" s="186"/>
      <c r="D19" s="64"/>
      <c r="E19" s="64" t="s">
        <v>106</v>
      </c>
      <c r="F19" s="68"/>
      <c r="G19" s="68"/>
      <c r="H19" s="68"/>
      <c r="I19" s="68"/>
      <c r="J19" s="68"/>
      <c r="K19" s="68"/>
      <c r="L19" s="68"/>
      <c r="M19" s="68"/>
      <c r="N19" s="68"/>
      <c r="O19" s="68"/>
      <c r="P19" s="68"/>
      <c r="Q19" s="69"/>
      <c r="S19" s="187"/>
      <c r="T19" s="187"/>
      <c r="U19" s="183"/>
      <c r="V19" s="183"/>
      <c r="W19" s="183"/>
      <c r="X19" s="183"/>
    </row>
    <row r="20" spans="2:24" ht="15" customHeight="1">
      <c r="B20" s="186"/>
      <c r="C20" s="186"/>
      <c r="D20" s="56"/>
      <c r="E20" s="55"/>
      <c r="F20" s="55"/>
      <c r="G20" s="55"/>
      <c r="H20" s="55"/>
      <c r="I20" s="55"/>
      <c r="J20" s="55"/>
      <c r="K20" s="55"/>
      <c r="L20" s="55"/>
      <c r="M20" s="55"/>
      <c r="N20" s="55"/>
      <c r="O20" s="55"/>
      <c r="P20" s="55"/>
      <c r="Q20" s="56"/>
      <c r="S20" s="187"/>
      <c r="T20" s="187"/>
      <c r="U20" s="183"/>
      <c r="V20" s="183"/>
      <c r="W20" s="183"/>
      <c r="X20" s="183"/>
    </row>
    <row r="21" spans="2:24" ht="15" customHeight="1" thickBot="1">
      <c r="B21" s="186"/>
      <c r="C21" s="186"/>
      <c r="D21" s="179" t="s">
        <v>104</v>
      </c>
      <c r="E21" s="180"/>
      <c r="F21" s="180"/>
      <c r="G21" s="180"/>
      <c r="H21" s="180"/>
      <c r="I21" s="180"/>
      <c r="J21" s="180"/>
      <c r="K21" s="180"/>
      <c r="L21" s="180"/>
      <c r="M21" s="180"/>
      <c r="N21" s="180"/>
      <c r="O21" s="180"/>
      <c r="P21" s="180"/>
      <c r="Q21" s="180"/>
      <c r="R21" s="181"/>
      <c r="S21" s="187"/>
      <c r="T21" s="187"/>
      <c r="U21" s="183"/>
      <c r="V21" s="183"/>
      <c r="W21" s="183"/>
      <c r="X21" s="183"/>
    </row>
    <row r="22" spans="2:24" ht="15" customHeight="1">
      <c r="B22" s="186"/>
      <c r="C22" s="186"/>
      <c r="D22" s="66" t="s">
        <v>108</v>
      </c>
      <c r="E22" s="55"/>
      <c r="F22" s="55"/>
      <c r="G22" s="55"/>
      <c r="H22" s="55"/>
      <c r="I22" s="55"/>
      <c r="J22" s="55"/>
      <c r="K22" s="55"/>
      <c r="L22" s="55"/>
      <c r="M22" s="55"/>
      <c r="N22" s="55"/>
      <c r="O22" s="55"/>
      <c r="P22" s="55"/>
      <c r="Q22" s="56"/>
      <c r="S22" s="187"/>
      <c r="T22" s="187"/>
      <c r="U22" s="183"/>
      <c r="V22" s="183"/>
      <c r="W22" s="183"/>
      <c r="X22" s="183"/>
    </row>
    <row r="23" spans="2:24" ht="15" customHeight="1">
      <c r="B23" s="186"/>
      <c r="C23" s="186"/>
      <c r="D23" s="66" t="s">
        <v>109</v>
      </c>
      <c r="E23" s="55"/>
      <c r="F23" s="55"/>
      <c r="G23" s="55"/>
      <c r="H23" s="55"/>
      <c r="I23" s="55"/>
      <c r="J23" s="55"/>
      <c r="K23" s="55"/>
      <c r="L23" s="55"/>
      <c r="M23" s="55"/>
      <c r="N23" s="55"/>
      <c r="O23" s="55"/>
      <c r="P23" s="55"/>
      <c r="Q23" s="56"/>
      <c r="S23" s="187"/>
      <c r="T23" s="187"/>
      <c r="U23" s="183"/>
      <c r="V23" s="183"/>
      <c r="W23" s="183"/>
      <c r="X23" s="183"/>
    </row>
    <row r="24" spans="2:24" ht="15" customHeight="1">
      <c r="B24" s="186"/>
      <c r="C24" s="186"/>
      <c r="D24" s="57"/>
      <c r="E24" s="55"/>
      <c r="F24" s="55"/>
      <c r="G24" s="55"/>
      <c r="H24" s="55"/>
      <c r="I24" s="55"/>
      <c r="J24" s="55"/>
      <c r="K24" s="55"/>
      <c r="L24" s="55"/>
      <c r="M24" s="55"/>
      <c r="N24" s="55"/>
      <c r="O24" s="55"/>
      <c r="P24" s="55"/>
      <c r="Q24" s="56"/>
      <c r="S24" s="187"/>
      <c r="T24" s="187"/>
      <c r="U24" s="183"/>
      <c r="V24" s="183"/>
      <c r="W24" s="183"/>
      <c r="X24" s="183"/>
    </row>
    <row r="25" spans="2:24" ht="15" customHeight="1" thickBot="1">
      <c r="B25" s="186"/>
      <c r="C25" s="186"/>
      <c r="D25" s="179" t="s">
        <v>105</v>
      </c>
      <c r="E25" s="180"/>
      <c r="F25" s="180"/>
      <c r="G25" s="180"/>
      <c r="H25" s="180"/>
      <c r="I25" s="180"/>
      <c r="J25" s="180"/>
      <c r="K25" s="180"/>
      <c r="L25" s="180"/>
      <c r="M25" s="180"/>
      <c r="N25" s="180"/>
      <c r="O25" s="180"/>
      <c r="P25" s="180"/>
      <c r="Q25" s="180"/>
      <c r="R25" s="181"/>
      <c r="S25" s="187"/>
      <c r="T25" s="187"/>
      <c r="U25" s="183"/>
      <c r="V25" s="183"/>
      <c r="W25" s="183"/>
      <c r="X25" s="183"/>
    </row>
    <row r="26" spans="2:24" ht="15" customHeight="1">
      <c r="B26" s="186"/>
      <c r="C26" s="186"/>
      <c r="D26" s="67" t="s">
        <v>115</v>
      </c>
      <c r="E26" s="56"/>
      <c r="F26" s="56"/>
      <c r="G26" s="56"/>
      <c r="H26" s="56"/>
      <c r="I26" s="56"/>
      <c r="J26" s="56"/>
      <c r="K26" s="53" t="s">
        <v>114</v>
      </c>
      <c r="L26" s="53"/>
      <c r="M26" s="53"/>
      <c r="S26" s="187"/>
      <c r="T26" s="187"/>
      <c r="U26" s="183"/>
      <c r="V26" s="183"/>
      <c r="W26" s="183"/>
      <c r="X26" s="183"/>
    </row>
    <row r="27" spans="2:24" ht="15" customHeight="1">
      <c r="B27" s="186"/>
      <c r="C27" s="186"/>
      <c r="D27" s="67" t="s">
        <v>117</v>
      </c>
      <c r="E27" s="56"/>
      <c r="F27" s="56"/>
      <c r="G27" s="56"/>
      <c r="H27" s="56"/>
      <c r="I27" s="56"/>
      <c r="J27" s="56"/>
      <c r="K27" s="53" t="s">
        <v>116</v>
      </c>
      <c r="S27" s="187"/>
      <c r="T27" s="187"/>
      <c r="U27" s="183"/>
      <c r="V27" s="183"/>
      <c r="W27" s="183"/>
      <c r="X27" s="183"/>
    </row>
    <row r="28" spans="2:24" ht="15" customHeight="1">
      <c r="B28" s="186"/>
      <c r="C28" s="186"/>
      <c r="D28" s="67" t="s">
        <v>119</v>
      </c>
      <c r="E28" s="56"/>
      <c r="F28" s="56"/>
      <c r="G28" s="56"/>
      <c r="H28" s="56"/>
      <c r="I28" s="56"/>
      <c r="J28" s="56"/>
      <c r="K28" s="53" t="s">
        <v>118</v>
      </c>
      <c r="S28" s="187"/>
      <c r="T28" s="187"/>
      <c r="U28" s="183"/>
      <c r="V28" s="183"/>
      <c r="W28" s="183"/>
      <c r="X28" s="183"/>
    </row>
    <row r="29" spans="2:24" ht="15" customHeight="1">
      <c r="B29" s="186"/>
      <c r="C29" s="186"/>
      <c r="D29" s="67" t="s">
        <v>121</v>
      </c>
      <c r="E29" s="56"/>
      <c r="F29" s="56"/>
      <c r="G29" s="56"/>
      <c r="H29" s="56"/>
      <c r="I29" s="56"/>
      <c r="J29" s="56"/>
      <c r="K29" s="53" t="s">
        <v>120</v>
      </c>
      <c r="S29" s="187"/>
      <c r="T29" s="187"/>
      <c r="U29" s="183"/>
      <c r="V29" s="183"/>
      <c r="W29" s="183"/>
      <c r="X29" s="183"/>
    </row>
    <row r="30" spans="2:24" ht="15" customHeight="1">
      <c r="B30" s="186"/>
      <c r="C30" s="186"/>
      <c r="D30" s="67" t="s">
        <v>123</v>
      </c>
      <c r="E30" s="56"/>
      <c r="F30" s="56"/>
      <c r="G30" s="56"/>
      <c r="H30" s="56"/>
      <c r="I30" s="56"/>
      <c r="J30" s="56"/>
      <c r="K30" s="53" t="s">
        <v>122</v>
      </c>
      <c r="S30" s="187"/>
      <c r="T30" s="187"/>
      <c r="U30" s="183"/>
      <c r="V30" s="183"/>
      <c r="W30" s="183"/>
      <c r="X30" s="183"/>
    </row>
    <row r="31" spans="2:24" ht="15" customHeight="1">
      <c r="B31" s="186"/>
      <c r="C31" s="186"/>
      <c r="D31" s="67" t="s">
        <v>125</v>
      </c>
      <c r="E31" s="56"/>
      <c r="F31" s="56"/>
      <c r="G31" s="56"/>
      <c r="H31" s="56"/>
      <c r="I31" s="56"/>
      <c r="J31" s="56"/>
      <c r="K31" s="53" t="s">
        <v>124</v>
      </c>
      <c r="S31" s="187"/>
      <c r="T31" s="187"/>
      <c r="U31" s="183"/>
      <c r="V31" s="183"/>
      <c r="W31" s="183"/>
      <c r="X31" s="183"/>
    </row>
    <row r="32" spans="2:24" ht="15" customHeight="1">
      <c r="B32" s="186"/>
      <c r="C32" s="186"/>
      <c r="D32" s="56"/>
      <c r="E32" s="56"/>
      <c r="F32" s="56"/>
      <c r="G32" s="56"/>
      <c r="H32" s="56"/>
      <c r="I32" s="56"/>
      <c r="J32" s="56"/>
      <c r="S32" s="187"/>
      <c r="T32" s="187"/>
      <c r="U32" s="183"/>
      <c r="V32" s="183"/>
      <c r="W32" s="183"/>
      <c r="X32" s="183"/>
    </row>
    <row r="33" spans="2:24" ht="15" customHeight="1" thickBot="1">
      <c r="B33" s="186"/>
      <c r="C33" s="186"/>
      <c r="D33" s="179" t="s">
        <v>102</v>
      </c>
      <c r="E33" s="180"/>
      <c r="F33" s="180"/>
      <c r="G33" s="180"/>
      <c r="H33" s="180"/>
      <c r="I33" s="180"/>
      <c r="J33" s="180"/>
      <c r="K33" s="180"/>
      <c r="L33" s="180"/>
      <c r="M33" s="180"/>
      <c r="N33" s="180"/>
      <c r="O33" s="180"/>
      <c r="P33" s="180"/>
      <c r="Q33" s="180"/>
      <c r="R33" s="181"/>
      <c r="S33" s="187"/>
      <c r="T33" s="187"/>
      <c r="U33" s="183"/>
      <c r="V33" s="183"/>
      <c r="W33" s="183"/>
      <c r="X33" s="183"/>
    </row>
    <row r="34" spans="2:24" ht="15" customHeight="1">
      <c r="B34" s="186"/>
      <c r="C34" s="186"/>
      <c r="S34" s="187"/>
      <c r="T34" s="187"/>
      <c r="U34" s="183"/>
      <c r="V34" s="183"/>
      <c r="W34" s="183"/>
      <c r="X34" s="183"/>
    </row>
    <row r="35" spans="2:24" ht="15" customHeight="1">
      <c r="B35" s="186"/>
      <c r="C35" s="186"/>
      <c r="S35" s="187"/>
      <c r="T35" s="187"/>
      <c r="U35" s="183"/>
      <c r="V35" s="183"/>
      <c r="W35" s="183"/>
      <c r="X35" s="183"/>
    </row>
    <row r="36" spans="2:24" ht="15" customHeight="1">
      <c r="B36" s="186"/>
      <c r="C36" s="186"/>
      <c r="S36" s="187"/>
      <c r="T36" s="187"/>
      <c r="U36" s="183"/>
      <c r="V36" s="183"/>
      <c r="W36" s="183"/>
      <c r="X36" s="183"/>
    </row>
    <row r="37" spans="2:24" ht="15" customHeight="1">
      <c r="B37" s="186"/>
      <c r="C37" s="186"/>
      <c r="S37" s="187"/>
      <c r="T37" s="187"/>
      <c r="U37" s="183"/>
      <c r="V37" s="183"/>
      <c r="W37" s="183"/>
      <c r="X37" s="183"/>
    </row>
    <row r="38" spans="2:24" ht="15" customHeight="1">
      <c r="B38" s="186"/>
      <c r="C38" s="186"/>
      <c r="S38" s="187"/>
      <c r="T38" s="187"/>
      <c r="U38" s="183"/>
      <c r="V38" s="183"/>
      <c r="W38" s="183"/>
      <c r="X38" s="183"/>
    </row>
    <row r="39" spans="2:24" ht="15" customHeight="1">
      <c r="B39" s="186"/>
      <c r="C39" s="186"/>
      <c r="S39" s="187"/>
      <c r="T39" s="187"/>
      <c r="U39" s="183"/>
      <c r="V39" s="183"/>
      <c r="W39" s="183"/>
      <c r="X39" s="183"/>
    </row>
    <row r="40" spans="2:24" ht="15" customHeight="1">
      <c r="B40" s="186"/>
      <c r="C40" s="186"/>
      <c r="S40" s="187"/>
      <c r="T40" s="187"/>
      <c r="U40" s="183"/>
      <c r="V40" s="183"/>
      <c r="W40" s="183"/>
      <c r="X40" s="183"/>
    </row>
    <row r="41" spans="2:24" ht="15" customHeight="1">
      <c r="B41" s="186"/>
      <c r="C41" s="186"/>
      <c r="S41" s="187"/>
      <c r="T41" s="187"/>
      <c r="U41" s="183"/>
      <c r="V41" s="183"/>
      <c r="W41" s="183"/>
      <c r="X41" s="183"/>
    </row>
    <row r="42" spans="2:24" ht="15" customHeight="1">
      <c r="B42" s="186"/>
      <c r="C42" s="186"/>
      <c r="S42" s="187"/>
      <c r="T42" s="187"/>
      <c r="U42" s="183"/>
      <c r="V42" s="183"/>
      <c r="W42" s="183"/>
      <c r="X42" s="183"/>
    </row>
    <row r="43" spans="2:24" ht="15" customHeight="1">
      <c r="B43" s="186"/>
      <c r="C43" s="186"/>
      <c r="S43" s="187"/>
      <c r="T43" s="187"/>
      <c r="U43" s="183"/>
      <c r="V43" s="183"/>
      <c r="W43" s="183"/>
      <c r="X43" s="183"/>
    </row>
    <row r="44" spans="2:24" ht="15" customHeight="1">
      <c r="B44" s="186"/>
      <c r="C44" s="186"/>
      <c r="S44" s="187"/>
      <c r="T44" s="187"/>
      <c r="U44" s="183"/>
      <c r="V44" s="183"/>
      <c r="W44" s="183"/>
      <c r="X44" s="183"/>
    </row>
    <row r="45" spans="2:24" ht="15" customHeight="1">
      <c r="B45" s="186"/>
      <c r="C45" s="186"/>
      <c r="S45" s="187"/>
      <c r="T45" s="187"/>
      <c r="U45" s="183"/>
      <c r="V45" s="183"/>
      <c r="W45" s="183"/>
      <c r="X45" s="183"/>
    </row>
    <row r="46" spans="2:24" ht="15" customHeight="1">
      <c r="B46" s="186"/>
      <c r="C46" s="186"/>
      <c r="S46" s="187"/>
      <c r="T46" s="187"/>
      <c r="U46" s="183"/>
      <c r="V46" s="183"/>
      <c r="W46" s="183"/>
      <c r="X46" s="183"/>
    </row>
    <row r="47" spans="2:24" ht="15" customHeight="1">
      <c r="B47" s="186"/>
      <c r="C47" s="186"/>
      <c r="S47" s="187"/>
      <c r="T47" s="187"/>
      <c r="U47" s="183"/>
      <c r="V47" s="183"/>
      <c r="W47" s="183"/>
      <c r="X47" s="183"/>
    </row>
    <row r="48" spans="2:24" ht="15" customHeight="1">
      <c r="B48" s="186"/>
      <c r="C48" s="186"/>
      <c r="S48" s="187"/>
      <c r="T48" s="187"/>
      <c r="U48" s="183"/>
      <c r="V48" s="183"/>
      <c r="W48" s="183"/>
      <c r="X48" s="183"/>
    </row>
    <row r="49" spans="2:24" ht="15" customHeight="1">
      <c r="B49" s="186"/>
      <c r="C49" s="186"/>
      <c r="S49" s="187"/>
      <c r="T49" s="187"/>
      <c r="U49" s="183"/>
      <c r="V49" s="183"/>
      <c r="W49" s="183"/>
      <c r="X49" s="183"/>
    </row>
    <row r="50" spans="2:24" ht="15" customHeight="1">
      <c r="B50" s="186"/>
      <c r="C50" s="186"/>
      <c r="S50" s="187"/>
      <c r="T50" s="187"/>
      <c r="U50" s="183"/>
      <c r="V50" s="183"/>
      <c r="W50" s="183"/>
      <c r="X50" s="183"/>
    </row>
    <row r="51" spans="2:24" ht="15" customHeight="1">
      <c r="B51" s="186"/>
      <c r="C51" s="186"/>
      <c r="S51" s="187"/>
      <c r="T51" s="187"/>
      <c r="U51" s="183"/>
      <c r="V51" s="183"/>
      <c r="W51" s="183"/>
      <c r="X51" s="183"/>
    </row>
    <row r="52" spans="2:24" ht="15" customHeight="1">
      <c r="B52" s="186"/>
      <c r="C52" s="186"/>
      <c r="S52" s="187"/>
      <c r="T52" s="187"/>
      <c r="U52" s="183"/>
      <c r="V52" s="183"/>
      <c r="W52" s="183"/>
      <c r="X52" s="183"/>
    </row>
    <row r="53" spans="2:24" ht="15" customHeight="1">
      <c r="B53" s="186"/>
      <c r="C53" s="186"/>
      <c r="S53" s="187"/>
      <c r="T53" s="187"/>
      <c r="U53" s="183"/>
      <c r="V53" s="183"/>
      <c r="W53" s="183"/>
      <c r="X53" s="183"/>
    </row>
    <row r="54" spans="2:24" ht="15" customHeight="1">
      <c r="B54" s="186"/>
      <c r="C54" s="186"/>
      <c r="S54" s="187"/>
      <c r="T54" s="187"/>
      <c r="U54" s="183"/>
      <c r="V54" s="183"/>
      <c r="W54" s="183"/>
      <c r="X54" s="183"/>
    </row>
    <row r="55" spans="2:24" ht="15" customHeight="1">
      <c r="B55" s="186"/>
      <c r="C55" s="186"/>
      <c r="S55" s="187"/>
      <c r="T55" s="187"/>
      <c r="U55" s="183"/>
      <c r="V55" s="183"/>
      <c r="W55" s="183"/>
      <c r="X55" s="183"/>
    </row>
    <row r="56" spans="2:24" ht="15" customHeight="1">
      <c r="B56" s="186"/>
      <c r="C56" s="186"/>
      <c r="S56" s="187"/>
      <c r="T56" s="187"/>
      <c r="U56" s="183"/>
      <c r="V56" s="183"/>
      <c r="W56" s="183"/>
      <c r="X56" s="183"/>
    </row>
    <row r="57" spans="2:24" ht="15" customHeight="1">
      <c r="B57" s="186"/>
      <c r="C57" s="186"/>
      <c r="S57" s="187"/>
      <c r="T57" s="187"/>
      <c r="U57" s="183"/>
      <c r="V57" s="183"/>
      <c r="W57" s="183"/>
      <c r="X57" s="183"/>
    </row>
    <row r="58" spans="2:24" ht="15" customHeight="1">
      <c r="B58" s="186"/>
      <c r="C58" s="186"/>
      <c r="S58" s="187"/>
      <c r="T58" s="187"/>
      <c r="U58" s="183"/>
      <c r="V58" s="183"/>
      <c r="W58" s="183"/>
      <c r="X58" s="183"/>
    </row>
    <row r="59" spans="2:24" ht="15" customHeight="1">
      <c r="B59" s="186"/>
      <c r="C59" s="186"/>
      <c r="S59" s="187"/>
      <c r="T59" s="187"/>
      <c r="U59" s="183"/>
      <c r="V59" s="183"/>
      <c r="W59" s="183"/>
      <c r="X59" s="183"/>
    </row>
    <row r="60" spans="2:24" ht="15" customHeight="1">
      <c r="B60" s="186"/>
      <c r="C60" s="186"/>
      <c r="S60" s="187"/>
      <c r="T60" s="187"/>
      <c r="U60" s="183"/>
      <c r="V60" s="183"/>
      <c r="W60" s="183"/>
      <c r="X60" s="183"/>
    </row>
    <row r="61" spans="2:24" ht="15" customHeight="1">
      <c r="B61" s="186"/>
      <c r="C61" s="186"/>
      <c r="S61" s="187"/>
      <c r="T61" s="187"/>
      <c r="U61" s="183"/>
      <c r="V61" s="183"/>
      <c r="W61" s="183"/>
      <c r="X61" s="183"/>
    </row>
    <row r="62" spans="2:24" ht="15" customHeight="1">
      <c r="B62" s="186"/>
      <c r="C62" s="186"/>
      <c r="S62" s="187"/>
      <c r="T62" s="187"/>
      <c r="U62" s="183"/>
      <c r="V62" s="183"/>
      <c r="W62" s="183"/>
      <c r="X62" s="183"/>
    </row>
    <row r="63" spans="2:24" ht="15" customHeight="1">
      <c r="B63" s="186"/>
      <c r="C63" s="186"/>
      <c r="S63" s="187"/>
      <c r="T63" s="187"/>
      <c r="U63" s="183"/>
      <c r="V63" s="183"/>
      <c r="W63" s="183"/>
      <c r="X63" s="183"/>
    </row>
    <row r="64" spans="2:24" ht="15" customHeight="1">
      <c r="B64" s="186"/>
      <c r="C64" s="186"/>
      <c r="S64" s="187"/>
      <c r="T64" s="187"/>
      <c r="U64" s="183"/>
      <c r="V64" s="183"/>
      <c r="W64" s="183"/>
      <c r="X64" s="183"/>
    </row>
    <row r="65" spans="2:24" ht="15" customHeight="1">
      <c r="B65" s="186"/>
      <c r="C65" s="186"/>
      <c r="S65" s="187"/>
      <c r="T65" s="187"/>
      <c r="U65" s="183"/>
      <c r="V65" s="183"/>
      <c r="W65" s="183"/>
      <c r="X65" s="183"/>
    </row>
    <row r="66" spans="2:24" ht="15" customHeight="1">
      <c r="B66" s="186"/>
      <c r="C66" s="186"/>
      <c r="S66" s="187"/>
      <c r="T66" s="187"/>
      <c r="U66" s="183"/>
      <c r="V66" s="183"/>
      <c r="W66" s="183"/>
      <c r="X66" s="183"/>
    </row>
    <row r="67" spans="2:24" ht="15" customHeight="1">
      <c r="B67" s="186"/>
      <c r="C67" s="186"/>
      <c r="S67" s="187"/>
      <c r="T67" s="187"/>
      <c r="U67" s="183"/>
      <c r="V67" s="183"/>
      <c r="W67" s="183"/>
      <c r="X67" s="183"/>
    </row>
    <row r="68" spans="2:24" ht="15" customHeight="1">
      <c r="B68" s="186"/>
      <c r="C68" s="186"/>
      <c r="S68" s="187"/>
      <c r="T68" s="187"/>
      <c r="U68" s="183"/>
      <c r="V68" s="183"/>
      <c r="W68" s="183"/>
      <c r="X68" s="183"/>
    </row>
    <row r="69" spans="2:24" ht="15" customHeight="1">
      <c r="B69" s="186"/>
      <c r="C69" s="186"/>
      <c r="S69" s="187"/>
      <c r="T69" s="187"/>
      <c r="U69" s="183"/>
      <c r="V69" s="183"/>
      <c r="W69" s="183"/>
      <c r="X69" s="183"/>
    </row>
    <row r="70" spans="2:24" ht="15" customHeight="1">
      <c r="B70" s="186"/>
      <c r="C70" s="186"/>
      <c r="S70" s="187"/>
      <c r="T70" s="187"/>
      <c r="U70" s="183"/>
      <c r="V70" s="183"/>
      <c r="W70" s="183"/>
      <c r="X70" s="183"/>
    </row>
    <row r="71" spans="2:24" ht="15" customHeight="1">
      <c r="B71" s="186"/>
      <c r="C71" s="186"/>
      <c r="S71" s="187"/>
      <c r="T71" s="187"/>
      <c r="U71" s="183"/>
      <c r="V71" s="183"/>
      <c r="W71" s="183"/>
      <c r="X71" s="183"/>
    </row>
    <row r="72" spans="2:24" ht="15" customHeight="1">
      <c r="B72" s="186"/>
      <c r="C72" s="186"/>
      <c r="S72" s="187"/>
      <c r="T72" s="187"/>
      <c r="U72" s="183"/>
      <c r="V72" s="183"/>
      <c r="W72" s="183"/>
      <c r="X72" s="183"/>
    </row>
    <row r="73" spans="2:24" ht="15" customHeight="1">
      <c r="B73" s="186"/>
      <c r="C73" s="186"/>
      <c r="S73" s="187"/>
      <c r="T73" s="187"/>
      <c r="U73" s="183"/>
      <c r="V73" s="183"/>
      <c r="W73" s="183"/>
      <c r="X73" s="183"/>
    </row>
    <row r="74" spans="2:24" ht="15" customHeight="1">
      <c r="B74" s="186"/>
      <c r="C74" s="186"/>
      <c r="S74" s="187"/>
      <c r="T74" s="187"/>
      <c r="U74" s="183"/>
      <c r="V74" s="183"/>
      <c r="W74" s="183"/>
      <c r="X74" s="183"/>
    </row>
    <row r="75" spans="2:24" ht="15" customHeight="1">
      <c r="B75" s="186"/>
      <c r="C75" s="186"/>
      <c r="S75" s="187"/>
      <c r="T75" s="187"/>
      <c r="U75" s="183"/>
      <c r="V75" s="183"/>
      <c r="W75" s="183"/>
      <c r="X75" s="183"/>
    </row>
    <row r="76" spans="2:24" ht="15" customHeight="1">
      <c r="B76" s="186"/>
      <c r="C76" s="186"/>
      <c r="S76" s="187"/>
      <c r="T76" s="187"/>
      <c r="U76" s="183"/>
      <c r="V76" s="183"/>
      <c r="W76" s="183"/>
      <c r="X76" s="183"/>
    </row>
    <row r="77" spans="2:24" ht="15" customHeight="1">
      <c r="B77" s="186"/>
      <c r="C77" s="186"/>
      <c r="S77" s="187"/>
      <c r="T77" s="187"/>
      <c r="U77" s="183"/>
      <c r="V77" s="183"/>
      <c r="W77" s="183"/>
      <c r="X77" s="183"/>
    </row>
    <row r="78" spans="2:24" ht="15" customHeight="1">
      <c r="B78" s="186"/>
      <c r="C78" s="186"/>
      <c r="S78" s="187"/>
      <c r="T78" s="187"/>
      <c r="U78" s="183"/>
      <c r="V78" s="183"/>
      <c r="W78" s="183"/>
      <c r="X78" s="183"/>
    </row>
    <row r="79" spans="2:24" ht="15" customHeight="1">
      <c r="B79" s="186"/>
      <c r="C79" s="186"/>
      <c r="S79" s="187"/>
      <c r="T79" s="187"/>
      <c r="U79" s="183"/>
      <c r="V79" s="183"/>
      <c r="W79" s="183"/>
      <c r="X79" s="183"/>
    </row>
    <row r="80" spans="2:24" ht="15" customHeight="1">
      <c r="B80" s="186"/>
      <c r="C80" s="186"/>
      <c r="S80" s="187"/>
      <c r="T80" s="187"/>
      <c r="U80" s="183"/>
      <c r="V80" s="183"/>
      <c r="W80" s="183"/>
      <c r="X80" s="183"/>
    </row>
    <row r="81" spans="2:24" ht="15" customHeight="1">
      <c r="B81" s="186"/>
      <c r="C81" s="186"/>
      <c r="S81" s="187"/>
      <c r="T81" s="187"/>
      <c r="U81" s="183"/>
      <c r="V81" s="183"/>
      <c r="W81" s="183"/>
      <c r="X81" s="183"/>
    </row>
    <row r="82" spans="2:24" ht="15" customHeight="1">
      <c r="B82" s="186"/>
      <c r="C82" s="186"/>
      <c r="S82" s="187"/>
      <c r="T82" s="187"/>
      <c r="U82" s="183"/>
      <c r="V82" s="183"/>
      <c r="W82" s="183"/>
      <c r="X82" s="183"/>
    </row>
    <row r="83" spans="2:24" ht="15" customHeight="1">
      <c r="B83" s="186"/>
      <c r="C83" s="186"/>
      <c r="S83" s="187"/>
      <c r="T83" s="187"/>
      <c r="U83" s="183"/>
      <c r="V83" s="183"/>
      <c r="W83" s="183"/>
      <c r="X83" s="183"/>
    </row>
    <row r="84" spans="2:24" ht="15" customHeight="1">
      <c r="B84" s="186"/>
      <c r="C84" s="186"/>
      <c r="S84" s="187"/>
      <c r="T84" s="187"/>
      <c r="U84" s="183"/>
      <c r="V84" s="183"/>
      <c r="W84" s="183"/>
      <c r="X84" s="183"/>
    </row>
    <row r="85" spans="2:24" ht="15" customHeight="1">
      <c r="B85" s="186"/>
      <c r="C85" s="186"/>
      <c r="S85" s="187"/>
      <c r="T85" s="187"/>
      <c r="U85" s="183"/>
      <c r="V85" s="183"/>
      <c r="W85" s="183"/>
      <c r="X85" s="183"/>
    </row>
    <row r="86" spans="2:24" ht="15" customHeight="1">
      <c r="B86" s="186"/>
      <c r="C86" s="186"/>
      <c r="S86" s="187"/>
      <c r="T86" s="187"/>
      <c r="U86" s="183"/>
      <c r="V86" s="183"/>
      <c r="W86" s="183"/>
      <c r="X86" s="183"/>
    </row>
    <row r="87" spans="2:24" ht="15" customHeight="1">
      <c r="B87" s="186"/>
      <c r="C87" s="186"/>
      <c r="S87" s="187"/>
      <c r="T87" s="187"/>
      <c r="U87" s="183"/>
      <c r="V87" s="183"/>
      <c r="W87" s="183"/>
      <c r="X87" s="183"/>
    </row>
    <row r="88" spans="2:24" ht="15" customHeight="1">
      <c r="B88" s="191"/>
      <c r="C88" s="183"/>
      <c r="D88" s="190"/>
      <c r="E88" s="183"/>
      <c r="F88" s="183"/>
      <c r="G88" s="183"/>
      <c r="H88" s="183"/>
      <c r="I88" s="183"/>
      <c r="J88" s="183"/>
      <c r="K88" s="183"/>
      <c r="L88" s="183"/>
      <c r="M88" s="183"/>
      <c r="N88" s="183"/>
      <c r="O88" s="183"/>
      <c r="P88" s="183"/>
      <c r="Q88" s="183"/>
      <c r="R88" s="183"/>
      <c r="S88" s="192"/>
      <c r="T88" s="183"/>
      <c r="U88" s="183"/>
      <c r="V88" s="183"/>
      <c r="W88" s="183"/>
      <c r="X88" s="183"/>
    </row>
    <row r="89" spans="2:24" ht="15" customHeight="1">
      <c r="B89" s="183"/>
      <c r="C89" s="183"/>
      <c r="D89" s="183"/>
      <c r="E89" s="183"/>
      <c r="F89" s="183"/>
      <c r="G89" s="183"/>
      <c r="H89" s="183"/>
      <c r="I89" s="183"/>
      <c r="J89" s="183"/>
      <c r="K89" s="183"/>
      <c r="L89" s="183"/>
      <c r="M89" s="183"/>
      <c r="N89" s="183"/>
      <c r="O89" s="183"/>
      <c r="P89" s="183"/>
      <c r="Q89" s="183"/>
      <c r="R89" s="183"/>
      <c r="S89" s="183"/>
      <c r="T89" s="183"/>
      <c r="U89" s="183"/>
      <c r="V89" s="183"/>
      <c r="W89" s="183"/>
      <c r="X89" s="183"/>
    </row>
    <row r="90" spans="2:24" ht="15" customHeight="1">
      <c r="B90" s="183"/>
      <c r="C90" s="183"/>
      <c r="D90" s="183"/>
      <c r="E90" s="183"/>
      <c r="F90" s="183"/>
      <c r="G90" s="183"/>
      <c r="H90" s="183"/>
      <c r="I90" s="183"/>
      <c r="J90" s="183"/>
      <c r="K90" s="183"/>
      <c r="L90" s="183"/>
      <c r="M90" s="183"/>
      <c r="N90" s="183"/>
      <c r="O90" s="183"/>
      <c r="P90" s="183"/>
      <c r="Q90" s="183"/>
      <c r="R90" s="183"/>
      <c r="S90" s="183"/>
      <c r="T90" s="183"/>
      <c r="U90" s="183"/>
      <c r="V90" s="183"/>
      <c r="W90" s="183"/>
      <c r="X90" s="183"/>
    </row>
    <row r="91" spans="2:24" ht="15" customHeight="1">
      <c r="B91" s="183"/>
      <c r="C91" s="183"/>
      <c r="D91" s="183"/>
      <c r="E91" s="183"/>
      <c r="F91" s="183"/>
      <c r="G91" s="183"/>
      <c r="H91" s="183"/>
      <c r="I91" s="183"/>
      <c r="J91" s="183"/>
      <c r="K91" s="183"/>
      <c r="L91" s="183"/>
      <c r="M91" s="183"/>
      <c r="N91" s="183"/>
      <c r="O91" s="183"/>
      <c r="P91" s="183"/>
      <c r="Q91" s="183"/>
      <c r="R91" s="183"/>
      <c r="S91" s="183"/>
      <c r="T91" s="183"/>
      <c r="U91" s="183"/>
      <c r="V91" s="183"/>
      <c r="W91" s="183"/>
      <c r="X91" s="183"/>
    </row>
    <row r="92" spans="2:24" ht="15" customHeight="1">
      <c r="B92" s="185"/>
      <c r="C92" s="183"/>
      <c r="D92" s="183"/>
      <c r="E92" s="183"/>
      <c r="F92" s="183"/>
      <c r="G92" s="183"/>
      <c r="H92" s="183"/>
      <c r="I92" s="183"/>
      <c r="J92" s="183"/>
      <c r="K92" s="183"/>
      <c r="L92" s="183"/>
      <c r="M92" s="183"/>
      <c r="N92" s="183"/>
      <c r="O92" s="183"/>
      <c r="P92" s="183"/>
      <c r="Q92" s="183"/>
      <c r="R92" s="183"/>
      <c r="S92" s="183"/>
      <c r="T92" s="183"/>
      <c r="U92" s="182"/>
      <c r="V92" s="183"/>
      <c r="W92" s="183"/>
      <c r="X92" s="183"/>
    </row>
    <row r="93" spans="2:24" ht="15" customHeight="1">
      <c r="B93" s="183"/>
      <c r="C93" s="183"/>
      <c r="D93" s="183"/>
      <c r="E93" s="183"/>
      <c r="F93" s="183"/>
      <c r="G93" s="183"/>
      <c r="H93" s="183"/>
      <c r="I93" s="183"/>
      <c r="J93" s="183"/>
      <c r="K93" s="183"/>
      <c r="L93" s="183"/>
      <c r="M93" s="183"/>
      <c r="N93" s="183"/>
      <c r="O93" s="183"/>
      <c r="P93" s="183"/>
      <c r="Q93" s="183"/>
      <c r="R93" s="183"/>
      <c r="S93" s="183"/>
      <c r="T93" s="183"/>
      <c r="U93" s="183"/>
      <c r="V93" s="183"/>
      <c r="W93" s="183"/>
      <c r="X93" s="183"/>
    </row>
    <row r="94" spans="2:24" ht="15" customHeight="1">
      <c r="B94" s="183"/>
      <c r="C94" s="183"/>
      <c r="D94" s="183"/>
      <c r="E94" s="183"/>
      <c r="F94" s="183"/>
      <c r="G94" s="183"/>
      <c r="H94" s="183"/>
      <c r="I94" s="183"/>
      <c r="J94" s="183"/>
      <c r="K94" s="183"/>
      <c r="L94" s="183"/>
      <c r="M94" s="183"/>
      <c r="N94" s="183"/>
      <c r="O94" s="183"/>
      <c r="P94" s="183"/>
      <c r="Q94" s="183"/>
      <c r="R94" s="183"/>
      <c r="S94" s="183"/>
      <c r="T94" s="183"/>
      <c r="U94" s="183"/>
      <c r="V94" s="183"/>
      <c r="W94" s="183"/>
      <c r="X94" s="183"/>
    </row>
    <row r="95" spans="2:24" ht="15" customHeight="1">
      <c r="B95" s="183"/>
      <c r="C95" s="183"/>
      <c r="D95" s="183"/>
      <c r="E95" s="183"/>
      <c r="F95" s="183"/>
      <c r="G95" s="183"/>
      <c r="H95" s="183"/>
      <c r="I95" s="183"/>
      <c r="J95" s="183"/>
      <c r="K95" s="183"/>
      <c r="L95" s="183"/>
      <c r="M95" s="183"/>
      <c r="N95" s="183"/>
      <c r="O95" s="183"/>
      <c r="P95" s="183"/>
      <c r="Q95" s="183"/>
      <c r="R95" s="183"/>
      <c r="S95" s="183"/>
      <c r="T95" s="183"/>
      <c r="U95" s="183"/>
      <c r="V95" s="183"/>
      <c r="W95" s="183"/>
      <c r="X95" s="183"/>
    </row>
    <row r="96" spans="2:24" ht="15" customHeight="1">
      <c r="B96" s="183"/>
      <c r="C96" s="183"/>
      <c r="D96" s="183"/>
      <c r="E96" s="183"/>
      <c r="F96" s="183"/>
      <c r="G96" s="183"/>
      <c r="H96" s="183"/>
      <c r="I96" s="183"/>
      <c r="J96" s="183"/>
      <c r="K96" s="183"/>
      <c r="L96" s="183"/>
      <c r="M96" s="183"/>
      <c r="N96" s="183"/>
      <c r="O96" s="183"/>
      <c r="P96" s="183"/>
      <c r="Q96" s="183"/>
      <c r="R96" s="183"/>
      <c r="S96" s="183"/>
      <c r="T96" s="183"/>
      <c r="U96" s="183"/>
      <c r="V96" s="183"/>
      <c r="W96" s="183"/>
      <c r="X96" s="183"/>
    </row>
    <row r="97" spans="2:24" ht="15" customHeight="1">
      <c r="B97" s="183"/>
      <c r="C97" s="183"/>
      <c r="D97" s="183"/>
      <c r="E97" s="183"/>
      <c r="F97" s="183"/>
      <c r="G97" s="183"/>
      <c r="H97" s="183"/>
      <c r="I97" s="183"/>
      <c r="J97" s="183"/>
      <c r="K97" s="183"/>
      <c r="L97" s="183"/>
      <c r="M97" s="183"/>
      <c r="N97" s="183"/>
      <c r="O97" s="183"/>
      <c r="P97" s="183"/>
      <c r="Q97" s="183"/>
      <c r="R97" s="183"/>
      <c r="S97" s="183"/>
      <c r="T97" s="183"/>
      <c r="U97" s="183"/>
      <c r="V97" s="183"/>
      <c r="W97" s="183"/>
      <c r="X97" s="183"/>
    </row>
    <row r="98" spans="2:24" ht="15" customHeight="1">
      <c r="B98" s="183"/>
      <c r="C98" s="183"/>
      <c r="D98" s="183"/>
      <c r="E98" s="183"/>
      <c r="F98" s="183"/>
      <c r="G98" s="183"/>
      <c r="H98" s="183"/>
      <c r="I98" s="183"/>
      <c r="J98" s="183"/>
      <c r="K98" s="183"/>
      <c r="L98" s="183"/>
      <c r="M98" s="183"/>
      <c r="N98" s="183"/>
      <c r="O98" s="183"/>
      <c r="P98" s="183"/>
      <c r="Q98" s="183"/>
      <c r="R98" s="183"/>
      <c r="S98" s="183"/>
      <c r="T98" s="183"/>
      <c r="U98" s="183"/>
      <c r="V98" s="183"/>
      <c r="W98" s="183"/>
      <c r="X98" s="183"/>
    </row>
    <row r="99" spans="2:24" ht="15" customHeight="1">
      <c r="B99" s="183"/>
      <c r="C99" s="183"/>
      <c r="D99" s="183"/>
      <c r="E99" s="183"/>
      <c r="F99" s="183"/>
      <c r="G99" s="183"/>
      <c r="H99" s="183"/>
      <c r="I99" s="183"/>
      <c r="J99" s="183"/>
      <c r="K99" s="183"/>
      <c r="L99" s="183"/>
      <c r="M99" s="183"/>
      <c r="N99" s="183"/>
      <c r="O99" s="183"/>
      <c r="P99" s="183"/>
      <c r="Q99" s="183"/>
      <c r="R99" s="183"/>
      <c r="S99" s="183"/>
      <c r="T99" s="183"/>
      <c r="U99" s="183"/>
      <c r="V99" s="183"/>
      <c r="W99" s="183"/>
      <c r="X99" s="183"/>
    </row>
    <row r="100" spans="2:24" ht="15" customHeight="1">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row>
  </sheetData>
  <sheetProtection sheet="1" objects="1" scenarios="1" selectLockedCells="1" selectUnlockedCells="1"/>
  <mergeCells count="15">
    <mergeCell ref="D25:R25"/>
    <mergeCell ref="D33:R33"/>
    <mergeCell ref="U92:X100"/>
    <mergeCell ref="U6:X91"/>
    <mergeCell ref="B92:T100"/>
    <mergeCell ref="B10:C87"/>
    <mergeCell ref="S10:T87"/>
    <mergeCell ref="D6:R9"/>
    <mergeCell ref="B6:C9"/>
    <mergeCell ref="S6:T9"/>
    <mergeCell ref="D88:R91"/>
    <mergeCell ref="B88:C91"/>
    <mergeCell ref="S88:T91"/>
    <mergeCell ref="D13:R13"/>
    <mergeCell ref="D21:R21"/>
  </mergeCells>
  <phoneticPr fontId="7" type="noConversion"/>
  <hyperlinks>
    <hyperlink ref="K26" r:id="rId1" xr:uid="{00000000-0004-0000-0400-000000000000}"/>
    <hyperlink ref="K27" r:id="rId2" xr:uid="{00000000-0004-0000-0400-000001000000}"/>
    <hyperlink ref="K28" r:id="rId3" xr:uid="{00000000-0004-0000-0400-000002000000}"/>
    <hyperlink ref="K29" r:id="rId4" xr:uid="{00000000-0004-0000-0400-000003000000}"/>
    <hyperlink ref="K30" r:id="rId5" xr:uid="{00000000-0004-0000-0400-000004000000}"/>
    <hyperlink ref="K31" r:id="rId6" xr:uid="{00000000-0004-0000-0400-000005000000}"/>
  </hyperlinks>
  <pageMargins left="0.75" right="0.75" top="1" bottom="1" header="0.5" footer="0.5"/>
  <headerFooter alignWithMargins="0"/>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ranslation"/>
  <dimension ref="A1:AA710"/>
  <sheetViews>
    <sheetView topLeftCell="A696" workbookViewId="0">
      <selection activeCell="D711" sqref="D711"/>
    </sheetView>
  </sheetViews>
  <sheetFormatPr defaultColWidth="9.1796875" defaultRowHeight="14"/>
  <cols>
    <col min="1" max="1" width="19.26953125" style="82" customWidth="1"/>
    <col min="2" max="2" width="34.26953125" style="82" customWidth="1"/>
    <col min="3" max="7" width="34.7265625" style="82" customWidth="1"/>
    <col min="8" max="26" width="9.1796875" style="82"/>
    <col min="27" max="27" width="10.1796875" style="82" bestFit="1" customWidth="1"/>
    <col min="28" max="16384" width="9.1796875" style="82"/>
  </cols>
  <sheetData>
    <row r="1" spans="1:27">
      <c r="A1" s="82" t="s">
        <v>126</v>
      </c>
      <c r="B1" s="82" t="s">
        <v>127</v>
      </c>
      <c r="C1" s="82" t="s">
        <v>128</v>
      </c>
      <c r="D1" s="82" t="s">
        <v>131</v>
      </c>
      <c r="E1" s="82" t="s">
        <v>132</v>
      </c>
      <c r="F1" s="82" t="s">
        <v>129</v>
      </c>
      <c r="G1" s="82" t="s">
        <v>130</v>
      </c>
      <c r="H1" s="82" t="s">
        <v>133</v>
      </c>
      <c r="I1" s="82" t="s">
        <v>134</v>
      </c>
      <c r="J1" s="82" t="s">
        <v>135</v>
      </c>
      <c r="K1" s="82" t="s">
        <v>136</v>
      </c>
      <c r="L1" s="82" t="s">
        <v>137</v>
      </c>
      <c r="AA1" s="82">
        <f>MATCH(LANGUAGE_SELECTION,Translation!A2:Z2,0)-3</f>
        <v>0</v>
      </c>
    </row>
    <row r="2" spans="1:27">
      <c r="A2" s="82" t="s">
        <v>138</v>
      </c>
      <c r="B2" s="82" t="s">
        <v>139</v>
      </c>
      <c r="C2" s="82" t="s">
        <v>128</v>
      </c>
      <c r="D2" s="82" t="s">
        <v>142</v>
      </c>
      <c r="E2" s="82" t="s">
        <v>143</v>
      </c>
      <c r="F2" s="82" t="s">
        <v>140</v>
      </c>
      <c r="G2" s="82" t="s">
        <v>141</v>
      </c>
      <c r="H2" s="82" t="s">
        <v>133</v>
      </c>
      <c r="I2" s="82" t="s">
        <v>134</v>
      </c>
      <c r="J2" s="82" t="s">
        <v>135</v>
      </c>
      <c r="K2" s="82" t="s">
        <v>136</v>
      </c>
      <c r="L2" s="82" t="s">
        <v>137</v>
      </c>
      <c r="AA2" s="82" t="s">
        <v>128</v>
      </c>
    </row>
    <row r="3" spans="1:27">
      <c r="B3" s="82" t="s">
        <v>144</v>
      </c>
      <c r="C3" s="82" t="s">
        <v>144</v>
      </c>
      <c r="F3" s="82" t="s">
        <v>145</v>
      </c>
      <c r="AA3" s="82" t="s">
        <v>142</v>
      </c>
    </row>
    <row r="4" spans="1:27">
      <c r="B4" s="82" t="s">
        <v>146</v>
      </c>
      <c r="C4" s="82" t="s">
        <v>146</v>
      </c>
      <c r="F4" s="82" t="s">
        <v>147</v>
      </c>
      <c r="AA4" s="82" t="s">
        <v>143</v>
      </c>
    </row>
    <row r="5" spans="1:27">
      <c r="B5" s="82" t="s">
        <v>148</v>
      </c>
      <c r="C5" s="82" t="s">
        <v>148</v>
      </c>
      <c r="F5" s="82" t="s">
        <v>149</v>
      </c>
      <c r="AA5" s="82" t="s">
        <v>140</v>
      </c>
    </row>
    <row r="6" spans="1:27">
      <c r="B6" s="82" t="s">
        <v>150</v>
      </c>
      <c r="C6" s="82" t="s">
        <v>151</v>
      </c>
      <c r="F6" s="82" t="s">
        <v>152</v>
      </c>
      <c r="AA6" s="82" t="s">
        <v>141</v>
      </c>
    </row>
    <row r="7" spans="1:27">
      <c r="B7" s="82" t="s">
        <v>153</v>
      </c>
      <c r="C7" s="82" t="s">
        <v>153</v>
      </c>
      <c r="F7" s="82" t="s">
        <v>154</v>
      </c>
      <c r="AA7" s="82" t="s">
        <v>133</v>
      </c>
    </row>
    <row r="8" spans="1:27">
      <c r="B8" s="82" t="s">
        <v>155</v>
      </c>
      <c r="C8" s="82" t="s">
        <v>155</v>
      </c>
      <c r="F8" s="82" t="s">
        <v>156</v>
      </c>
      <c r="AA8" s="82" t="s">
        <v>134</v>
      </c>
    </row>
    <row r="9" spans="1:27">
      <c r="B9" s="82" t="s">
        <v>157</v>
      </c>
      <c r="C9" s="82" t="s">
        <v>157</v>
      </c>
      <c r="F9" s="82" t="s">
        <v>158</v>
      </c>
      <c r="AA9" s="82" t="s">
        <v>135</v>
      </c>
    </row>
    <row r="10" spans="1:27">
      <c r="B10" s="82" t="s">
        <v>159</v>
      </c>
      <c r="C10" s="82" t="s">
        <v>160</v>
      </c>
      <c r="F10" s="82" t="s">
        <v>161</v>
      </c>
      <c r="AA10" s="82" t="s">
        <v>136</v>
      </c>
    </row>
    <row r="11" spans="1:27">
      <c r="B11" s="82" t="s">
        <v>162</v>
      </c>
      <c r="C11" s="82" t="s">
        <v>162</v>
      </c>
      <c r="F11" s="82" t="s">
        <v>163</v>
      </c>
      <c r="AA11" s="82" t="s">
        <v>137</v>
      </c>
    </row>
    <row r="12" spans="1:27">
      <c r="B12" s="82" t="s">
        <v>164</v>
      </c>
      <c r="C12" s="82" t="s">
        <v>164</v>
      </c>
      <c r="F12" s="82" t="s">
        <v>165</v>
      </c>
    </row>
    <row r="13" spans="1:27">
      <c r="B13" s="82" t="s">
        <v>166</v>
      </c>
      <c r="C13" s="82" t="s">
        <v>166</v>
      </c>
      <c r="F13" s="82" t="s">
        <v>167</v>
      </c>
    </row>
    <row r="14" spans="1:27">
      <c r="B14" s="82" t="s">
        <v>168</v>
      </c>
      <c r="C14" s="82" t="s">
        <v>168</v>
      </c>
      <c r="F14" s="82" t="s">
        <v>169</v>
      </c>
    </row>
    <row r="15" spans="1:27">
      <c r="B15" s="82" t="s">
        <v>170</v>
      </c>
      <c r="C15" s="82" t="s">
        <v>170</v>
      </c>
      <c r="F15" s="82" t="s">
        <v>171</v>
      </c>
    </row>
    <row r="16" spans="1:27">
      <c r="B16" s="82" t="s">
        <v>172</v>
      </c>
      <c r="C16" s="82" t="s">
        <v>172</v>
      </c>
      <c r="F16" s="82" t="s">
        <v>173</v>
      </c>
    </row>
    <row r="17" spans="2:6">
      <c r="B17" s="82" t="s">
        <v>174</v>
      </c>
      <c r="C17" s="82" t="s">
        <v>174</v>
      </c>
      <c r="F17" s="82" t="s">
        <v>175</v>
      </c>
    </row>
    <row r="18" spans="2:6">
      <c r="B18" s="82" t="s">
        <v>176</v>
      </c>
      <c r="C18" s="82" t="s">
        <v>176</v>
      </c>
      <c r="F18" s="82" t="s">
        <v>177</v>
      </c>
    </row>
    <row r="19" spans="2:6">
      <c r="B19" s="82" t="s">
        <v>178</v>
      </c>
      <c r="C19" s="82" t="s">
        <v>178</v>
      </c>
      <c r="F19" s="82" t="s">
        <v>179</v>
      </c>
    </row>
    <row r="20" spans="2:6">
      <c r="B20" s="82" t="s">
        <v>180</v>
      </c>
      <c r="C20" s="82" t="s">
        <v>180</v>
      </c>
      <c r="F20" s="82" t="s">
        <v>181</v>
      </c>
    </row>
    <row r="21" spans="2:6">
      <c r="B21" s="82" t="s">
        <v>182</v>
      </c>
      <c r="C21" s="82" t="s">
        <v>182</v>
      </c>
      <c r="F21" s="82" t="s">
        <v>183</v>
      </c>
    </row>
    <row r="22" spans="2:6">
      <c r="B22" s="82" t="s">
        <v>184</v>
      </c>
      <c r="C22" s="82" t="s">
        <v>184</v>
      </c>
      <c r="F22" s="82" t="s">
        <v>185</v>
      </c>
    </row>
    <row r="23" spans="2:6">
      <c r="B23" s="82" t="s">
        <v>186</v>
      </c>
      <c r="C23" s="82" t="s">
        <v>186</v>
      </c>
      <c r="F23" s="82" t="s">
        <v>187</v>
      </c>
    </row>
    <row r="24" spans="2:6">
      <c r="B24" s="82" t="s">
        <v>188</v>
      </c>
      <c r="C24" s="82" t="s">
        <v>188</v>
      </c>
      <c r="F24" s="82" t="s">
        <v>188</v>
      </c>
    </row>
    <row r="25" spans="2:6">
      <c r="B25" s="82" t="s">
        <v>189</v>
      </c>
      <c r="C25" s="82" t="s">
        <v>189</v>
      </c>
      <c r="F25" s="82" t="s">
        <v>190</v>
      </c>
    </row>
    <row r="26" spans="2:6">
      <c r="B26" s="82" t="s">
        <v>191</v>
      </c>
      <c r="C26" s="82" t="s">
        <v>191</v>
      </c>
      <c r="F26" s="82" t="s">
        <v>192</v>
      </c>
    </row>
    <row r="27" spans="2:6">
      <c r="B27" s="82" t="s">
        <v>193</v>
      </c>
      <c r="C27" s="82" t="s">
        <v>193</v>
      </c>
      <c r="F27" s="82" t="s">
        <v>194</v>
      </c>
    </row>
    <row r="28" spans="2:6">
      <c r="B28" s="82" t="s">
        <v>195</v>
      </c>
      <c r="C28" s="82" t="s">
        <v>195</v>
      </c>
      <c r="F28" s="82" t="s">
        <v>196</v>
      </c>
    </row>
    <row r="29" spans="2:6">
      <c r="B29" s="82" t="s">
        <v>197</v>
      </c>
      <c r="C29" s="82" t="s">
        <v>197</v>
      </c>
      <c r="F29" s="82" t="s">
        <v>198</v>
      </c>
    </row>
    <row r="30" spans="2:6">
      <c r="B30" s="82" t="s">
        <v>199</v>
      </c>
      <c r="C30" s="82" t="s">
        <v>199</v>
      </c>
      <c r="F30" s="82" t="s">
        <v>200</v>
      </c>
    </row>
    <row r="31" spans="2:6">
      <c r="B31" s="82" t="s">
        <v>201</v>
      </c>
      <c r="C31" s="82" t="s">
        <v>201</v>
      </c>
      <c r="F31" s="82" t="s">
        <v>202</v>
      </c>
    </row>
    <row r="32" spans="2:6">
      <c r="B32" s="82" t="s">
        <v>203</v>
      </c>
      <c r="C32" s="82" t="s">
        <v>203</v>
      </c>
      <c r="F32" s="82" t="s">
        <v>204</v>
      </c>
    </row>
    <row r="33" spans="2:7">
      <c r="B33" s="82" t="s">
        <v>205</v>
      </c>
      <c r="C33" s="82" t="s">
        <v>205</v>
      </c>
      <c r="F33" s="82" t="s">
        <v>206</v>
      </c>
    </row>
    <row r="34" spans="2:7">
      <c r="B34" s="82" t="s">
        <v>207</v>
      </c>
      <c r="C34" s="82" t="s">
        <v>207</v>
      </c>
      <c r="F34" s="82" t="s">
        <v>208</v>
      </c>
    </row>
    <row r="35" spans="2:7">
      <c r="B35" s="82" t="s">
        <v>209</v>
      </c>
      <c r="C35" s="82" t="s">
        <v>209</v>
      </c>
      <c r="F35" s="82" t="s">
        <v>210</v>
      </c>
    </row>
    <row r="36" spans="2:7">
      <c r="B36" s="82" t="s">
        <v>211</v>
      </c>
      <c r="C36" s="82" t="s">
        <v>211</v>
      </c>
      <c r="F36" s="82" t="s">
        <v>212</v>
      </c>
    </row>
    <row r="37" spans="2:7">
      <c r="B37" s="82" t="s">
        <v>213</v>
      </c>
      <c r="C37" s="82" t="s">
        <v>213</v>
      </c>
      <c r="F37" s="82" t="s">
        <v>214</v>
      </c>
    </row>
    <row r="38" spans="2:7">
      <c r="B38" s="82" t="s">
        <v>215</v>
      </c>
      <c r="C38" s="82" t="s">
        <v>215</v>
      </c>
      <c r="F38" s="82" t="s">
        <v>216</v>
      </c>
    </row>
    <row r="39" spans="2:7">
      <c r="B39" s="82" t="s">
        <v>217</v>
      </c>
      <c r="C39" s="82" t="s">
        <v>217</v>
      </c>
      <c r="F39" s="82" t="s">
        <v>218</v>
      </c>
    </row>
    <row r="40" spans="2:7">
      <c r="B40" s="82" t="s">
        <v>219</v>
      </c>
      <c r="C40" s="82" t="s">
        <v>219</v>
      </c>
      <c r="F40" s="82" t="s">
        <v>220</v>
      </c>
    </row>
    <row r="41" spans="2:7">
      <c r="B41" s="82" t="s">
        <v>221</v>
      </c>
      <c r="C41" s="82" t="s">
        <v>221</v>
      </c>
      <c r="F41" s="82" t="s">
        <v>221</v>
      </c>
    </row>
    <row r="42" spans="2:7">
      <c r="B42" s="82" t="s">
        <v>222</v>
      </c>
      <c r="C42" s="82" t="s">
        <v>222</v>
      </c>
      <c r="F42" s="82" t="s">
        <v>223</v>
      </c>
    </row>
    <row r="43" spans="2:7">
      <c r="B43" s="82" t="s">
        <v>224</v>
      </c>
      <c r="C43" s="82" t="s">
        <v>224</v>
      </c>
      <c r="F43" s="82" t="s">
        <v>225</v>
      </c>
    </row>
    <row r="44" spans="2:7">
      <c r="B44" s="82" t="s">
        <v>226</v>
      </c>
      <c r="C44" s="82" t="s">
        <v>226</v>
      </c>
      <c r="F44" s="82" t="s">
        <v>226</v>
      </c>
    </row>
    <row r="45" spans="2:7">
      <c r="B45" s="82" t="s">
        <v>227</v>
      </c>
      <c r="C45" s="82" t="s">
        <v>227</v>
      </c>
      <c r="F45" s="82" t="s">
        <v>228</v>
      </c>
    </row>
    <row r="46" spans="2:7">
      <c r="B46" s="82" t="s">
        <v>229</v>
      </c>
      <c r="C46" s="82" t="s">
        <v>229</v>
      </c>
      <c r="F46" s="82" t="s">
        <v>230</v>
      </c>
    </row>
    <row r="47" spans="2:7" ht="70">
      <c r="B47" s="83" t="s">
        <v>231</v>
      </c>
      <c r="C47" s="83" t="s">
        <v>231</v>
      </c>
      <c r="F47" s="82" t="s">
        <v>232</v>
      </c>
    </row>
    <row r="48" spans="2:7">
      <c r="B48" s="82" t="s">
        <v>233</v>
      </c>
      <c r="C48" s="82" t="s">
        <v>233</v>
      </c>
      <c r="D48" s="82" t="s">
        <v>236</v>
      </c>
      <c r="E48" s="82" t="s">
        <v>236</v>
      </c>
      <c r="F48" s="82" t="s">
        <v>234</v>
      </c>
      <c r="G48" s="82" t="s">
        <v>235</v>
      </c>
    </row>
    <row r="49" spans="2:7">
      <c r="B49" s="82" t="s">
        <v>237</v>
      </c>
      <c r="C49" s="82" t="s">
        <v>237</v>
      </c>
      <c r="F49" s="82" t="s">
        <v>238</v>
      </c>
    </row>
    <row r="50" spans="2:7" ht="168">
      <c r="B50" s="83" t="s">
        <v>239</v>
      </c>
      <c r="C50" s="83" t="s">
        <v>240</v>
      </c>
      <c r="F50" s="82" t="s">
        <v>241</v>
      </c>
    </row>
    <row r="51" spans="2:7">
      <c r="B51" s="82" t="s">
        <v>242</v>
      </c>
      <c r="C51" s="82" t="s">
        <v>242</v>
      </c>
      <c r="F51" s="82" t="s">
        <v>243</v>
      </c>
    </row>
    <row r="52" spans="2:7">
      <c r="B52" s="82" t="s">
        <v>244</v>
      </c>
      <c r="C52" s="82" t="s">
        <v>244</v>
      </c>
      <c r="F52" s="82" t="s">
        <v>245</v>
      </c>
    </row>
    <row r="53" spans="2:7">
      <c r="B53" s="82" t="s">
        <v>246</v>
      </c>
      <c r="C53" s="82" t="s">
        <v>246</v>
      </c>
      <c r="F53" s="82" t="s">
        <v>247</v>
      </c>
    </row>
    <row r="54" spans="2:7">
      <c r="B54" s="82" t="s">
        <v>248</v>
      </c>
      <c r="C54" s="82" t="s">
        <v>248</v>
      </c>
      <c r="F54" s="82" t="s">
        <v>249</v>
      </c>
    </row>
    <row r="55" spans="2:7">
      <c r="B55" s="82" t="s">
        <v>250</v>
      </c>
      <c r="C55" s="82" t="s">
        <v>250</v>
      </c>
      <c r="D55" s="82" t="s">
        <v>253</v>
      </c>
      <c r="E55" s="82" t="s">
        <v>253</v>
      </c>
      <c r="F55" s="82" t="s">
        <v>251</v>
      </c>
      <c r="G55" s="82" t="s">
        <v>252</v>
      </c>
    </row>
    <row r="56" spans="2:7">
      <c r="B56" s="82" t="s">
        <v>254</v>
      </c>
      <c r="C56" s="82" t="s">
        <v>254</v>
      </c>
      <c r="F56" s="82" t="s">
        <v>255</v>
      </c>
    </row>
    <row r="57" spans="2:7">
      <c r="B57" s="82" t="s">
        <v>256</v>
      </c>
      <c r="C57" s="82" t="s">
        <v>256</v>
      </c>
      <c r="F57" s="82" t="s">
        <v>257</v>
      </c>
    </row>
    <row r="58" spans="2:7">
      <c r="B58" s="82" t="s">
        <v>258</v>
      </c>
      <c r="C58" s="82" t="s">
        <v>258</v>
      </c>
      <c r="F58" s="82" t="s">
        <v>259</v>
      </c>
    </row>
    <row r="59" spans="2:7">
      <c r="B59" s="82" t="s">
        <v>260</v>
      </c>
      <c r="C59" s="82" t="s">
        <v>260</v>
      </c>
      <c r="F59" s="82" t="s">
        <v>261</v>
      </c>
    </row>
    <row r="60" spans="2:7">
      <c r="B60" s="82" t="s">
        <v>262</v>
      </c>
      <c r="C60" s="82" t="s">
        <v>262</v>
      </c>
      <c r="F60" s="82" t="s">
        <v>263</v>
      </c>
    </row>
    <row r="61" spans="2:7">
      <c r="B61" s="82" t="s">
        <v>264</v>
      </c>
      <c r="C61" s="82" t="s">
        <v>264</v>
      </c>
      <c r="F61" s="82" t="s">
        <v>265</v>
      </c>
    </row>
    <row r="62" spans="2:7">
      <c r="B62" s="82" t="s">
        <v>266</v>
      </c>
      <c r="C62" s="82" t="s">
        <v>266</v>
      </c>
      <c r="F62" s="82" t="s">
        <v>267</v>
      </c>
    </row>
    <row r="63" spans="2:7">
      <c r="B63" s="82" t="s">
        <v>268</v>
      </c>
      <c r="C63" s="82" t="s">
        <v>268</v>
      </c>
      <c r="F63" s="82" t="s">
        <v>269</v>
      </c>
    </row>
    <row r="64" spans="2:7">
      <c r="B64" s="82" t="s">
        <v>270</v>
      </c>
      <c r="C64" s="82" t="s">
        <v>270</v>
      </c>
      <c r="F64" s="82" t="s">
        <v>271</v>
      </c>
    </row>
    <row r="65" spans="2:7">
      <c r="B65" s="82" t="s">
        <v>272</v>
      </c>
      <c r="C65" s="82" t="s">
        <v>272</v>
      </c>
      <c r="F65" s="82" t="s">
        <v>273</v>
      </c>
    </row>
    <row r="66" spans="2:7">
      <c r="B66" s="82" t="s">
        <v>274</v>
      </c>
      <c r="C66" s="82" t="s">
        <v>274</v>
      </c>
      <c r="F66" s="82" t="s">
        <v>275</v>
      </c>
    </row>
    <row r="67" spans="2:7">
      <c r="B67" s="82" t="s">
        <v>276</v>
      </c>
      <c r="C67" s="82" t="s">
        <v>276</v>
      </c>
      <c r="F67" s="82" t="s">
        <v>277</v>
      </c>
    </row>
    <row r="68" spans="2:7">
      <c r="B68" s="82" t="s">
        <v>278</v>
      </c>
      <c r="C68" s="82" t="s">
        <v>278</v>
      </c>
      <c r="F68" s="82" t="s">
        <v>279</v>
      </c>
    </row>
    <row r="69" spans="2:7">
      <c r="B69" s="82" t="s">
        <v>280</v>
      </c>
      <c r="C69" s="82" t="s">
        <v>280</v>
      </c>
      <c r="F69" s="82" t="s">
        <v>281</v>
      </c>
    </row>
    <row r="70" spans="2:7">
      <c r="B70" s="82" t="s">
        <v>282</v>
      </c>
      <c r="C70" s="82" t="s">
        <v>282</v>
      </c>
      <c r="F70" s="82" t="s">
        <v>283</v>
      </c>
    </row>
    <row r="71" spans="2:7">
      <c r="B71" s="82" t="s">
        <v>284</v>
      </c>
      <c r="C71" s="82" t="s">
        <v>284</v>
      </c>
      <c r="F71" s="82" t="s">
        <v>285</v>
      </c>
    </row>
    <row r="72" spans="2:7">
      <c r="B72" s="82" t="s">
        <v>286</v>
      </c>
      <c r="C72" s="82" t="s">
        <v>286</v>
      </c>
      <c r="F72" s="82" t="s">
        <v>287</v>
      </c>
    </row>
    <row r="73" spans="2:7">
      <c r="B73" s="82" t="s">
        <v>288</v>
      </c>
      <c r="C73" s="82" t="s">
        <v>288</v>
      </c>
      <c r="F73" s="82" t="s">
        <v>289</v>
      </c>
    </row>
    <row r="74" spans="2:7">
      <c r="B74" s="82" t="s">
        <v>290</v>
      </c>
      <c r="C74" s="82" t="s">
        <v>290</v>
      </c>
      <c r="F74" s="82" t="s">
        <v>291</v>
      </c>
    </row>
    <row r="75" spans="2:7">
      <c r="B75" s="82" t="s">
        <v>292</v>
      </c>
      <c r="C75" s="82" t="s">
        <v>292</v>
      </c>
      <c r="F75" s="82" t="s">
        <v>293</v>
      </c>
    </row>
    <row r="76" spans="2:7">
      <c r="B76" s="82" t="s">
        <v>294</v>
      </c>
      <c r="C76" s="82" t="s">
        <v>294</v>
      </c>
      <c r="F76" s="82" t="s">
        <v>295</v>
      </c>
    </row>
    <row r="77" spans="2:7">
      <c r="B77" s="82" t="s">
        <v>296</v>
      </c>
      <c r="C77" s="82" t="s">
        <v>296</v>
      </c>
      <c r="D77" s="82" t="s">
        <v>299</v>
      </c>
      <c r="E77" s="82" t="s">
        <v>300</v>
      </c>
      <c r="F77" s="82" t="s">
        <v>297</v>
      </c>
      <c r="G77" s="82" t="s">
        <v>298</v>
      </c>
    </row>
    <row r="78" spans="2:7">
      <c r="B78" s="82" t="s">
        <v>301</v>
      </c>
      <c r="C78" s="82" t="s">
        <v>301</v>
      </c>
      <c r="F78" s="82" t="s">
        <v>302</v>
      </c>
    </row>
    <row r="79" spans="2:7">
      <c r="B79" s="82" t="s">
        <v>303</v>
      </c>
      <c r="C79" s="82" t="s">
        <v>303</v>
      </c>
      <c r="F79" s="82" t="s">
        <v>304</v>
      </c>
    </row>
    <row r="80" spans="2:7">
      <c r="B80" s="82" t="s">
        <v>305</v>
      </c>
      <c r="C80" s="82" t="s">
        <v>305</v>
      </c>
      <c r="F80" s="82" t="s">
        <v>306</v>
      </c>
    </row>
    <row r="81" spans="2:7">
      <c r="B81" s="82" t="s">
        <v>307</v>
      </c>
      <c r="C81" s="82" t="s">
        <v>307</v>
      </c>
      <c r="D81" s="82" t="s">
        <v>310</v>
      </c>
      <c r="E81" s="84" t="s">
        <v>311</v>
      </c>
      <c r="F81" s="82" t="s">
        <v>308</v>
      </c>
      <c r="G81" s="82" t="s">
        <v>309</v>
      </c>
    </row>
    <row r="82" spans="2:7">
      <c r="B82" s="82" t="s">
        <v>312</v>
      </c>
      <c r="C82" s="82" t="s">
        <v>312</v>
      </c>
      <c r="F82" s="82" t="s">
        <v>313</v>
      </c>
    </row>
    <row r="83" spans="2:7">
      <c r="B83" s="82" t="s">
        <v>314</v>
      </c>
      <c r="C83" s="82" t="s">
        <v>314</v>
      </c>
      <c r="F83" s="82" t="s">
        <v>315</v>
      </c>
    </row>
    <row r="84" spans="2:7">
      <c r="B84" s="82" t="s">
        <v>316</v>
      </c>
      <c r="C84" s="82" t="s">
        <v>316</v>
      </c>
      <c r="F84" s="82" t="s">
        <v>317</v>
      </c>
    </row>
    <row r="85" spans="2:7">
      <c r="B85" s="82" t="s">
        <v>318</v>
      </c>
      <c r="C85" s="82" t="s">
        <v>318</v>
      </c>
      <c r="F85" s="82" t="s">
        <v>319</v>
      </c>
    </row>
    <row r="86" spans="2:7">
      <c r="B86" s="82" t="s">
        <v>320</v>
      </c>
      <c r="C86" s="82" t="s">
        <v>320</v>
      </c>
      <c r="F86" s="82" t="s">
        <v>321</v>
      </c>
    </row>
    <row r="87" spans="2:7">
      <c r="B87" s="82" t="s">
        <v>322</v>
      </c>
      <c r="C87" s="82" t="s">
        <v>322</v>
      </c>
      <c r="F87" s="82" t="s">
        <v>323</v>
      </c>
    </row>
    <row r="88" spans="2:7">
      <c r="B88" s="82" t="s">
        <v>324</v>
      </c>
      <c r="C88" s="82" t="s">
        <v>324</v>
      </c>
      <c r="F88" s="82" t="s">
        <v>325</v>
      </c>
    </row>
    <row r="89" spans="2:7">
      <c r="B89" s="82" t="s">
        <v>326</v>
      </c>
      <c r="C89" s="82" t="s">
        <v>326</v>
      </c>
      <c r="F89" s="82" t="s">
        <v>327</v>
      </c>
    </row>
    <row r="90" spans="2:7">
      <c r="B90" s="82" t="s">
        <v>328</v>
      </c>
      <c r="C90" s="82" t="s">
        <v>328</v>
      </c>
      <c r="F90" s="82" t="s">
        <v>328</v>
      </c>
    </row>
    <row r="91" spans="2:7">
      <c r="B91" s="82" t="s">
        <v>329</v>
      </c>
      <c r="C91" s="82" t="s">
        <v>329</v>
      </c>
      <c r="F91" s="82" t="s">
        <v>330</v>
      </c>
    </row>
    <row r="92" spans="2:7">
      <c r="B92" s="82" t="s">
        <v>331</v>
      </c>
      <c r="C92" s="82" t="s">
        <v>331</v>
      </c>
      <c r="F92" s="82" t="s">
        <v>332</v>
      </c>
    </row>
    <row r="93" spans="2:7">
      <c r="B93" s="82" t="s">
        <v>333</v>
      </c>
      <c r="C93" s="82" t="s">
        <v>333</v>
      </c>
      <c r="F93" s="82" t="s">
        <v>334</v>
      </c>
    </row>
    <row r="94" spans="2:7">
      <c r="B94" s="82" t="s">
        <v>335</v>
      </c>
      <c r="C94" s="82" t="s">
        <v>335</v>
      </c>
      <c r="F94" s="82" t="s">
        <v>336</v>
      </c>
    </row>
    <row r="95" spans="2:7">
      <c r="B95" s="82" t="s">
        <v>337</v>
      </c>
      <c r="C95" s="82" t="s">
        <v>337</v>
      </c>
      <c r="F95" s="82" t="s">
        <v>338</v>
      </c>
    </row>
    <row r="96" spans="2:7">
      <c r="B96" s="82" t="s">
        <v>339</v>
      </c>
      <c r="C96" s="82" t="s">
        <v>339</v>
      </c>
      <c r="F96" s="82" t="s">
        <v>340</v>
      </c>
    </row>
    <row r="97" spans="2:6">
      <c r="B97" s="82" t="s">
        <v>341</v>
      </c>
      <c r="C97" s="82" t="s">
        <v>341</v>
      </c>
      <c r="F97" s="82" t="s">
        <v>342</v>
      </c>
    </row>
    <row r="98" spans="2:6">
      <c r="B98" s="82" t="s">
        <v>343</v>
      </c>
      <c r="C98" s="82" t="s">
        <v>343</v>
      </c>
      <c r="F98" s="82" t="s">
        <v>344</v>
      </c>
    </row>
    <row r="99" spans="2:6">
      <c r="B99" s="82" t="s">
        <v>345</v>
      </c>
      <c r="C99" s="82" t="s">
        <v>345</v>
      </c>
      <c r="F99" s="82" t="s">
        <v>346</v>
      </c>
    </row>
    <row r="100" spans="2:6">
      <c r="B100" s="82" t="s">
        <v>347</v>
      </c>
      <c r="C100" s="82" t="s">
        <v>347</v>
      </c>
      <c r="F100" s="82" t="s">
        <v>346</v>
      </c>
    </row>
    <row r="101" spans="2:6">
      <c r="B101" s="82" t="s">
        <v>348</v>
      </c>
      <c r="C101" s="82" t="s">
        <v>348</v>
      </c>
      <c r="F101" s="82" t="s">
        <v>349</v>
      </c>
    </row>
    <row r="102" spans="2:6">
      <c r="B102" s="82" t="s">
        <v>350</v>
      </c>
      <c r="C102" s="82" t="s">
        <v>350</v>
      </c>
      <c r="F102" s="82" t="s">
        <v>349</v>
      </c>
    </row>
    <row r="103" spans="2:6">
      <c r="B103" s="82" t="s">
        <v>351</v>
      </c>
      <c r="C103" s="82" t="s">
        <v>351</v>
      </c>
      <c r="F103" s="82" t="s">
        <v>352</v>
      </c>
    </row>
    <row r="104" spans="2:6">
      <c r="B104" s="82" t="s">
        <v>353</v>
      </c>
      <c r="C104" s="82" t="s">
        <v>353</v>
      </c>
      <c r="F104" s="82" t="s">
        <v>354</v>
      </c>
    </row>
    <row r="105" spans="2:6">
      <c r="B105" s="82" t="s">
        <v>355</v>
      </c>
      <c r="C105" s="82" t="s">
        <v>355</v>
      </c>
      <c r="F105" s="82" t="s">
        <v>356</v>
      </c>
    </row>
    <row r="106" spans="2:6">
      <c r="B106" s="82" t="s">
        <v>357</v>
      </c>
      <c r="C106" s="82" t="s">
        <v>357</v>
      </c>
      <c r="F106" s="82" t="s">
        <v>358</v>
      </c>
    </row>
    <row r="107" spans="2:6">
      <c r="B107" s="82" t="s">
        <v>359</v>
      </c>
      <c r="C107" s="82" t="s">
        <v>359</v>
      </c>
      <c r="F107" s="82" t="s">
        <v>360</v>
      </c>
    </row>
    <row r="108" spans="2:6">
      <c r="B108" s="82" t="s">
        <v>361</v>
      </c>
      <c r="C108" s="82" t="s">
        <v>361</v>
      </c>
      <c r="F108" s="82" t="s">
        <v>362</v>
      </c>
    </row>
    <row r="109" spans="2:6">
      <c r="B109" s="82" t="s">
        <v>363</v>
      </c>
      <c r="C109" s="82" t="s">
        <v>363</v>
      </c>
      <c r="F109" s="82" t="s">
        <v>364</v>
      </c>
    </row>
    <row r="110" spans="2:6">
      <c r="B110" s="82" t="s">
        <v>365</v>
      </c>
      <c r="C110" s="82" t="s">
        <v>365</v>
      </c>
      <c r="F110" s="82" t="s">
        <v>366</v>
      </c>
    </row>
    <row r="111" spans="2:6">
      <c r="B111" s="82" t="s">
        <v>367</v>
      </c>
      <c r="C111" s="82" t="s">
        <v>367</v>
      </c>
      <c r="F111" s="82" t="s">
        <v>368</v>
      </c>
    </row>
    <row r="112" spans="2:6">
      <c r="B112" s="82" t="s">
        <v>369</v>
      </c>
      <c r="C112" s="82" t="s">
        <v>369</v>
      </c>
      <c r="F112" s="82" t="s">
        <v>370</v>
      </c>
    </row>
    <row r="113" spans="2:6">
      <c r="B113" s="82" t="s">
        <v>371</v>
      </c>
      <c r="C113" s="82" t="s">
        <v>371</v>
      </c>
      <c r="F113" s="82" t="s">
        <v>372</v>
      </c>
    </row>
    <row r="114" spans="2:6">
      <c r="B114" s="82" t="s">
        <v>373</v>
      </c>
      <c r="C114" s="82" t="s">
        <v>373</v>
      </c>
      <c r="F114" s="82" t="s">
        <v>374</v>
      </c>
    </row>
    <row r="115" spans="2:6">
      <c r="B115" s="82" t="s">
        <v>375</v>
      </c>
      <c r="C115" s="82" t="s">
        <v>375</v>
      </c>
      <c r="F115" s="82" t="s">
        <v>376</v>
      </c>
    </row>
    <row r="116" spans="2:6">
      <c r="B116" s="82" t="s">
        <v>377</v>
      </c>
      <c r="C116" s="82" t="s">
        <v>377</v>
      </c>
      <c r="F116" s="82" t="s">
        <v>378</v>
      </c>
    </row>
    <row r="117" spans="2:6">
      <c r="B117" s="82" t="s">
        <v>379</v>
      </c>
      <c r="C117" s="82" t="s">
        <v>379</v>
      </c>
      <c r="F117" s="82" t="s">
        <v>380</v>
      </c>
    </row>
    <row r="118" spans="2:6">
      <c r="B118" s="82" t="s">
        <v>381</v>
      </c>
      <c r="C118" s="82" t="s">
        <v>381</v>
      </c>
      <c r="F118" s="82" t="s">
        <v>382</v>
      </c>
    </row>
    <row r="119" spans="2:6">
      <c r="B119" s="82" t="s">
        <v>383</v>
      </c>
      <c r="C119" s="82" t="s">
        <v>383</v>
      </c>
      <c r="F119" s="82" t="s">
        <v>384</v>
      </c>
    </row>
    <row r="120" spans="2:6">
      <c r="B120" s="82" t="s">
        <v>385</v>
      </c>
      <c r="C120" s="82" t="s">
        <v>385</v>
      </c>
      <c r="F120" s="82" t="s">
        <v>386</v>
      </c>
    </row>
    <row r="121" spans="2:6">
      <c r="B121" s="82" t="s">
        <v>387</v>
      </c>
      <c r="C121" s="82" t="s">
        <v>387</v>
      </c>
      <c r="F121" s="82" t="s">
        <v>388</v>
      </c>
    </row>
    <row r="122" spans="2:6">
      <c r="B122" s="82" t="s">
        <v>389</v>
      </c>
      <c r="C122" s="82" t="s">
        <v>389</v>
      </c>
      <c r="F122" s="82" t="s">
        <v>390</v>
      </c>
    </row>
    <row r="123" spans="2:6">
      <c r="B123" s="82" t="s">
        <v>391</v>
      </c>
      <c r="C123" s="82" t="s">
        <v>391</v>
      </c>
      <c r="F123" s="82" t="s">
        <v>392</v>
      </c>
    </row>
    <row r="124" spans="2:6">
      <c r="B124" s="82" t="s">
        <v>393</v>
      </c>
      <c r="C124" s="82" t="s">
        <v>393</v>
      </c>
      <c r="F124" s="82" t="s">
        <v>394</v>
      </c>
    </row>
    <row r="125" spans="2:6">
      <c r="B125" s="82" t="s">
        <v>395</v>
      </c>
      <c r="C125" s="82" t="s">
        <v>395</v>
      </c>
      <c r="F125" s="82" t="s">
        <v>396</v>
      </c>
    </row>
    <row r="126" spans="2:6">
      <c r="B126" s="82" t="s">
        <v>397</v>
      </c>
      <c r="C126" s="82" t="s">
        <v>397</v>
      </c>
      <c r="F126" s="82" t="s">
        <v>398</v>
      </c>
    </row>
    <row r="127" spans="2:6">
      <c r="B127" s="82" t="s">
        <v>399</v>
      </c>
      <c r="C127" s="82" t="s">
        <v>399</v>
      </c>
      <c r="F127" s="82" t="s">
        <v>400</v>
      </c>
    </row>
    <row r="128" spans="2:6">
      <c r="B128" s="82" t="s">
        <v>401</v>
      </c>
      <c r="C128" s="82" t="s">
        <v>401</v>
      </c>
      <c r="F128" s="82" t="s">
        <v>402</v>
      </c>
    </row>
    <row r="129" spans="2:7">
      <c r="B129" s="82" t="s">
        <v>403</v>
      </c>
      <c r="C129" s="82" t="s">
        <v>403</v>
      </c>
      <c r="F129" s="82" t="s">
        <v>404</v>
      </c>
    </row>
    <row r="130" spans="2:7">
      <c r="B130" s="82" t="s">
        <v>405</v>
      </c>
      <c r="C130" s="82" t="s">
        <v>405</v>
      </c>
      <c r="F130" s="82" t="s">
        <v>406</v>
      </c>
    </row>
    <row r="131" spans="2:7">
      <c r="B131" s="82" t="s">
        <v>407</v>
      </c>
      <c r="C131" s="82" t="s">
        <v>407</v>
      </c>
      <c r="F131" s="82" t="s">
        <v>408</v>
      </c>
    </row>
    <row r="132" spans="2:7">
      <c r="B132" s="82" t="s">
        <v>75</v>
      </c>
      <c r="C132" s="82" t="s">
        <v>75</v>
      </c>
      <c r="D132" s="83" t="s">
        <v>411</v>
      </c>
      <c r="E132" s="83" t="s">
        <v>411</v>
      </c>
      <c r="F132" s="82" t="s">
        <v>409</v>
      </c>
      <c r="G132" s="82" t="s">
        <v>410</v>
      </c>
    </row>
    <row r="133" spans="2:7">
      <c r="B133" s="82" t="s">
        <v>412</v>
      </c>
      <c r="C133" s="82" t="s">
        <v>412</v>
      </c>
      <c r="F133" s="82" t="s">
        <v>413</v>
      </c>
    </row>
    <row r="134" spans="2:7">
      <c r="B134" s="82" t="s">
        <v>414</v>
      </c>
      <c r="C134" s="82" t="s">
        <v>414</v>
      </c>
      <c r="F134" s="82" t="s">
        <v>415</v>
      </c>
    </row>
    <row r="135" spans="2:7">
      <c r="B135" s="82" t="s">
        <v>416</v>
      </c>
      <c r="C135" s="82" t="s">
        <v>416</v>
      </c>
      <c r="F135" s="82" t="s">
        <v>415</v>
      </c>
    </row>
    <row r="136" spans="2:7">
      <c r="B136" s="82" t="s">
        <v>417</v>
      </c>
      <c r="C136" s="82" t="s">
        <v>417</v>
      </c>
      <c r="F136" s="82" t="s">
        <v>418</v>
      </c>
    </row>
    <row r="137" spans="2:7">
      <c r="B137" s="82" t="s">
        <v>419</v>
      </c>
      <c r="C137" s="82" t="s">
        <v>419</v>
      </c>
      <c r="F137" s="82" t="s">
        <v>418</v>
      </c>
    </row>
    <row r="138" spans="2:7">
      <c r="B138" s="82" t="s">
        <v>420</v>
      </c>
      <c r="C138" s="82" t="s">
        <v>420</v>
      </c>
      <c r="F138" s="82" t="s">
        <v>421</v>
      </c>
    </row>
    <row r="139" spans="2:7">
      <c r="B139" s="82" t="s">
        <v>422</v>
      </c>
      <c r="C139" s="82" t="s">
        <v>422</v>
      </c>
      <c r="F139" s="82" t="s">
        <v>421</v>
      </c>
    </row>
    <row r="140" spans="2:7">
      <c r="B140" s="82" t="s">
        <v>423</v>
      </c>
      <c r="C140" s="82" t="s">
        <v>423</v>
      </c>
      <c r="F140" s="82" t="s">
        <v>424</v>
      </c>
    </row>
    <row r="141" spans="2:7">
      <c r="B141" s="82" t="s">
        <v>425</v>
      </c>
      <c r="C141" s="82" t="s">
        <v>425</v>
      </c>
      <c r="F141" s="82" t="s">
        <v>424</v>
      </c>
    </row>
    <row r="142" spans="2:7">
      <c r="B142" s="82" t="s">
        <v>426</v>
      </c>
      <c r="C142" s="82" t="s">
        <v>426</v>
      </c>
      <c r="F142" s="82" t="s">
        <v>427</v>
      </c>
    </row>
    <row r="143" spans="2:7">
      <c r="B143" s="82" t="s">
        <v>428</v>
      </c>
      <c r="C143" s="82" t="s">
        <v>428</v>
      </c>
      <c r="F143" s="82" t="s">
        <v>429</v>
      </c>
    </row>
    <row r="144" spans="2:7">
      <c r="B144" s="82" t="s">
        <v>430</v>
      </c>
      <c r="C144" s="82" t="s">
        <v>430</v>
      </c>
      <c r="F144" s="82" t="s">
        <v>431</v>
      </c>
    </row>
    <row r="145" spans="2:6">
      <c r="B145" s="82" t="s">
        <v>432</v>
      </c>
      <c r="C145" s="82" t="s">
        <v>432</v>
      </c>
      <c r="F145" s="82" t="s">
        <v>433</v>
      </c>
    </row>
    <row r="146" spans="2:6">
      <c r="B146" s="82" t="s">
        <v>434</v>
      </c>
      <c r="C146" s="82" t="s">
        <v>434</v>
      </c>
      <c r="F146" s="82" t="s">
        <v>435</v>
      </c>
    </row>
    <row r="147" spans="2:6">
      <c r="B147" s="82" t="s">
        <v>436</v>
      </c>
      <c r="C147" s="82" t="s">
        <v>436</v>
      </c>
      <c r="F147" s="82" t="s">
        <v>437</v>
      </c>
    </row>
    <row r="148" spans="2:6">
      <c r="B148" s="82" t="s">
        <v>438</v>
      </c>
      <c r="C148" s="82" t="s">
        <v>438</v>
      </c>
      <c r="F148" s="82" t="s">
        <v>439</v>
      </c>
    </row>
    <row r="149" spans="2:6">
      <c r="B149" s="82" t="s">
        <v>440</v>
      </c>
      <c r="C149" s="82" t="s">
        <v>440</v>
      </c>
      <c r="F149" s="82" t="s">
        <v>441</v>
      </c>
    </row>
    <row r="150" spans="2:6">
      <c r="B150" s="82" t="s">
        <v>442</v>
      </c>
      <c r="C150" s="82" t="s">
        <v>442</v>
      </c>
      <c r="F150" s="82" t="s">
        <v>443</v>
      </c>
    </row>
    <row r="151" spans="2:6">
      <c r="B151" s="82" t="s">
        <v>444</v>
      </c>
      <c r="C151" s="82" t="s">
        <v>444</v>
      </c>
      <c r="F151" s="82" t="s">
        <v>445</v>
      </c>
    </row>
    <row r="152" spans="2:6">
      <c r="B152" s="82" t="s">
        <v>446</v>
      </c>
      <c r="C152" s="82" t="s">
        <v>446</v>
      </c>
      <c r="F152" s="82" t="s">
        <v>447</v>
      </c>
    </row>
    <row r="153" spans="2:6">
      <c r="B153" s="82" t="s">
        <v>448</v>
      </c>
      <c r="C153" s="82" t="s">
        <v>448</v>
      </c>
      <c r="F153" s="82" t="s">
        <v>449</v>
      </c>
    </row>
    <row r="154" spans="2:6">
      <c r="B154" s="82" t="s">
        <v>450</v>
      </c>
      <c r="C154" s="82" t="s">
        <v>450</v>
      </c>
      <c r="F154" s="82" t="s">
        <v>451</v>
      </c>
    </row>
    <row r="155" spans="2:6">
      <c r="B155" s="82" t="s">
        <v>452</v>
      </c>
      <c r="C155" s="82" t="s">
        <v>452</v>
      </c>
      <c r="F155" s="82" t="s">
        <v>453</v>
      </c>
    </row>
    <row r="156" spans="2:6">
      <c r="B156" s="82" t="s">
        <v>454</v>
      </c>
      <c r="C156" s="82" t="s">
        <v>454</v>
      </c>
      <c r="F156" s="82" t="s">
        <v>455</v>
      </c>
    </row>
    <row r="157" spans="2:6">
      <c r="B157" s="82" t="s">
        <v>456</v>
      </c>
      <c r="C157" s="82" t="s">
        <v>456</v>
      </c>
      <c r="F157" s="82" t="s">
        <v>457</v>
      </c>
    </row>
    <row r="158" spans="2:6">
      <c r="B158" s="82" t="s">
        <v>458</v>
      </c>
      <c r="C158" s="82" t="s">
        <v>458</v>
      </c>
      <c r="F158" s="82" t="s">
        <v>459</v>
      </c>
    </row>
    <row r="159" spans="2:6">
      <c r="B159" s="82" t="s">
        <v>460</v>
      </c>
      <c r="C159" s="82" t="s">
        <v>460</v>
      </c>
      <c r="F159" s="82" t="s">
        <v>461</v>
      </c>
    </row>
    <row r="160" spans="2:6">
      <c r="B160" s="82" t="s">
        <v>462</v>
      </c>
      <c r="C160" s="82" t="s">
        <v>462</v>
      </c>
      <c r="F160" s="82" t="s">
        <v>463</v>
      </c>
    </row>
    <row r="161" spans="2:6">
      <c r="B161" s="82" t="s">
        <v>464</v>
      </c>
      <c r="C161" s="82" t="s">
        <v>464</v>
      </c>
      <c r="F161" s="82" t="s">
        <v>465</v>
      </c>
    </row>
    <row r="162" spans="2:6">
      <c r="B162" s="82" t="s">
        <v>466</v>
      </c>
      <c r="C162" s="82" t="s">
        <v>466</v>
      </c>
      <c r="F162" s="82" t="s">
        <v>467</v>
      </c>
    </row>
    <row r="163" spans="2:6">
      <c r="B163" s="82" t="s">
        <v>468</v>
      </c>
      <c r="C163" s="82" t="s">
        <v>468</v>
      </c>
      <c r="F163" s="82" t="s">
        <v>469</v>
      </c>
    </row>
    <row r="164" spans="2:6">
      <c r="B164" s="82" t="s">
        <v>470</v>
      </c>
      <c r="C164" s="82" t="s">
        <v>470</v>
      </c>
      <c r="F164" s="82" t="s">
        <v>471</v>
      </c>
    </row>
    <row r="165" spans="2:6">
      <c r="B165" s="82" t="s">
        <v>472</v>
      </c>
      <c r="C165" s="82" t="s">
        <v>472</v>
      </c>
      <c r="F165" s="82" t="s">
        <v>473</v>
      </c>
    </row>
    <row r="166" spans="2:6">
      <c r="B166" s="82" t="s">
        <v>474</v>
      </c>
      <c r="C166" s="82" t="s">
        <v>474</v>
      </c>
      <c r="F166" s="82" t="s">
        <v>475</v>
      </c>
    </row>
    <row r="167" spans="2:6">
      <c r="B167" s="82" t="s">
        <v>476</v>
      </c>
      <c r="C167" s="82" t="s">
        <v>476</v>
      </c>
      <c r="F167" s="82" t="s">
        <v>477</v>
      </c>
    </row>
    <row r="168" spans="2:6">
      <c r="B168" s="82" t="s">
        <v>478</v>
      </c>
      <c r="C168" s="82" t="s">
        <v>478</v>
      </c>
      <c r="F168" s="82" t="s">
        <v>479</v>
      </c>
    </row>
    <row r="169" spans="2:6">
      <c r="B169" s="82" t="s">
        <v>480</v>
      </c>
      <c r="C169" s="82" t="s">
        <v>480</v>
      </c>
      <c r="F169" s="82" t="s">
        <v>481</v>
      </c>
    </row>
    <row r="170" spans="2:6">
      <c r="B170" s="82" t="s">
        <v>482</v>
      </c>
      <c r="C170" s="82" t="s">
        <v>482</v>
      </c>
      <c r="F170" s="82" t="s">
        <v>483</v>
      </c>
    </row>
    <row r="171" spans="2:6">
      <c r="B171" s="82" t="s">
        <v>484</v>
      </c>
      <c r="C171" s="82" t="s">
        <v>484</v>
      </c>
      <c r="F171" s="82" t="s">
        <v>485</v>
      </c>
    </row>
    <row r="172" spans="2:6">
      <c r="B172" s="82" t="s">
        <v>486</v>
      </c>
      <c r="C172" s="82" t="s">
        <v>486</v>
      </c>
      <c r="F172" s="82" t="s">
        <v>487</v>
      </c>
    </row>
    <row r="173" spans="2:6">
      <c r="B173" s="82" t="s">
        <v>488</v>
      </c>
      <c r="C173" s="82" t="s">
        <v>488</v>
      </c>
      <c r="F173" s="82" t="s">
        <v>489</v>
      </c>
    </row>
    <row r="174" spans="2:6">
      <c r="B174" s="82" t="s">
        <v>490</v>
      </c>
      <c r="C174" s="82" t="s">
        <v>490</v>
      </c>
      <c r="F174" s="82" t="s">
        <v>491</v>
      </c>
    </row>
    <row r="175" spans="2:6">
      <c r="B175" s="82" t="s">
        <v>492</v>
      </c>
      <c r="C175" s="82" t="s">
        <v>492</v>
      </c>
      <c r="F175" s="82" t="s">
        <v>493</v>
      </c>
    </row>
    <row r="176" spans="2:6">
      <c r="B176" s="82" t="s">
        <v>494</v>
      </c>
      <c r="C176" s="82" t="s">
        <v>494</v>
      </c>
      <c r="F176" s="82" t="s">
        <v>495</v>
      </c>
    </row>
    <row r="177" spans="2:6">
      <c r="B177" s="82" t="s">
        <v>496</v>
      </c>
      <c r="C177" s="82" t="s">
        <v>496</v>
      </c>
      <c r="F177" s="82" t="s">
        <v>497</v>
      </c>
    </row>
    <row r="178" spans="2:6">
      <c r="B178" s="82" t="s">
        <v>498</v>
      </c>
      <c r="C178" s="82" t="s">
        <v>498</v>
      </c>
      <c r="F178" s="82" t="s">
        <v>499</v>
      </c>
    </row>
    <row r="179" spans="2:6">
      <c r="B179" s="82" t="s">
        <v>500</v>
      </c>
      <c r="C179" s="82" t="s">
        <v>500</v>
      </c>
      <c r="F179" s="82" t="s">
        <v>501</v>
      </c>
    </row>
    <row r="180" spans="2:6">
      <c r="B180" s="82" t="s">
        <v>502</v>
      </c>
      <c r="C180" s="82" t="s">
        <v>502</v>
      </c>
      <c r="F180" s="82" t="s">
        <v>503</v>
      </c>
    </row>
    <row r="181" spans="2:6">
      <c r="B181" s="82" t="s">
        <v>504</v>
      </c>
      <c r="C181" s="82" t="s">
        <v>504</v>
      </c>
      <c r="F181" s="82" t="s">
        <v>505</v>
      </c>
    </row>
    <row r="182" spans="2:6">
      <c r="B182" s="82" t="s">
        <v>506</v>
      </c>
      <c r="C182" s="82" t="s">
        <v>506</v>
      </c>
      <c r="F182" s="82" t="s">
        <v>507</v>
      </c>
    </row>
    <row r="183" spans="2:6">
      <c r="B183" s="82" t="s">
        <v>508</v>
      </c>
      <c r="C183" s="82" t="s">
        <v>508</v>
      </c>
      <c r="F183" s="82" t="s">
        <v>509</v>
      </c>
    </row>
    <row r="184" spans="2:6">
      <c r="B184" s="82" t="s">
        <v>510</v>
      </c>
      <c r="C184" s="82" t="s">
        <v>510</v>
      </c>
      <c r="F184" s="82" t="s">
        <v>511</v>
      </c>
    </row>
    <row r="185" spans="2:6">
      <c r="B185" s="82" t="s">
        <v>512</v>
      </c>
      <c r="C185" s="82" t="s">
        <v>512</v>
      </c>
      <c r="F185" s="82" t="s">
        <v>513</v>
      </c>
    </row>
    <row r="186" spans="2:6">
      <c r="B186" s="82" t="s">
        <v>514</v>
      </c>
      <c r="C186" s="82" t="s">
        <v>514</v>
      </c>
      <c r="F186" s="82" t="s">
        <v>515</v>
      </c>
    </row>
    <row r="187" spans="2:6">
      <c r="B187" s="82" t="s">
        <v>516</v>
      </c>
      <c r="C187" s="82" t="s">
        <v>516</v>
      </c>
      <c r="F187" s="82" t="s">
        <v>517</v>
      </c>
    </row>
    <row r="188" spans="2:6">
      <c r="B188" s="82" t="s">
        <v>518</v>
      </c>
      <c r="C188" s="82" t="s">
        <v>518</v>
      </c>
      <c r="F188" s="82" t="s">
        <v>519</v>
      </c>
    </row>
    <row r="189" spans="2:6">
      <c r="B189" s="82" t="s">
        <v>520</v>
      </c>
      <c r="C189" s="82" t="s">
        <v>520</v>
      </c>
      <c r="F189" s="82" t="s">
        <v>521</v>
      </c>
    </row>
    <row r="190" spans="2:6">
      <c r="B190" s="82" t="s">
        <v>522</v>
      </c>
      <c r="C190" s="82" t="s">
        <v>522</v>
      </c>
      <c r="F190" s="82" t="s">
        <v>523</v>
      </c>
    </row>
    <row r="191" spans="2:6">
      <c r="B191" s="82" t="s">
        <v>524</v>
      </c>
      <c r="C191" s="82" t="s">
        <v>524</v>
      </c>
      <c r="F191" s="82" t="s">
        <v>525</v>
      </c>
    </row>
    <row r="192" spans="2:6">
      <c r="B192" s="82" t="s">
        <v>526</v>
      </c>
      <c r="C192" s="82" t="s">
        <v>526</v>
      </c>
      <c r="F192" s="82" t="s">
        <v>527</v>
      </c>
    </row>
    <row r="193" spans="2:6">
      <c r="B193" s="82" t="s">
        <v>528</v>
      </c>
      <c r="C193" s="82" t="s">
        <v>528</v>
      </c>
      <c r="F193" s="82" t="s">
        <v>529</v>
      </c>
    </row>
    <row r="194" spans="2:6">
      <c r="B194" s="82" t="s">
        <v>530</v>
      </c>
      <c r="C194" s="82" t="s">
        <v>530</v>
      </c>
      <c r="F194" s="82" t="s">
        <v>531</v>
      </c>
    </row>
    <row r="195" spans="2:6">
      <c r="B195" s="82" t="s">
        <v>532</v>
      </c>
      <c r="C195" s="82" t="s">
        <v>532</v>
      </c>
      <c r="F195" s="82" t="s">
        <v>533</v>
      </c>
    </row>
    <row r="196" spans="2:6">
      <c r="B196" s="82" t="s">
        <v>534</v>
      </c>
      <c r="C196" s="82" t="s">
        <v>534</v>
      </c>
      <c r="F196" s="82" t="s">
        <v>535</v>
      </c>
    </row>
    <row r="197" spans="2:6">
      <c r="B197" s="82" t="s">
        <v>536</v>
      </c>
      <c r="C197" s="82" t="s">
        <v>536</v>
      </c>
      <c r="F197" s="82" t="s">
        <v>537</v>
      </c>
    </row>
    <row r="198" spans="2:6">
      <c r="B198" s="82" t="s">
        <v>538</v>
      </c>
      <c r="C198" s="82" t="s">
        <v>538</v>
      </c>
      <c r="F198" s="82" t="s">
        <v>539</v>
      </c>
    </row>
    <row r="199" spans="2:6">
      <c r="B199" s="82" t="s">
        <v>540</v>
      </c>
      <c r="C199" s="82" t="s">
        <v>540</v>
      </c>
      <c r="F199" s="82" t="s">
        <v>541</v>
      </c>
    </row>
    <row r="200" spans="2:6">
      <c r="B200" s="82" t="s">
        <v>542</v>
      </c>
      <c r="C200" s="82" t="s">
        <v>542</v>
      </c>
      <c r="F200" s="82" t="s">
        <v>543</v>
      </c>
    </row>
    <row r="201" spans="2:6">
      <c r="B201" s="82" t="s">
        <v>544</v>
      </c>
      <c r="C201" s="82" t="s">
        <v>544</v>
      </c>
      <c r="F201" s="82" t="s">
        <v>545</v>
      </c>
    </row>
    <row r="202" spans="2:6">
      <c r="B202" s="82" t="s">
        <v>546</v>
      </c>
      <c r="C202" s="82" t="s">
        <v>546</v>
      </c>
      <c r="F202" s="82" t="s">
        <v>547</v>
      </c>
    </row>
    <row r="203" spans="2:6">
      <c r="B203" s="82" t="s">
        <v>548</v>
      </c>
      <c r="C203" s="82" t="s">
        <v>548</v>
      </c>
      <c r="F203" s="82" t="s">
        <v>243</v>
      </c>
    </row>
    <row r="204" spans="2:6">
      <c r="B204" s="82" t="s">
        <v>549</v>
      </c>
      <c r="C204" s="82" t="s">
        <v>549</v>
      </c>
      <c r="F204" s="82">
        <v>10</v>
      </c>
    </row>
    <row r="205" spans="2:6">
      <c r="B205" s="82" t="s">
        <v>550</v>
      </c>
      <c r="C205" s="82" t="s">
        <v>550</v>
      </c>
      <c r="F205" s="82" t="s">
        <v>551</v>
      </c>
    </row>
    <row r="206" spans="2:6">
      <c r="B206" s="82" t="s">
        <v>552</v>
      </c>
      <c r="C206" s="82" t="s">
        <v>412</v>
      </c>
      <c r="F206" s="82" t="s">
        <v>553</v>
      </c>
    </row>
    <row r="207" spans="2:6">
      <c r="B207" s="82" t="s">
        <v>554</v>
      </c>
      <c r="C207" s="82" t="s">
        <v>414</v>
      </c>
      <c r="F207" s="82" t="s">
        <v>555</v>
      </c>
    </row>
    <row r="208" spans="2:6">
      <c r="B208" s="82" t="s">
        <v>556</v>
      </c>
      <c r="C208" s="82" t="s">
        <v>417</v>
      </c>
      <c r="F208" s="82" t="s">
        <v>557</v>
      </c>
    </row>
    <row r="209" spans="2:6">
      <c r="B209" s="82" t="s">
        <v>558</v>
      </c>
      <c r="C209" s="82" t="s">
        <v>420</v>
      </c>
      <c r="F209" s="82" t="s">
        <v>559</v>
      </c>
    </row>
    <row r="210" spans="2:6">
      <c r="B210" s="82" t="s">
        <v>560</v>
      </c>
      <c r="C210" s="82" t="s">
        <v>423</v>
      </c>
      <c r="F210" s="82" t="s">
        <v>561</v>
      </c>
    </row>
    <row r="211" spans="2:6">
      <c r="B211" s="82" t="s">
        <v>562</v>
      </c>
      <c r="C211" s="82" t="s">
        <v>426</v>
      </c>
      <c r="F211" s="82" t="s">
        <v>563</v>
      </c>
    </row>
    <row r="212" spans="2:6">
      <c r="B212" s="82" t="s">
        <v>564</v>
      </c>
      <c r="C212" s="82" t="s">
        <v>428</v>
      </c>
      <c r="F212" s="82" t="s">
        <v>429</v>
      </c>
    </row>
    <row r="213" spans="2:6">
      <c r="B213" s="82" t="s">
        <v>565</v>
      </c>
      <c r="C213" s="82" t="s">
        <v>430</v>
      </c>
      <c r="F213" s="82" t="s">
        <v>566</v>
      </c>
    </row>
    <row r="214" spans="2:6">
      <c r="B214" s="82" t="s">
        <v>567</v>
      </c>
      <c r="C214" s="82" t="s">
        <v>432</v>
      </c>
      <c r="F214" s="82" t="s">
        <v>568</v>
      </c>
    </row>
    <row r="215" spans="2:6">
      <c r="B215" s="82" t="s">
        <v>569</v>
      </c>
      <c r="C215" s="82" t="s">
        <v>434</v>
      </c>
      <c r="F215" s="82" t="s">
        <v>570</v>
      </c>
    </row>
    <row r="216" spans="2:6">
      <c r="B216" s="82" t="s">
        <v>571</v>
      </c>
      <c r="C216" s="82" t="s">
        <v>436</v>
      </c>
      <c r="F216" s="82" t="s">
        <v>572</v>
      </c>
    </row>
    <row r="217" spans="2:6">
      <c r="B217" s="82" t="s">
        <v>573</v>
      </c>
      <c r="C217" s="82" t="s">
        <v>438</v>
      </c>
      <c r="F217" s="82" t="s">
        <v>574</v>
      </c>
    </row>
    <row r="218" spans="2:6">
      <c r="B218" s="82" t="s">
        <v>575</v>
      </c>
      <c r="C218" s="82" t="s">
        <v>440</v>
      </c>
      <c r="F218" s="82" t="s">
        <v>576</v>
      </c>
    </row>
    <row r="219" spans="2:6">
      <c r="B219" s="82" t="s">
        <v>577</v>
      </c>
      <c r="C219" s="82" t="s">
        <v>442</v>
      </c>
      <c r="F219" s="82" t="s">
        <v>578</v>
      </c>
    </row>
    <row r="220" spans="2:6">
      <c r="B220" s="82" t="s">
        <v>579</v>
      </c>
      <c r="C220" s="82" t="s">
        <v>444</v>
      </c>
      <c r="F220" s="82" t="s">
        <v>580</v>
      </c>
    </row>
    <row r="221" spans="2:6">
      <c r="B221" s="82" t="s">
        <v>581</v>
      </c>
      <c r="C221" s="82" t="s">
        <v>446</v>
      </c>
      <c r="F221" s="82" t="s">
        <v>582</v>
      </c>
    </row>
    <row r="222" spans="2:6">
      <c r="B222" s="82" t="s">
        <v>583</v>
      </c>
      <c r="C222" s="82" t="s">
        <v>448</v>
      </c>
      <c r="F222" s="82" t="s">
        <v>584</v>
      </c>
    </row>
    <row r="223" spans="2:6">
      <c r="B223" s="82" t="s">
        <v>585</v>
      </c>
      <c r="C223" s="82" t="s">
        <v>450</v>
      </c>
      <c r="F223" s="82" t="s">
        <v>451</v>
      </c>
    </row>
    <row r="224" spans="2:6">
      <c r="B224" s="82" t="s">
        <v>586</v>
      </c>
      <c r="C224" s="82" t="s">
        <v>452</v>
      </c>
      <c r="F224" s="82" t="s">
        <v>587</v>
      </c>
    </row>
    <row r="225" spans="2:6">
      <c r="B225" s="82" t="s">
        <v>588</v>
      </c>
      <c r="C225" s="82" t="s">
        <v>454</v>
      </c>
      <c r="F225" s="82" t="s">
        <v>589</v>
      </c>
    </row>
    <row r="226" spans="2:6">
      <c r="B226" s="82" t="s">
        <v>590</v>
      </c>
      <c r="C226" s="82" t="s">
        <v>456</v>
      </c>
      <c r="F226" s="82" t="s">
        <v>591</v>
      </c>
    </row>
    <row r="227" spans="2:6">
      <c r="B227" s="82" t="s">
        <v>592</v>
      </c>
      <c r="C227" s="82" t="s">
        <v>593</v>
      </c>
      <c r="F227" s="82" t="s">
        <v>594</v>
      </c>
    </row>
    <row r="228" spans="2:6">
      <c r="B228" s="82" t="s">
        <v>595</v>
      </c>
      <c r="C228" s="82" t="s">
        <v>596</v>
      </c>
      <c r="F228" s="82" t="s">
        <v>597</v>
      </c>
    </row>
    <row r="229" spans="2:6">
      <c r="B229" s="82" t="s">
        <v>598</v>
      </c>
      <c r="C229" s="82" t="s">
        <v>599</v>
      </c>
      <c r="F229" s="82" t="s">
        <v>600</v>
      </c>
    </row>
    <row r="230" spans="2:6">
      <c r="B230" s="82" t="s">
        <v>601</v>
      </c>
      <c r="C230" s="82" t="s">
        <v>602</v>
      </c>
      <c r="F230" s="82" t="s">
        <v>603</v>
      </c>
    </row>
    <row r="231" spans="2:6">
      <c r="B231" s="82" t="s">
        <v>604</v>
      </c>
      <c r="C231" s="82" t="s">
        <v>605</v>
      </c>
      <c r="F231" s="82" t="s">
        <v>606</v>
      </c>
    </row>
    <row r="232" spans="2:6">
      <c r="B232" s="82" t="s">
        <v>607</v>
      </c>
      <c r="C232" s="82" t="s">
        <v>608</v>
      </c>
      <c r="F232" s="82" t="s">
        <v>609</v>
      </c>
    </row>
    <row r="233" spans="2:6">
      <c r="B233" s="82" t="s">
        <v>610</v>
      </c>
      <c r="C233" s="82" t="s">
        <v>611</v>
      </c>
      <c r="F233" s="82" t="s">
        <v>612</v>
      </c>
    </row>
    <row r="234" spans="2:6">
      <c r="B234" s="82" t="s">
        <v>613</v>
      </c>
      <c r="C234" s="82" t="s">
        <v>614</v>
      </c>
      <c r="F234" s="82" t="s">
        <v>615</v>
      </c>
    </row>
    <row r="235" spans="2:6">
      <c r="B235" s="82" t="s">
        <v>616</v>
      </c>
      <c r="C235" s="82" t="s">
        <v>617</v>
      </c>
      <c r="F235" s="82" t="s">
        <v>618</v>
      </c>
    </row>
    <row r="236" spans="2:6">
      <c r="B236" s="82" t="s">
        <v>619</v>
      </c>
      <c r="C236" s="82" t="s">
        <v>620</v>
      </c>
      <c r="F236" s="82" t="s">
        <v>621</v>
      </c>
    </row>
    <row r="237" spans="2:6">
      <c r="B237" s="82" t="s">
        <v>622</v>
      </c>
      <c r="C237" s="82" t="s">
        <v>623</v>
      </c>
      <c r="F237" s="82" t="s">
        <v>624</v>
      </c>
    </row>
    <row r="238" spans="2:6">
      <c r="B238" s="82" t="s">
        <v>625</v>
      </c>
      <c r="C238" s="82" t="s">
        <v>626</v>
      </c>
      <c r="F238" s="82" t="s">
        <v>627</v>
      </c>
    </row>
    <row r="239" spans="2:6">
      <c r="B239" s="82" t="s">
        <v>628</v>
      </c>
      <c r="C239" s="82" t="s">
        <v>629</v>
      </c>
      <c r="F239" s="82" t="s">
        <v>630</v>
      </c>
    </row>
    <row r="240" spans="2:6">
      <c r="B240" s="82" t="s">
        <v>631</v>
      </c>
      <c r="C240" s="82" t="s">
        <v>632</v>
      </c>
      <c r="F240" s="82" t="s">
        <v>633</v>
      </c>
    </row>
    <row r="241" spans="2:6">
      <c r="B241" s="82" t="s">
        <v>634</v>
      </c>
      <c r="C241" s="82" t="s">
        <v>635</v>
      </c>
      <c r="F241" s="82" t="s">
        <v>636</v>
      </c>
    </row>
    <row r="242" spans="2:6">
      <c r="B242" s="82" t="s">
        <v>637</v>
      </c>
      <c r="C242" s="82" t="s">
        <v>638</v>
      </c>
      <c r="F242" s="82" t="s">
        <v>639</v>
      </c>
    </row>
    <row r="243" spans="2:6">
      <c r="B243" s="82" t="s">
        <v>640</v>
      </c>
      <c r="C243" s="82" t="s">
        <v>641</v>
      </c>
      <c r="F243" s="82" t="s">
        <v>642</v>
      </c>
    </row>
    <row r="244" spans="2:6">
      <c r="B244" s="82" t="s">
        <v>643</v>
      </c>
      <c r="C244" s="82" t="s">
        <v>644</v>
      </c>
      <c r="F244" s="82" t="s">
        <v>645</v>
      </c>
    </row>
    <row r="245" spans="2:6">
      <c r="B245" s="82" t="s">
        <v>646</v>
      </c>
      <c r="C245" s="82" t="s">
        <v>647</v>
      </c>
      <c r="F245" s="82" t="s">
        <v>648</v>
      </c>
    </row>
    <row r="246" spans="2:6">
      <c r="B246" s="82" t="s">
        <v>649</v>
      </c>
      <c r="C246" s="82" t="s">
        <v>650</v>
      </c>
      <c r="F246" s="82" t="s">
        <v>651</v>
      </c>
    </row>
    <row r="247" spans="2:6">
      <c r="B247" s="82" t="s">
        <v>652</v>
      </c>
      <c r="C247" s="82" t="s">
        <v>653</v>
      </c>
      <c r="F247" s="82" t="s">
        <v>654</v>
      </c>
    </row>
    <row r="248" spans="2:6">
      <c r="B248" s="82" t="s">
        <v>655</v>
      </c>
      <c r="C248" s="82" t="s">
        <v>656</v>
      </c>
      <c r="F248" s="82" t="s">
        <v>657</v>
      </c>
    </row>
    <row r="249" spans="2:6">
      <c r="B249" s="82" t="s">
        <v>658</v>
      </c>
      <c r="C249" s="82" t="s">
        <v>659</v>
      </c>
      <c r="F249" s="82" t="s">
        <v>660</v>
      </c>
    </row>
    <row r="250" spans="2:6">
      <c r="B250" s="82" t="s">
        <v>661</v>
      </c>
      <c r="C250" s="82" t="s">
        <v>662</v>
      </c>
      <c r="F250" s="82" t="s">
        <v>663</v>
      </c>
    </row>
    <row r="251" spans="2:6">
      <c r="B251" s="82" t="s">
        <v>664</v>
      </c>
      <c r="C251" s="82" t="s">
        <v>665</v>
      </c>
      <c r="F251" s="82" t="s">
        <v>666</v>
      </c>
    </row>
    <row r="252" spans="2:6">
      <c r="B252" s="82" t="s">
        <v>667</v>
      </c>
      <c r="C252" s="82" t="s">
        <v>668</v>
      </c>
      <c r="F252" s="82" t="s">
        <v>669</v>
      </c>
    </row>
    <row r="253" spans="2:6">
      <c r="B253" s="82" t="s">
        <v>670</v>
      </c>
      <c r="C253" s="82" t="s">
        <v>671</v>
      </c>
      <c r="F253" s="82" t="s">
        <v>672</v>
      </c>
    </row>
    <row r="254" spans="2:6">
      <c r="B254" s="82" t="s">
        <v>673</v>
      </c>
      <c r="C254" s="82" t="s">
        <v>674</v>
      </c>
      <c r="F254" s="82" t="s">
        <v>675</v>
      </c>
    </row>
    <row r="255" spans="2:6">
      <c r="B255" s="82" t="s">
        <v>676</v>
      </c>
      <c r="C255" s="82" t="s">
        <v>677</v>
      </c>
      <c r="F255" s="82" t="s">
        <v>678</v>
      </c>
    </row>
    <row r="256" spans="2:6">
      <c r="B256" s="82" t="s">
        <v>679</v>
      </c>
      <c r="C256" s="82" t="s">
        <v>680</v>
      </c>
      <c r="F256" s="82" t="s">
        <v>681</v>
      </c>
    </row>
    <row r="257" spans="2:6">
      <c r="B257" s="82" t="s">
        <v>682</v>
      </c>
      <c r="C257" s="82" t="s">
        <v>683</v>
      </c>
      <c r="F257" s="82" t="s">
        <v>684</v>
      </c>
    </row>
    <row r="258" spans="2:6">
      <c r="B258" s="82" t="s">
        <v>685</v>
      </c>
      <c r="C258" s="82" t="s">
        <v>686</v>
      </c>
      <c r="F258" s="82" t="s">
        <v>687</v>
      </c>
    </row>
    <row r="259" spans="2:6">
      <c r="B259" s="82" t="s">
        <v>688</v>
      </c>
      <c r="C259" s="82" t="s">
        <v>689</v>
      </c>
      <c r="F259" s="82" t="s">
        <v>690</v>
      </c>
    </row>
    <row r="260" spans="2:6">
      <c r="B260" s="82" t="s">
        <v>691</v>
      </c>
      <c r="C260" s="82" t="s">
        <v>692</v>
      </c>
      <c r="F260" s="82" t="s">
        <v>693</v>
      </c>
    </row>
    <row r="261" spans="2:6">
      <c r="B261" s="82" t="s">
        <v>694</v>
      </c>
      <c r="C261" s="82" t="s">
        <v>695</v>
      </c>
      <c r="F261" s="82" t="s">
        <v>696</v>
      </c>
    </row>
    <row r="262" spans="2:6">
      <c r="B262" s="82" t="s">
        <v>697</v>
      </c>
      <c r="C262" s="82" t="s">
        <v>698</v>
      </c>
      <c r="F262" s="82" t="s">
        <v>699</v>
      </c>
    </row>
    <row r="263" spans="2:6">
      <c r="B263" s="82" t="s">
        <v>700</v>
      </c>
      <c r="C263" s="82" t="s">
        <v>701</v>
      </c>
      <c r="F263" s="82" t="s">
        <v>702</v>
      </c>
    </row>
    <row r="264" spans="2:6">
      <c r="B264" s="82" t="s">
        <v>703</v>
      </c>
      <c r="C264" s="82" t="s">
        <v>704</v>
      </c>
      <c r="F264" s="82" t="s">
        <v>705</v>
      </c>
    </row>
    <row r="265" spans="2:6">
      <c r="B265" s="82" t="s">
        <v>706</v>
      </c>
      <c r="C265" s="82" t="s">
        <v>707</v>
      </c>
      <c r="F265" s="82" t="s">
        <v>708</v>
      </c>
    </row>
    <row r="266" spans="2:6">
      <c r="B266" s="82" t="s">
        <v>709</v>
      </c>
      <c r="C266" s="82" t="s">
        <v>155</v>
      </c>
      <c r="F266" s="82" t="s">
        <v>710</v>
      </c>
    </row>
    <row r="267" spans="2:6">
      <c r="B267" s="82" t="s">
        <v>711</v>
      </c>
      <c r="C267" s="82" t="s">
        <v>712</v>
      </c>
      <c r="F267" s="82" t="s">
        <v>713</v>
      </c>
    </row>
    <row r="268" spans="2:6">
      <c r="B268" s="82" t="s">
        <v>714</v>
      </c>
      <c r="C268" s="82" t="s">
        <v>715</v>
      </c>
      <c r="F268" s="82" t="s">
        <v>716</v>
      </c>
    </row>
    <row r="269" spans="2:6">
      <c r="B269" s="82" t="s">
        <v>717</v>
      </c>
      <c r="C269" s="82" t="s">
        <v>81</v>
      </c>
      <c r="F269" s="82" t="s">
        <v>718</v>
      </c>
    </row>
    <row r="270" spans="2:6">
      <c r="B270" s="82" t="s">
        <v>719</v>
      </c>
      <c r="C270" s="82" t="s">
        <v>720</v>
      </c>
      <c r="F270" s="82" t="s">
        <v>721</v>
      </c>
    </row>
    <row r="271" spans="2:6">
      <c r="B271" s="82" t="s">
        <v>722</v>
      </c>
      <c r="C271" s="82" t="s">
        <v>723</v>
      </c>
      <c r="F271" s="82" t="s">
        <v>724</v>
      </c>
    </row>
    <row r="272" spans="2:6">
      <c r="B272" s="82" t="s">
        <v>725</v>
      </c>
      <c r="C272" s="82" t="s">
        <v>726</v>
      </c>
      <c r="F272" s="82" t="s">
        <v>727</v>
      </c>
    </row>
    <row r="273" spans="2:6">
      <c r="B273" s="82" t="s">
        <v>728</v>
      </c>
      <c r="C273" s="82" t="s">
        <v>729</v>
      </c>
      <c r="F273" s="82" t="s">
        <v>730</v>
      </c>
    </row>
    <row r="274" spans="2:6">
      <c r="B274" s="82" t="s">
        <v>731</v>
      </c>
      <c r="C274" s="82" t="s">
        <v>732</v>
      </c>
      <c r="F274" s="82" t="s">
        <v>733</v>
      </c>
    </row>
    <row r="275" spans="2:6">
      <c r="B275" s="82" t="s">
        <v>734</v>
      </c>
      <c r="C275" s="82" t="s">
        <v>735</v>
      </c>
      <c r="F275" s="82" t="s">
        <v>736</v>
      </c>
    </row>
    <row r="276" spans="2:6">
      <c r="B276" s="82" t="s">
        <v>737</v>
      </c>
      <c r="C276" s="82" t="s">
        <v>738</v>
      </c>
      <c r="F276" s="82" t="s">
        <v>739</v>
      </c>
    </row>
    <row r="277" spans="2:6">
      <c r="B277" s="82" t="s">
        <v>740</v>
      </c>
      <c r="C277" s="82" t="s">
        <v>741</v>
      </c>
      <c r="F277" s="82" t="s">
        <v>742</v>
      </c>
    </row>
    <row r="278" spans="2:6">
      <c r="B278" s="82" t="s">
        <v>743</v>
      </c>
      <c r="C278" s="82" t="s">
        <v>744</v>
      </c>
      <c r="F278" s="82" t="s">
        <v>553</v>
      </c>
    </row>
    <row r="279" spans="2:6">
      <c r="B279" s="82" t="s">
        <v>745</v>
      </c>
      <c r="C279" s="82" t="s">
        <v>746</v>
      </c>
      <c r="F279" s="82" t="s">
        <v>747</v>
      </c>
    </row>
    <row r="280" spans="2:6">
      <c r="B280" s="82" t="s">
        <v>748</v>
      </c>
      <c r="C280" s="82" t="s">
        <v>749</v>
      </c>
      <c r="F280" s="82" t="s">
        <v>750</v>
      </c>
    </row>
    <row r="281" spans="2:6">
      <c r="B281" s="82" t="s">
        <v>751</v>
      </c>
      <c r="C281" s="82" t="s">
        <v>752</v>
      </c>
      <c r="F281" s="82" t="s">
        <v>753</v>
      </c>
    </row>
    <row r="282" spans="2:6">
      <c r="B282" s="82" t="s">
        <v>754</v>
      </c>
      <c r="C282" s="82" t="s">
        <v>755</v>
      </c>
      <c r="F282" s="82" t="s">
        <v>756</v>
      </c>
    </row>
    <row r="283" spans="2:6">
      <c r="B283" s="82" t="s">
        <v>757</v>
      </c>
      <c r="C283" s="82" t="s">
        <v>758</v>
      </c>
      <c r="F283" s="82" t="s">
        <v>759</v>
      </c>
    </row>
    <row r="284" spans="2:6">
      <c r="B284" s="82" t="s">
        <v>760</v>
      </c>
      <c r="C284" s="82" t="s">
        <v>761</v>
      </c>
      <c r="F284" s="82" t="s">
        <v>762</v>
      </c>
    </row>
    <row r="285" spans="2:6">
      <c r="B285" s="82" t="s">
        <v>763</v>
      </c>
      <c r="C285" s="82" t="s">
        <v>764</v>
      </c>
      <c r="F285" s="82" t="s">
        <v>765</v>
      </c>
    </row>
    <row r="286" spans="2:6">
      <c r="B286" s="82" t="s">
        <v>766</v>
      </c>
      <c r="C286" s="82" t="s">
        <v>767</v>
      </c>
      <c r="F286" s="82" t="s">
        <v>768</v>
      </c>
    </row>
    <row r="287" spans="2:6">
      <c r="B287" s="82" t="s">
        <v>769</v>
      </c>
      <c r="C287" s="82" t="s">
        <v>770</v>
      </c>
      <c r="F287" s="82" t="s">
        <v>771</v>
      </c>
    </row>
    <row r="288" spans="2:6">
      <c r="B288" s="82" t="s">
        <v>772</v>
      </c>
      <c r="C288" s="82" t="s">
        <v>773</v>
      </c>
      <c r="F288" s="82" t="s">
        <v>774</v>
      </c>
    </row>
    <row r="289" spans="2:6">
      <c r="B289" s="82" t="s">
        <v>775</v>
      </c>
      <c r="C289" s="82" t="s">
        <v>776</v>
      </c>
      <c r="F289" s="82" t="s">
        <v>777</v>
      </c>
    </row>
    <row r="290" spans="2:6">
      <c r="B290" s="82" t="s">
        <v>778</v>
      </c>
      <c r="C290" s="82" t="s">
        <v>779</v>
      </c>
      <c r="F290" s="82" t="s">
        <v>780</v>
      </c>
    </row>
    <row r="291" spans="2:6">
      <c r="B291" s="82" t="s">
        <v>781</v>
      </c>
      <c r="C291" s="82" t="s">
        <v>776</v>
      </c>
      <c r="F291" s="82" t="s">
        <v>777</v>
      </c>
    </row>
    <row r="292" spans="2:6">
      <c r="B292" s="82" t="s">
        <v>782</v>
      </c>
      <c r="C292" s="82" t="s">
        <v>779</v>
      </c>
      <c r="F292" s="82" t="s">
        <v>780</v>
      </c>
    </row>
    <row r="293" spans="2:6">
      <c r="B293" s="82" t="s">
        <v>783</v>
      </c>
      <c r="C293" s="82" t="s">
        <v>784</v>
      </c>
      <c r="F293" s="82" t="s">
        <v>785</v>
      </c>
    </row>
    <row r="294" spans="2:6">
      <c r="B294" s="82" t="s">
        <v>786</v>
      </c>
      <c r="C294" s="82" t="s">
        <v>787</v>
      </c>
      <c r="F294" s="82" t="s">
        <v>788</v>
      </c>
    </row>
    <row r="295" spans="2:6">
      <c r="B295" s="82" t="s">
        <v>789</v>
      </c>
      <c r="C295" s="82" t="s">
        <v>790</v>
      </c>
      <c r="F295" s="82" t="s">
        <v>791</v>
      </c>
    </row>
    <row r="296" spans="2:6">
      <c r="B296" s="82" t="s">
        <v>792</v>
      </c>
      <c r="C296" s="82" t="s">
        <v>793</v>
      </c>
      <c r="F296" s="82" t="s">
        <v>794</v>
      </c>
    </row>
    <row r="297" spans="2:6">
      <c r="B297" s="82" t="s">
        <v>795</v>
      </c>
      <c r="C297" s="82" t="s">
        <v>796</v>
      </c>
      <c r="F297" s="82" t="s">
        <v>797</v>
      </c>
    </row>
    <row r="298" spans="2:6">
      <c r="B298" s="82" t="s">
        <v>798</v>
      </c>
      <c r="C298" s="82" t="s">
        <v>799</v>
      </c>
      <c r="F298" s="82" t="s">
        <v>800</v>
      </c>
    </row>
    <row r="299" spans="2:6">
      <c r="B299" s="82" t="s">
        <v>801</v>
      </c>
      <c r="C299" s="82" t="s">
        <v>802</v>
      </c>
      <c r="F299" s="82" t="s">
        <v>803</v>
      </c>
    </row>
    <row r="300" spans="2:6">
      <c r="B300" s="82" t="s">
        <v>804</v>
      </c>
      <c r="C300" s="82" t="s">
        <v>805</v>
      </c>
      <c r="F300" s="82" t="s">
        <v>806</v>
      </c>
    </row>
    <row r="301" spans="2:6">
      <c r="B301" s="82" t="s">
        <v>807</v>
      </c>
      <c r="C301" s="82" t="s">
        <v>808</v>
      </c>
      <c r="F301" s="82" t="s">
        <v>809</v>
      </c>
    </row>
    <row r="302" spans="2:6">
      <c r="B302" s="82" t="s">
        <v>810</v>
      </c>
      <c r="C302" s="82" t="s">
        <v>811</v>
      </c>
      <c r="F302" s="82" t="s">
        <v>812</v>
      </c>
    </row>
    <row r="303" spans="2:6">
      <c r="B303" s="82" t="s">
        <v>813</v>
      </c>
      <c r="C303" s="82" t="s">
        <v>814</v>
      </c>
      <c r="F303" s="82" t="s">
        <v>815</v>
      </c>
    </row>
    <row r="304" spans="2:6">
      <c r="B304" s="82" t="s">
        <v>816</v>
      </c>
      <c r="C304" s="82" t="s">
        <v>817</v>
      </c>
      <c r="F304" s="82" t="s">
        <v>818</v>
      </c>
    </row>
    <row r="305" spans="2:6">
      <c r="B305" s="82" t="s">
        <v>819</v>
      </c>
      <c r="C305" s="82" t="s">
        <v>820</v>
      </c>
      <c r="F305" s="82" t="s">
        <v>821</v>
      </c>
    </row>
    <row r="306" spans="2:6">
      <c r="B306" s="82" t="s">
        <v>822</v>
      </c>
      <c r="C306" s="82" t="s">
        <v>823</v>
      </c>
      <c r="F306" s="82" t="s">
        <v>824</v>
      </c>
    </row>
    <row r="307" spans="2:6">
      <c r="B307" s="82" t="s">
        <v>825</v>
      </c>
      <c r="C307" s="82" t="s">
        <v>826</v>
      </c>
      <c r="F307" s="82" t="s">
        <v>827</v>
      </c>
    </row>
    <row r="308" spans="2:6">
      <c r="B308" s="82" t="s">
        <v>828</v>
      </c>
      <c r="C308" s="82" t="s">
        <v>829</v>
      </c>
      <c r="F308" s="82" t="s">
        <v>830</v>
      </c>
    </row>
    <row r="309" spans="2:6">
      <c r="B309" s="82" t="s">
        <v>831</v>
      </c>
      <c r="C309" s="82" t="s">
        <v>832</v>
      </c>
      <c r="F309" s="82" t="s">
        <v>739</v>
      </c>
    </row>
    <row r="310" spans="2:6">
      <c r="B310" s="82" t="s">
        <v>833</v>
      </c>
      <c r="C310" s="82" t="s">
        <v>834</v>
      </c>
      <c r="F310" s="82" t="s">
        <v>835</v>
      </c>
    </row>
    <row r="311" spans="2:6">
      <c r="B311" s="82" t="s">
        <v>836</v>
      </c>
      <c r="C311" s="82" t="s">
        <v>837</v>
      </c>
      <c r="F311" s="82" t="s">
        <v>739</v>
      </c>
    </row>
    <row r="312" spans="2:6">
      <c r="B312" s="82" t="s">
        <v>838</v>
      </c>
      <c r="C312" s="82" t="s">
        <v>832</v>
      </c>
      <c r="F312" s="82" t="s">
        <v>739</v>
      </c>
    </row>
    <row r="313" spans="2:6">
      <c r="B313" s="82" t="s">
        <v>839</v>
      </c>
      <c r="C313" s="82" t="s">
        <v>837</v>
      </c>
      <c r="F313" s="82" t="s">
        <v>739</v>
      </c>
    </row>
    <row r="314" spans="2:6">
      <c r="B314" s="82" t="s">
        <v>840</v>
      </c>
      <c r="C314" s="82" t="s">
        <v>841</v>
      </c>
      <c r="F314" s="82" t="s">
        <v>842</v>
      </c>
    </row>
    <row r="315" spans="2:6">
      <c r="B315" s="82" t="s">
        <v>843</v>
      </c>
      <c r="C315" s="82" t="s">
        <v>844</v>
      </c>
      <c r="F315" s="82" t="s">
        <v>845</v>
      </c>
    </row>
    <row r="316" spans="2:6">
      <c r="B316" s="82" t="s">
        <v>846</v>
      </c>
      <c r="C316" s="82" t="s">
        <v>847</v>
      </c>
      <c r="F316" s="82" t="s">
        <v>845</v>
      </c>
    </row>
    <row r="317" spans="2:6">
      <c r="B317" s="82" t="s">
        <v>848</v>
      </c>
      <c r="C317" s="82" t="s">
        <v>849</v>
      </c>
      <c r="F317" s="82" t="s">
        <v>850</v>
      </c>
    </row>
    <row r="318" spans="2:6">
      <c r="B318" s="82" t="s">
        <v>851</v>
      </c>
      <c r="C318" s="82" t="s">
        <v>852</v>
      </c>
      <c r="F318" s="82" t="s">
        <v>853</v>
      </c>
    </row>
    <row r="319" spans="2:6">
      <c r="B319" s="82" t="s">
        <v>854</v>
      </c>
      <c r="C319" s="82" t="s">
        <v>855</v>
      </c>
      <c r="F319" s="82" t="s">
        <v>856</v>
      </c>
    </row>
    <row r="320" spans="2:6">
      <c r="B320" s="82" t="s">
        <v>857</v>
      </c>
      <c r="C320" s="82" t="s">
        <v>858</v>
      </c>
      <c r="F320" s="82" t="s">
        <v>859</v>
      </c>
    </row>
    <row r="321" spans="2:6">
      <c r="B321" s="82" t="s">
        <v>860</v>
      </c>
      <c r="C321" s="82" t="s">
        <v>861</v>
      </c>
      <c r="F321" s="82" t="s">
        <v>862</v>
      </c>
    </row>
    <row r="322" spans="2:6">
      <c r="B322" s="82" t="s">
        <v>863</v>
      </c>
      <c r="C322" s="82" t="s">
        <v>864</v>
      </c>
      <c r="F322" s="82" t="s">
        <v>865</v>
      </c>
    </row>
    <row r="323" spans="2:6">
      <c r="B323" s="82" t="s">
        <v>866</v>
      </c>
      <c r="C323" s="82" t="s">
        <v>867</v>
      </c>
      <c r="F323" s="82" t="s">
        <v>868</v>
      </c>
    </row>
    <row r="324" spans="2:6">
      <c r="B324" s="82" t="s">
        <v>869</v>
      </c>
      <c r="C324" s="82" t="s">
        <v>870</v>
      </c>
      <c r="F324" s="82" t="s">
        <v>871</v>
      </c>
    </row>
    <row r="325" spans="2:6">
      <c r="B325" s="82" t="s">
        <v>872</v>
      </c>
      <c r="C325" s="82" t="s">
        <v>873</v>
      </c>
      <c r="F325" s="82" t="s">
        <v>874</v>
      </c>
    </row>
    <row r="326" spans="2:6">
      <c r="B326" s="82" t="s">
        <v>875</v>
      </c>
      <c r="C326" s="82" t="s">
        <v>530</v>
      </c>
      <c r="F326" s="82" t="s">
        <v>876</v>
      </c>
    </row>
    <row r="327" spans="2:6">
      <c r="B327" s="82" t="s">
        <v>877</v>
      </c>
      <c r="C327" s="82" t="s">
        <v>878</v>
      </c>
      <c r="F327" s="82" t="s">
        <v>879</v>
      </c>
    </row>
    <row r="328" spans="2:6">
      <c r="B328" s="82" t="s">
        <v>880</v>
      </c>
      <c r="C328" s="82" t="s">
        <v>881</v>
      </c>
      <c r="F328" s="82" t="s">
        <v>882</v>
      </c>
    </row>
    <row r="329" spans="2:6">
      <c r="B329" s="82" t="s">
        <v>883</v>
      </c>
      <c r="C329" s="82" t="s">
        <v>884</v>
      </c>
      <c r="F329" s="82" t="s">
        <v>885</v>
      </c>
    </row>
    <row r="330" spans="2:6">
      <c r="B330" s="82" t="s">
        <v>886</v>
      </c>
      <c r="C330" s="82" t="s">
        <v>887</v>
      </c>
      <c r="F330" s="82" t="s">
        <v>888</v>
      </c>
    </row>
    <row r="331" spans="2:6">
      <c r="B331" s="82" t="s">
        <v>889</v>
      </c>
      <c r="C331" s="82" t="s">
        <v>420</v>
      </c>
      <c r="F331" s="82" t="s">
        <v>890</v>
      </c>
    </row>
    <row r="332" spans="2:6">
      <c r="B332" s="82" t="s">
        <v>891</v>
      </c>
      <c r="C332" s="82" t="s">
        <v>892</v>
      </c>
      <c r="F332" s="82" t="s">
        <v>893</v>
      </c>
    </row>
    <row r="333" spans="2:6">
      <c r="B333" s="82" t="s">
        <v>894</v>
      </c>
      <c r="C333" s="82" t="s">
        <v>895</v>
      </c>
      <c r="F333" s="82" t="s">
        <v>896</v>
      </c>
    </row>
    <row r="334" spans="2:6">
      <c r="B334" s="82" t="s">
        <v>897</v>
      </c>
      <c r="C334" s="82" t="s">
        <v>898</v>
      </c>
      <c r="F334" s="82" t="s">
        <v>899</v>
      </c>
    </row>
    <row r="335" spans="2:6">
      <c r="B335" s="82" t="s">
        <v>900</v>
      </c>
      <c r="C335" s="82" t="s">
        <v>901</v>
      </c>
      <c r="F335" s="82" t="s">
        <v>902</v>
      </c>
    </row>
    <row r="336" spans="2:6">
      <c r="B336" s="82" t="s">
        <v>903</v>
      </c>
      <c r="C336" s="82" t="s">
        <v>434</v>
      </c>
      <c r="F336" s="82" t="s">
        <v>570</v>
      </c>
    </row>
    <row r="337" spans="2:6">
      <c r="B337" s="82" t="s">
        <v>904</v>
      </c>
      <c r="C337" s="82" t="s">
        <v>905</v>
      </c>
      <c r="F337" s="82" t="s">
        <v>906</v>
      </c>
    </row>
    <row r="338" spans="2:6">
      <c r="B338" s="82" t="s">
        <v>907</v>
      </c>
      <c r="C338" s="82" t="s">
        <v>534</v>
      </c>
      <c r="F338" s="82" t="s">
        <v>908</v>
      </c>
    </row>
    <row r="339" spans="2:6">
      <c r="B339" s="82" t="s">
        <v>909</v>
      </c>
      <c r="C339" s="82" t="s">
        <v>910</v>
      </c>
      <c r="F339" s="82" t="s">
        <v>911</v>
      </c>
    </row>
    <row r="340" spans="2:6">
      <c r="B340" s="82" t="s">
        <v>912</v>
      </c>
      <c r="C340" s="82" t="s">
        <v>913</v>
      </c>
      <c r="F340" s="82" t="s">
        <v>914</v>
      </c>
    </row>
    <row r="341" spans="2:6">
      <c r="B341" s="82" t="s">
        <v>915</v>
      </c>
      <c r="C341" s="82" t="s">
        <v>916</v>
      </c>
      <c r="F341" s="82" t="s">
        <v>917</v>
      </c>
    </row>
    <row r="342" spans="2:6">
      <c r="B342" s="82" t="s">
        <v>918</v>
      </c>
      <c r="C342" s="82" t="s">
        <v>919</v>
      </c>
      <c r="F342" s="82" t="s">
        <v>920</v>
      </c>
    </row>
    <row r="343" spans="2:6">
      <c r="B343" s="82" t="s">
        <v>921</v>
      </c>
      <c r="C343" s="82" t="s">
        <v>922</v>
      </c>
      <c r="F343" s="82" t="s">
        <v>923</v>
      </c>
    </row>
    <row r="344" spans="2:6">
      <c r="B344" s="82" t="s">
        <v>924</v>
      </c>
      <c r="C344" s="82" t="s">
        <v>925</v>
      </c>
      <c r="F344" s="82" t="s">
        <v>926</v>
      </c>
    </row>
    <row r="345" spans="2:6">
      <c r="B345" s="82" t="s">
        <v>927</v>
      </c>
      <c r="C345" s="82" t="s">
        <v>928</v>
      </c>
      <c r="F345" s="82" t="s">
        <v>929</v>
      </c>
    </row>
    <row r="346" spans="2:6">
      <c r="B346" s="82" t="s">
        <v>930</v>
      </c>
      <c r="C346" s="82" t="s">
        <v>536</v>
      </c>
      <c r="F346" s="82" t="s">
        <v>931</v>
      </c>
    </row>
    <row r="347" spans="2:6">
      <c r="B347" s="82" t="s">
        <v>932</v>
      </c>
      <c r="C347" s="82" t="s">
        <v>933</v>
      </c>
      <c r="F347" s="82" t="s">
        <v>934</v>
      </c>
    </row>
    <row r="348" spans="2:6">
      <c r="B348" s="82" t="s">
        <v>935</v>
      </c>
      <c r="C348" s="82" t="s">
        <v>936</v>
      </c>
      <c r="F348" s="82" t="s">
        <v>937</v>
      </c>
    </row>
    <row r="349" spans="2:6">
      <c r="B349" s="82" t="s">
        <v>938</v>
      </c>
      <c r="C349" s="82" t="s">
        <v>939</v>
      </c>
      <c r="F349" s="82" t="s">
        <v>940</v>
      </c>
    </row>
    <row r="350" spans="2:6">
      <c r="B350" s="82" t="s">
        <v>941</v>
      </c>
      <c r="C350" s="82" t="s">
        <v>942</v>
      </c>
      <c r="F350" s="82" t="s">
        <v>943</v>
      </c>
    </row>
    <row r="351" spans="2:6">
      <c r="B351" s="82" t="s">
        <v>944</v>
      </c>
      <c r="C351" s="82" t="s">
        <v>945</v>
      </c>
      <c r="F351" s="82" t="s">
        <v>946</v>
      </c>
    </row>
    <row r="352" spans="2:6">
      <c r="B352" s="82" t="s">
        <v>947</v>
      </c>
      <c r="C352" s="82" t="s">
        <v>948</v>
      </c>
      <c r="F352" s="82" t="s">
        <v>949</v>
      </c>
    </row>
    <row r="353" spans="2:6">
      <c r="B353" s="82" t="s">
        <v>950</v>
      </c>
      <c r="C353" s="82" t="s">
        <v>532</v>
      </c>
      <c r="F353" s="82" t="s">
        <v>951</v>
      </c>
    </row>
    <row r="354" spans="2:6">
      <c r="B354" s="82" t="s">
        <v>952</v>
      </c>
      <c r="C354" s="82" t="s">
        <v>538</v>
      </c>
      <c r="F354" s="82" t="s">
        <v>953</v>
      </c>
    </row>
    <row r="355" spans="2:6">
      <c r="B355" s="82" t="s">
        <v>954</v>
      </c>
      <c r="C355" s="82" t="s">
        <v>955</v>
      </c>
      <c r="F355" s="82" t="s">
        <v>956</v>
      </c>
    </row>
    <row r="356" spans="2:6">
      <c r="B356" s="82" t="s">
        <v>957</v>
      </c>
      <c r="C356" s="82" t="s">
        <v>958</v>
      </c>
      <c r="F356" s="82" t="s">
        <v>959</v>
      </c>
    </row>
    <row r="357" spans="2:6">
      <c r="B357" s="82" t="s">
        <v>960</v>
      </c>
      <c r="C357" s="82" t="s">
        <v>961</v>
      </c>
      <c r="F357" s="82" t="s">
        <v>962</v>
      </c>
    </row>
    <row r="358" spans="2:6">
      <c r="B358" s="82" t="s">
        <v>963</v>
      </c>
      <c r="C358" s="82" t="s">
        <v>964</v>
      </c>
      <c r="F358" s="82" t="s">
        <v>965</v>
      </c>
    </row>
    <row r="359" spans="2:6">
      <c r="B359" s="82" t="s">
        <v>966</v>
      </c>
      <c r="C359" s="82" t="s">
        <v>967</v>
      </c>
      <c r="F359" s="82" t="s">
        <v>968</v>
      </c>
    </row>
    <row r="360" spans="2:6">
      <c r="B360" s="82" t="s">
        <v>969</v>
      </c>
      <c r="C360" s="82" t="s">
        <v>970</v>
      </c>
      <c r="F360" s="82" t="s">
        <v>971</v>
      </c>
    </row>
    <row r="361" spans="2:6">
      <c r="B361" s="82" t="s">
        <v>972</v>
      </c>
      <c r="C361" s="82" t="s">
        <v>973</v>
      </c>
      <c r="F361" s="82" t="s">
        <v>974</v>
      </c>
    </row>
    <row r="362" spans="2:6">
      <c r="B362" s="82" t="s">
        <v>975</v>
      </c>
      <c r="C362" s="82" t="s">
        <v>975</v>
      </c>
      <c r="F362" s="82" t="s">
        <v>976</v>
      </c>
    </row>
    <row r="363" spans="2:6">
      <c r="B363" s="82" t="s">
        <v>977</v>
      </c>
      <c r="C363" s="82" t="s">
        <v>977</v>
      </c>
      <c r="F363" s="82" t="s">
        <v>978</v>
      </c>
    </row>
    <row r="364" spans="2:6">
      <c r="B364" s="82" t="s">
        <v>979</v>
      </c>
      <c r="C364" s="82" t="s">
        <v>979</v>
      </c>
      <c r="F364" s="82" t="s">
        <v>980</v>
      </c>
    </row>
    <row r="365" spans="2:6">
      <c r="B365" s="82" t="s">
        <v>981</v>
      </c>
      <c r="C365" s="82" t="s">
        <v>981</v>
      </c>
      <c r="F365" s="82" t="s">
        <v>982</v>
      </c>
    </row>
    <row r="366" spans="2:6">
      <c r="B366" s="82" t="s">
        <v>983</v>
      </c>
      <c r="C366" s="82" t="s">
        <v>983</v>
      </c>
      <c r="F366" s="82" t="s">
        <v>984</v>
      </c>
    </row>
    <row r="367" spans="2:6">
      <c r="B367" s="82" t="s">
        <v>985</v>
      </c>
      <c r="C367" s="82" t="s">
        <v>985</v>
      </c>
      <c r="F367" s="82" t="s">
        <v>986</v>
      </c>
    </row>
    <row r="368" spans="2:6">
      <c r="B368" s="82" t="s">
        <v>987</v>
      </c>
      <c r="C368" s="82" t="s">
        <v>987</v>
      </c>
      <c r="F368" s="82" t="s">
        <v>988</v>
      </c>
    </row>
    <row r="369" spans="2:6">
      <c r="B369" s="82" t="s">
        <v>989</v>
      </c>
      <c r="C369" s="82" t="s">
        <v>989</v>
      </c>
      <c r="F369" s="82" t="s">
        <v>990</v>
      </c>
    </row>
    <row r="370" spans="2:6">
      <c r="B370" s="82" t="s">
        <v>991</v>
      </c>
      <c r="C370" s="82" t="s">
        <v>991</v>
      </c>
      <c r="F370" s="82" t="s">
        <v>992</v>
      </c>
    </row>
    <row r="371" spans="2:6">
      <c r="B371" s="82" t="s">
        <v>993</v>
      </c>
      <c r="C371" s="82" t="s">
        <v>993</v>
      </c>
      <c r="F371" s="82" t="s">
        <v>994</v>
      </c>
    </row>
    <row r="372" spans="2:6">
      <c r="B372" s="82" t="s">
        <v>995</v>
      </c>
      <c r="C372" s="82" t="s">
        <v>995</v>
      </c>
      <c r="F372" s="82" t="s">
        <v>996</v>
      </c>
    </row>
    <row r="373" spans="2:6">
      <c r="B373" s="82" t="s">
        <v>997</v>
      </c>
      <c r="C373" s="82" t="s">
        <v>997</v>
      </c>
      <c r="F373" s="82" t="s">
        <v>998</v>
      </c>
    </row>
    <row r="374" spans="2:6">
      <c r="B374" s="82" t="s">
        <v>989</v>
      </c>
      <c r="C374" s="82" t="s">
        <v>989</v>
      </c>
      <c r="F374" s="82" t="s">
        <v>999</v>
      </c>
    </row>
    <row r="375" spans="2:6">
      <c r="B375" s="82" t="s">
        <v>1000</v>
      </c>
      <c r="C375" s="82" t="s">
        <v>1000</v>
      </c>
      <c r="F375" s="82" t="s">
        <v>1001</v>
      </c>
    </row>
    <row r="376" spans="2:6">
      <c r="B376" s="82" t="s">
        <v>1002</v>
      </c>
      <c r="C376" s="82" t="s">
        <v>1002</v>
      </c>
      <c r="F376" s="82" t="s">
        <v>992</v>
      </c>
    </row>
    <row r="377" spans="2:6">
      <c r="B377" s="82" t="s">
        <v>993</v>
      </c>
      <c r="C377" s="82" t="s">
        <v>993</v>
      </c>
      <c r="F377" s="82" t="s">
        <v>994</v>
      </c>
    </row>
    <row r="378" spans="2:6">
      <c r="B378" s="82" t="s">
        <v>995</v>
      </c>
      <c r="C378" s="82" t="s">
        <v>995</v>
      </c>
      <c r="F378" s="82" t="s">
        <v>996</v>
      </c>
    </row>
    <row r="379" spans="2:6">
      <c r="B379" s="82" t="s">
        <v>997</v>
      </c>
      <c r="C379" s="82" t="s">
        <v>997</v>
      </c>
      <c r="F379" s="82" t="s">
        <v>998</v>
      </c>
    </row>
    <row r="380" spans="2:6">
      <c r="B380" s="82" t="s">
        <v>989</v>
      </c>
      <c r="C380" s="82" t="s">
        <v>989</v>
      </c>
      <c r="F380" s="82" t="s">
        <v>999</v>
      </c>
    </row>
    <row r="381" spans="2:6">
      <c r="B381" s="82" t="s">
        <v>1003</v>
      </c>
      <c r="C381" s="82" t="s">
        <v>1003</v>
      </c>
      <c r="F381" s="82" t="s">
        <v>1004</v>
      </c>
    </row>
    <row r="382" spans="2:6">
      <c r="B382" s="82" t="s">
        <v>1005</v>
      </c>
      <c r="C382" s="82" t="s">
        <v>1005</v>
      </c>
      <c r="F382" s="82" t="s">
        <v>1006</v>
      </c>
    </row>
    <row r="383" spans="2:6">
      <c r="B383" s="82" t="s">
        <v>1007</v>
      </c>
      <c r="C383" s="82" t="s">
        <v>1007</v>
      </c>
      <c r="F383" s="82" t="s">
        <v>1008</v>
      </c>
    </row>
    <row r="384" spans="2:6">
      <c r="B384" s="82" t="s">
        <v>1009</v>
      </c>
      <c r="C384" s="82" t="s">
        <v>1009</v>
      </c>
      <c r="F384" s="82" t="s">
        <v>1010</v>
      </c>
    </row>
    <row r="385" spans="2:7">
      <c r="B385" s="82" t="s">
        <v>1011</v>
      </c>
      <c r="C385" s="82" t="s">
        <v>1011</v>
      </c>
      <c r="D385" s="82" t="s">
        <v>253</v>
      </c>
      <c r="E385" s="82" t="s">
        <v>253</v>
      </c>
      <c r="F385" s="82" t="s">
        <v>251</v>
      </c>
      <c r="G385" s="82" t="s">
        <v>252</v>
      </c>
    </row>
    <row r="386" spans="2:7">
      <c r="B386" s="82" t="s">
        <v>1012</v>
      </c>
      <c r="C386" s="82" t="s">
        <v>1012</v>
      </c>
      <c r="F386" s="82" t="s">
        <v>1013</v>
      </c>
    </row>
    <row r="387" spans="2:7">
      <c r="B387" s="82" t="s">
        <v>1014</v>
      </c>
      <c r="C387" s="82" t="s">
        <v>1014</v>
      </c>
      <c r="F387" s="82" t="s">
        <v>1015</v>
      </c>
    </row>
    <row r="388" spans="2:7">
      <c r="B388" s="82" t="s">
        <v>1016</v>
      </c>
      <c r="C388" s="82" t="s">
        <v>1016</v>
      </c>
      <c r="F388" s="82" t="s">
        <v>1017</v>
      </c>
    </row>
    <row r="389" spans="2:7">
      <c r="B389" s="82" t="s">
        <v>1018</v>
      </c>
      <c r="C389" s="82" t="s">
        <v>1018</v>
      </c>
      <c r="F389" s="82" t="s">
        <v>1019</v>
      </c>
    </row>
    <row r="390" spans="2:7">
      <c r="B390" s="82" t="s">
        <v>1020</v>
      </c>
      <c r="C390" s="82" t="s">
        <v>1020</v>
      </c>
      <c r="F390" s="82" t="s">
        <v>994</v>
      </c>
    </row>
    <row r="391" spans="2:7">
      <c r="B391" s="82" t="s">
        <v>995</v>
      </c>
      <c r="C391" s="82" t="s">
        <v>995</v>
      </c>
      <c r="F391" s="82" t="s">
        <v>996</v>
      </c>
    </row>
    <row r="392" spans="2:7">
      <c r="B392" s="82" t="s">
        <v>997</v>
      </c>
      <c r="C392" s="82" t="s">
        <v>997</v>
      </c>
      <c r="F392" s="82" t="s">
        <v>998</v>
      </c>
    </row>
    <row r="393" spans="2:7">
      <c r="B393" s="82" t="s">
        <v>989</v>
      </c>
      <c r="C393" s="82" t="s">
        <v>989</v>
      </c>
      <c r="F393" s="82" t="s">
        <v>999</v>
      </c>
    </row>
    <row r="394" spans="2:7">
      <c r="B394" s="82" t="s">
        <v>1021</v>
      </c>
      <c r="C394" s="82" t="s">
        <v>1021</v>
      </c>
      <c r="F394" s="82" t="s">
        <v>1022</v>
      </c>
    </row>
    <row r="395" spans="2:7">
      <c r="B395" s="82" t="s">
        <v>1023</v>
      </c>
      <c r="C395" s="82" t="s">
        <v>1023</v>
      </c>
      <c r="F395" s="82" t="s">
        <v>1024</v>
      </c>
    </row>
    <row r="396" spans="2:7">
      <c r="B396" s="82" t="s">
        <v>1025</v>
      </c>
      <c r="C396" s="82" t="s">
        <v>1025</v>
      </c>
      <c r="F396" s="82" t="s">
        <v>1026</v>
      </c>
    </row>
    <row r="397" spans="2:7">
      <c r="B397" s="82" t="s">
        <v>1027</v>
      </c>
      <c r="C397" s="82" t="s">
        <v>1027</v>
      </c>
      <c r="F397" s="82" t="s">
        <v>996</v>
      </c>
    </row>
    <row r="398" spans="2:7">
      <c r="B398" s="82" t="s">
        <v>1028</v>
      </c>
      <c r="C398" s="82" t="s">
        <v>1028</v>
      </c>
      <c r="F398" s="82" t="s">
        <v>1029</v>
      </c>
    </row>
    <row r="399" spans="2:7">
      <c r="B399" s="82" t="s">
        <v>1030</v>
      </c>
      <c r="C399" s="82" t="s">
        <v>1030</v>
      </c>
      <c r="F399" s="82" t="s">
        <v>1031</v>
      </c>
    </row>
    <row r="400" spans="2:7">
      <c r="B400" s="82" t="s">
        <v>1032</v>
      </c>
      <c r="C400" s="82" t="s">
        <v>1032</v>
      </c>
      <c r="F400" s="82" t="s">
        <v>1033</v>
      </c>
    </row>
    <row r="401" spans="1:7">
      <c r="B401" s="82" t="s">
        <v>1034</v>
      </c>
      <c r="C401" s="82" t="s">
        <v>1034</v>
      </c>
      <c r="F401" s="82" t="s">
        <v>1035</v>
      </c>
    </row>
    <row r="402" spans="1:7">
      <c r="B402" s="82" t="s">
        <v>1036</v>
      </c>
      <c r="C402" s="82" t="s">
        <v>1036</v>
      </c>
      <c r="F402" s="82" t="s">
        <v>1037</v>
      </c>
    </row>
    <row r="403" spans="1:7">
      <c r="B403" s="82" t="s">
        <v>995</v>
      </c>
      <c r="C403" s="82" t="s">
        <v>995</v>
      </c>
      <c r="F403" s="82" t="s">
        <v>996</v>
      </c>
    </row>
    <row r="404" spans="1:7">
      <c r="B404" s="82" t="s">
        <v>989</v>
      </c>
      <c r="C404" s="82" t="s">
        <v>989</v>
      </c>
      <c r="F404" s="82" t="s">
        <v>999</v>
      </c>
    </row>
    <row r="405" spans="1:7">
      <c r="B405" s="82" t="s">
        <v>712</v>
      </c>
      <c r="C405" s="82" t="s">
        <v>712</v>
      </c>
      <c r="D405" s="82" t="s">
        <v>1040</v>
      </c>
      <c r="E405" s="82" t="s">
        <v>1041</v>
      </c>
      <c r="F405" s="82" t="s">
        <v>1038</v>
      </c>
      <c r="G405" s="82" t="s">
        <v>1039</v>
      </c>
    </row>
    <row r="406" spans="1:7">
      <c r="B406" s="82" t="s">
        <v>66</v>
      </c>
      <c r="C406" s="82" t="s">
        <v>66</v>
      </c>
      <c r="F406" s="82" t="s">
        <v>1042</v>
      </c>
    </row>
    <row r="407" spans="1:7">
      <c r="B407" s="82" t="s">
        <v>1043</v>
      </c>
      <c r="C407" s="82" t="s">
        <v>1043</v>
      </c>
      <c r="F407" s="82" t="s">
        <v>1044</v>
      </c>
    </row>
    <row r="408" spans="1:7">
      <c r="B408" s="82" t="s">
        <v>1045</v>
      </c>
      <c r="C408" s="82" t="s">
        <v>1045</v>
      </c>
      <c r="F408" s="82" t="s">
        <v>1046</v>
      </c>
    </row>
    <row r="409" spans="1:7">
      <c r="B409" s="82" t="s">
        <v>1047</v>
      </c>
      <c r="C409" s="82" t="s">
        <v>1047</v>
      </c>
      <c r="F409" s="82" t="s">
        <v>1048</v>
      </c>
    </row>
    <row r="410" spans="1:7">
      <c r="B410" s="82" t="s">
        <v>1049</v>
      </c>
      <c r="C410" s="82" t="s">
        <v>1049</v>
      </c>
      <c r="F410" s="82" t="s">
        <v>1050</v>
      </c>
    </row>
    <row r="411" spans="1:7">
      <c r="B411" s="82" t="s">
        <v>1051</v>
      </c>
      <c r="C411" s="82" t="s">
        <v>1051</v>
      </c>
      <c r="F411" s="82" t="s">
        <v>1052</v>
      </c>
    </row>
    <row r="412" spans="1:7">
      <c r="B412" s="82" t="s">
        <v>1053</v>
      </c>
      <c r="C412" s="82" t="s">
        <v>1054</v>
      </c>
      <c r="F412" s="82" t="s">
        <v>1055</v>
      </c>
    </row>
    <row r="413" spans="1:7">
      <c r="B413" s="82" t="s">
        <v>1056</v>
      </c>
      <c r="C413" s="82" t="s">
        <v>1057</v>
      </c>
      <c r="F413" s="82" t="s">
        <v>1058</v>
      </c>
    </row>
    <row r="414" spans="1:7">
      <c r="A414" s="82" t="s">
        <v>1059</v>
      </c>
      <c r="B414" s="82" t="s">
        <v>1060</v>
      </c>
      <c r="C414" s="82" t="s">
        <v>1061</v>
      </c>
      <c r="F414" s="82" t="s">
        <v>1062</v>
      </c>
    </row>
    <row r="415" spans="1:7">
      <c r="A415" s="82" t="s">
        <v>1063</v>
      </c>
      <c r="B415" s="82" t="s">
        <v>1064</v>
      </c>
      <c r="C415" s="82" t="s">
        <v>1064</v>
      </c>
      <c r="F415" s="82" t="s">
        <v>1065</v>
      </c>
    </row>
    <row r="416" spans="1:7">
      <c r="A416" s="82" t="s">
        <v>1063</v>
      </c>
      <c r="B416" s="82" t="s">
        <v>1066</v>
      </c>
      <c r="C416" s="82" t="s">
        <v>1066</v>
      </c>
      <c r="F416" s="82" t="s">
        <v>1067</v>
      </c>
    </row>
    <row r="417" spans="1:6">
      <c r="A417" s="82" t="s">
        <v>1063</v>
      </c>
      <c r="B417" s="82" t="s">
        <v>1068</v>
      </c>
      <c r="C417" s="82" t="s">
        <v>1069</v>
      </c>
      <c r="F417" s="82" t="s">
        <v>1070</v>
      </c>
    </row>
    <row r="418" spans="1:6">
      <c r="A418" s="82" t="s">
        <v>1063</v>
      </c>
      <c r="B418" s="82" t="s">
        <v>1071</v>
      </c>
      <c r="C418" s="82" t="s">
        <v>1071</v>
      </c>
      <c r="F418" s="82" t="s">
        <v>1072</v>
      </c>
    </row>
    <row r="419" spans="1:6">
      <c r="A419" s="82" t="s">
        <v>1063</v>
      </c>
      <c r="B419" s="82" t="s">
        <v>1073</v>
      </c>
      <c r="C419" s="82" t="s">
        <v>1074</v>
      </c>
      <c r="F419" s="82" t="s">
        <v>1075</v>
      </c>
    </row>
    <row r="420" spans="1:6">
      <c r="B420" s="82" t="s">
        <v>1076</v>
      </c>
      <c r="C420" s="82" t="s">
        <v>1076</v>
      </c>
      <c r="F420" s="82" t="s">
        <v>1077</v>
      </c>
    </row>
    <row r="421" spans="1:6">
      <c r="B421" s="82" t="s">
        <v>1078</v>
      </c>
      <c r="C421" s="82" t="s">
        <v>1079</v>
      </c>
      <c r="F421" s="82" t="s">
        <v>1080</v>
      </c>
    </row>
    <row r="422" spans="1:6">
      <c r="B422" s="82" t="s">
        <v>1081</v>
      </c>
      <c r="C422" s="82" t="s">
        <v>1082</v>
      </c>
      <c r="F422" s="82" t="s">
        <v>1083</v>
      </c>
    </row>
    <row r="423" spans="1:6">
      <c r="B423" s="82" t="s">
        <v>1084</v>
      </c>
      <c r="C423" s="82" t="s">
        <v>1085</v>
      </c>
      <c r="F423" s="82" t="s">
        <v>1086</v>
      </c>
    </row>
    <row r="424" spans="1:6">
      <c r="B424" s="82" t="s">
        <v>1087</v>
      </c>
      <c r="C424" s="82" t="s">
        <v>1088</v>
      </c>
      <c r="F424" s="82" t="s">
        <v>1089</v>
      </c>
    </row>
    <row r="425" spans="1:6">
      <c r="B425" s="82" t="s">
        <v>1090</v>
      </c>
      <c r="C425" s="82" t="s">
        <v>1091</v>
      </c>
      <c r="F425" s="82" t="s">
        <v>1092</v>
      </c>
    </row>
    <row r="426" spans="1:6">
      <c r="B426" s="82" t="s">
        <v>1093</v>
      </c>
      <c r="C426" s="82" t="s">
        <v>1094</v>
      </c>
      <c r="F426" s="82" t="s">
        <v>1095</v>
      </c>
    </row>
    <row r="427" spans="1:6">
      <c r="A427" s="82" t="s">
        <v>1063</v>
      </c>
      <c r="B427" s="82" t="s">
        <v>1096</v>
      </c>
      <c r="C427" s="82" t="s">
        <v>1097</v>
      </c>
      <c r="F427" s="82" t="s">
        <v>1098</v>
      </c>
    </row>
    <row r="428" spans="1:6">
      <c r="A428" s="82" t="s">
        <v>1099</v>
      </c>
      <c r="B428" s="82" t="s">
        <v>1100</v>
      </c>
      <c r="C428" s="82" t="s">
        <v>546</v>
      </c>
      <c r="F428" s="82" t="s">
        <v>547</v>
      </c>
    </row>
    <row r="429" spans="1:6">
      <c r="A429" s="82" t="s">
        <v>1099</v>
      </c>
      <c r="B429" s="82" t="s">
        <v>1101</v>
      </c>
      <c r="C429" s="82" t="s">
        <v>1102</v>
      </c>
      <c r="F429" s="82" t="s">
        <v>1103</v>
      </c>
    </row>
    <row r="430" spans="1:6">
      <c r="A430" s="82" t="s">
        <v>1099</v>
      </c>
      <c r="B430" s="82" t="s">
        <v>1104</v>
      </c>
      <c r="C430" s="82" t="s">
        <v>1105</v>
      </c>
      <c r="F430" s="82" t="s">
        <v>1106</v>
      </c>
    </row>
    <row r="431" spans="1:6">
      <c r="A431" s="82" t="s">
        <v>1099</v>
      </c>
      <c r="B431" s="82" t="s">
        <v>1107</v>
      </c>
      <c r="C431" s="82" t="s">
        <v>1108</v>
      </c>
      <c r="F431" s="82" t="s">
        <v>1109</v>
      </c>
    </row>
    <row r="432" spans="1:6">
      <c r="A432" s="82" t="s">
        <v>1099</v>
      </c>
      <c r="B432" s="82" t="s">
        <v>1110</v>
      </c>
      <c r="C432" s="82" t="s">
        <v>1111</v>
      </c>
      <c r="F432" s="82" t="s">
        <v>1112</v>
      </c>
    </row>
    <row r="433" spans="1:6">
      <c r="A433" s="82" t="s">
        <v>1099</v>
      </c>
      <c r="B433" s="82" t="s">
        <v>1113</v>
      </c>
      <c r="C433" s="82" t="s">
        <v>1114</v>
      </c>
      <c r="F433" s="82" t="s">
        <v>1115</v>
      </c>
    </row>
    <row r="434" spans="1:6">
      <c r="A434" s="82" t="s">
        <v>1099</v>
      </c>
      <c r="B434" s="82" t="s">
        <v>1116</v>
      </c>
      <c r="C434" s="82" t="s">
        <v>1117</v>
      </c>
      <c r="F434" s="82" t="s">
        <v>1118</v>
      </c>
    </row>
    <row r="435" spans="1:6">
      <c r="A435" s="82" t="s">
        <v>1099</v>
      </c>
      <c r="B435" s="82" t="s">
        <v>1119</v>
      </c>
      <c r="C435" s="82" t="s">
        <v>1120</v>
      </c>
      <c r="F435" s="82" t="s">
        <v>1121</v>
      </c>
    </row>
    <row r="436" spans="1:6">
      <c r="A436" s="82" t="s">
        <v>1099</v>
      </c>
      <c r="B436" s="82" t="s">
        <v>1122</v>
      </c>
      <c r="C436" s="82" t="s">
        <v>1123</v>
      </c>
      <c r="F436" s="82" t="s">
        <v>1124</v>
      </c>
    </row>
    <row r="437" spans="1:6">
      <c r="A437" s="82" t="s">
        <v>1099</v>
      </c>
      <c r="B437" s="82" t="s">
        <v>1125</v>
      </c>
      <c r="C437" s="82" t="s">
        <v>1126</v>
      </c>
      <c r="F437" s="82" t="s">
        <v>243</v>
      </c>
    </row>
    <row r="438" spans="1:6">
      <c r="A438" s="82" t="s">
        <v>1099</v>
      </c>
      <c r="B438" s="82" t="s">
        <v>1127</v>
      </c>
      <c r="C438" s="82" t="s">
        <v>1128</v>
      </c>
      <c r="F438" s="82" t="s">
        <v>308</v>
      </c>
    </row>
    <row r="439" spans="1:6">
      <c r="A439" s="82" t="s">
        <v>1099</v>
      </c>
      <c r="B439" s="82" t="s">
        <v>1129</v>
      </c>
      <c r="C439" s="82" t="s">
        <v>1130</v>
      </c>
      <c r="F439" s="82" t="s">
        <v>1131</v>
      </c>
    </row>
    <row r="440" spans="1:6">
      <c r="A440" s="82" t="s">
        <v>1132</v>
      </c>
      <c r="B440" s="82" t="s">
        <v>1133</v>
      </c>
      <c r="C440" s="82" t="s">
        <v>546</v>
      </c>
      <c r="F440" s="82" t="s">
        <v>546</v>
      </c>
    </row>
    <row r="441" spans="1:6">
      <c r="A441" s="82" t="s">
        <v>1132</v>
      </c>
      <c r="B441" s="82" t="s">
        <v>1134</v>
      </c>
      <c r="C441" s="82" t="s">
        <v>128</v>
      </c>
      <c r="F441" s="82" t="s">
        <v>128</v>
      </c>
    </row>
    <row r="442" spans="1:6">
      <c r="A442" s="82" t="s">
        <v>1132</v>
      </c>
      <c r="B442" s="82" t="s">
        <v>1135</v>
      </c>
      <c r="C442" s="82" t="s">
        <v>140</v>
      </c>
      <c r="F442" s="82" t="s">
        <v>140</v>
      </c>
    </row>
    <row r="443" spans="1:6">
      <c r="A443" s="82" t="s">
        <v>1132</v>
      </c>
      <c r="B443" s="82" t="s">
        <v>1136</v>
      </c>
      <c r="C443" s="82" t="s">
        <v>133</v>
      </c>
      <c r="F443" s="82" t="s">
        <v>133</v>
      </c>
    </row>
    <row r="444" spans="1:6">
      <c r="A444" s="82" t="s">
        <v>1132</v>
      </c>
      <c r="B444" s="82" t="s">
        <v>1137</v>
      </c>
      <c r="C444" s="82" t="s">
        <v>134</v>
      </c>
      <c r="F444" s="82" t="s">
        <v>134</v>
      </c>
    </row>
    <row r="445" spans="1:6">
      <c r="A445" s="82" t="s">
        <v>1132</v>
      </c>
      <c r="B445" s="82" t="s">
        <v>1138</v>
      </c>
      <c r="C445" s="82" t="s">
        <v>135</v>
      </c>
      <c r="F445" s="82" t="s">
        <v>135</v>
      </c>
    </row>
    <row r="446" spans="1:6">
      <c r="A446" s="82" t="s">
        <v>1132</v>
      </c>
      <c r="B446" s="82" t="s">
        <v>1139</v>
      </c>
      <c r="C446" s="82" t="s">
        <v>136</v>
      </c>
      <c r="F446" s="82" t="s">
        <v>136</v>
      </c>
    </row>
    <row r="447" spans="1:6">
      <c r="A447" s="82" t="s">
        <v>1132</v>
      </c>
      <c r="B447" s="82" t="s">
        <v>1140</v>
      </c>
      <c r="C447" s="82" t="s">
        <v>137</v>
      </c>
      <c r="F447" s="82" t="s">
        <v>137</v>
      </c>
    </row>
    <row r="448" spans="1:6">
      <c r="A448" s="82" t="s">
        <v>1132</v>
      </c>
      <c r="B448" s="82" t="s">
        <v>1141</v>
      </c>
      <c r="C448" s="82" t="s">
        <v>143</v>
      </c>
      <c r="F448" s="82" t="s">
        <v>143</v>
      </c>
    </row>
    <row r="449" spans="1:7">
      <c r="A449" s="82" t="s">
        <v>1132</v>
      </c>
      <c r="B449" s="82" t="s">
        <v>1142</v>
      </c>
      <c r="C449" s="82" t="s">
        <v>141</v>
      </c>
      <c r="F449" s="82" t="s">
        <v>141</v>
      </c>
    </row>
    <row r="450" spans="1:7">
      <c r="A450" s="82" t="s">
        <v>1132</v>
      </c>
      <c r="B450" s="82" t="s">
        <v>1143</v>
      </c>
      <c r="C450" s="82" t="s">
        <v>142</v>
      </c>
      <c r="F450" s="82" t="s">
        <v>142</v>
      </c>
    </row>
    <row r="451" spans="1:7">
      <c r="A451" s="82" t="s">
        <v>1132</v>
      </c>
      <c r="B451" s="82" t="s">
        <v>1144</v>
      </c>
      <c r="F451" s="82">
        <v>0</v>
      </c>
    </row>
    <row r="452" spans="1:7">
      <c r="A452" s="82" t="s">
        <v>1132</v>
      </c>
      <c r="B452" s="82" t="s">
        <v>1145</v>
      </c>
      <c r="F452" s="82">
        <v>0</v>
      </c>
    </row>
    <row r="453" spans="1:7">
      <c r="A453" s="82" t="s">
        <v>1132</v>
      </c>
      <c r="B453" s="82" t="s">
        <v>1146</v>
      </c>
      <c r="F453" s="82">
        <v>0</v>
      </c>
    </row>
    <row r="454" spans="1:7">
      <c r="A454" s="82" t="s">
        <v>1132</v>
      </c>
      <c r="B454" s="82" t="s">
        <v>1147</v>
      </c>
      <c r="F454" s="82">
        <v>0</v>
      </c>
    </row>
    <row r="455" spans="1:7">
      <c r="A455" s="82" t="s">
        <v>1132</v>
      </c>
      <c r="B455" s="82" t="s">
        <v>1148</v>
      </c>
      <c r="F455" s="82">
        <v>0</v>
      </c>
    </row>
    <row r="456" spans="1:7">
      <c r="A456" s="82" t="s">
        <v>1132</v>
      </c>
      <c r="B456" s="82" t="s">
        <v>1149</v>
      </c>
      <c r="C456" s="82" t="s">
        <v>1150</v>
      </c>
      <c r="F456" s="82" t="s">
        <v>1150</v>
      </c>
    </row>
    <row r="457" spans="1:7">
      <c r="A457" s="82" t="s">
        <v>1063</v>
      </c>
      <c r="B457" s="82" t="s">
        <v>1151</v>
      </c>
      <c r="C457" s="82" t="s">
        <v>1152</v>
      </c>
      <c r="F457" s="82" t="s">
        <v>1153</v>
      </c>
    </row>
    <row r="458" spans="1:7">
      <c r="A458" s="82" t="s">
        <v>1063</v>
      </c>
      <c r="B458" s="82" t="s">
        <v>1154</v>
      </c>
      <c r="C458" s="82" t="s">
        <v>1155</v>
      </c>
      <c r="F458" s="82" t="s">
        <v>1156</v>
      </c>
    </row>
    <row r="459" spans="1:7">
      <c r="B459" s="82" t="s">
        <v>1157</v>
      </c>
      <c r="C459" s="82" t="s">
        <v>1158</v>
      </c>
      <c r="F459" s="82" t="s">
        <v>1159</v>
      </c>
    </row>
    <row r="460" spans="1:7">
      <c r="B460" s="82" t="s">
        <v>1160</v>
      </c>
      <c r="C460" s="82" t="s">
        <v>1161</v>
      </c>
      <c r="F460" s="82" t="s">
        <v>1162</v>
      </c>
    </row>
    <row r="461" spans="1:7">
      <c r="B461" s="82" t="s">
        <v>1163</v>
      </c>
      <c r="C461" s="82" t="s">
        <v>1164</v>
      </c>
      <c r="F461" s="82" t="s">
        <v>1165</v>
      </c>
    </row>
    <row r="462" spans="1:7">
      <c r="A462" s="82" t="s">
        <v>1166</v>
      </c>
      <c r="B462" s="82" t="s">
        <v>1167</v>
      </c>
      <c r="C462" s="82" t="s">
        <v>1168</v>
      </c>
      <c r="F462" s="82" t="s">
        <v>1169</v>
      </c>
    </row>
    <row r="463" spans="1:7">
      <c r="B463" s="82" t="s">
        <v>1170</v>
      </c>
      <c r="C463" s="82" t="s">
        <v>1170</v>
      </c>
      <c r="F463" s="82" t="s">
        <v>1171</v>
      </c>
    </row>
    <row r="464" spans="1:7">
      <c r="B464" s="82" t="s">
        <v>1172</v>
      </c>
      <c r="C464" s="82" t="s">
        <v>1173</v>
      </c>
      <c r="D464" s="82" t="s">
        <v>1176</v>
      </c>
      <c r="E464" s="82" t="s">
        <v>1177</v>
      </c>
      <c r="F464" s="82" t="s">
        <v>1174</v>
      </c>
      <c r="G464" s="82" t="s">
        <v>1175</v>
      </c>
    </row>
    <row r="465" spans="1:7">
      <c r="B465" s="82" t="s">
        <v>1178</v>
      </c>
      <c r="C465" s="82" t="s">
        <v>1179</v>
      </c>
      <c r="F465" s="82" t="s">
        <v>1180</v>
      </c>
    </row>
    <row r="466" spans="1:7">
      <c r="B466" s="82" t="s">
        <v>1181</v>
      </c>
      <c r="C466" s="82" t="s">
        <v>1182</v>
      </c>
      <c r="F466" s="82" t="s">
        <v>1183</v>
      </c>
    </row>
    <row r="467" spans="1:7">
      <c r="B467" s="82" t="s">
        <v>1184</v>
      </c>
      <c r="C467" s="82" t="s">
        <v>1184</v>
      </c>
      <c r="F467" s="82" t="s">
        <v>1185</v>
      </c>
    </row>
    <row r="468" spans="1:7">
      <c r="B468" s="82" t="s">
        <v>1186</v>
      </c>
      <c r="C468" s="82" t="s">
        <v>1186</v>
      </c>
      <c r="F468" s="82" t="s">
        <v>1187</v>
      </c>
    </row>
    <row r="469" spans="1:7">
      <c r="A469" s="82" t="s">
        <v>1188</v>
      </c>
      <c r="B469" s="82" t="s">
        <v>1189</v>
      </c>
      <c r="C469" s="82" t="s">
        <v>166</v>
      </c>
      <c r="F469" s="82" t="s">
        <v>167</v>
      </c>
    </row>
    <row r="470" spans="1:7">
      <c r="A470" s="82" t="s">
        <v>1188</v>
      </c>
      <c r="B470" s="82" t="s">
        <v>1190</v>
      </c>
      <c r="C470" s="82" t="s">
        <v>1191</v>
      </c>
      <c r="F470" s="82" t="s">
        <v>1192</v>
      </c>
    </row>
    <row r="471" spans="1:7">
      <c r="B471" s="82" t="s">
        <v>1193</v>
      </c>
      <c r="C471" s="82" t="s">
        <v>1193</v>
      </c>
      <c r="F471" s="82" t="s">
        <v>1194</v>
      </c>
    </row>
    <row r="472" spans="1:7">
      <c r="B472" s="82" t="s">
        <v>1195</v>
      </c>
      <c r="C472" s="82" t="s">
        <v>1195</v>
      </c>
      <c r="F472" s="82" t="s">
        <v>1196</v>
      </c>
    </row>
    <row r="473" spans="1:7">
      <c r="B473" s="82" t="s">
        <v>1197</v>
      </c>
      <c r="C473" s="82" t="s">
        <v>1197</v>
      </c>
      <c r="F473" s="82" t="s">
        <v>1198</v>
      </c>
    </row>
    <row r="474" spans="1:7">
      <c r="B474" s="82" t="s">
        <v>1199</v>
      </c>
      <c r="C474" s="82" t="s">
        <v>1199</v>
      </c>
      <c r="F474" s="82" t="s">
        <v>1200</v>
      </c>
    </row>
    <row r="475" spans="1:7">
      <c r="A475" s="82" t="s">
        <v>1063</v>
      </c>
      <c r="B475" s="82" t="s">
        <v>1201</v>
      </c>
      <c r="C475" s="82" t="s">
        <v>1202</v>
      </c>
      <c r="F475" s="82" t="s">
        <v>1203</v>
      </c>
    </row>
    <row r="476" spans="1:7">
      <c r="A476" s="82" t="s">
        <v>1063</v>
      </c>
      <c r="B476" s="82" t="s">
        <v>1204</v>
      </c>
      <c r="C476" s="82" t="s">
        <v>1205</v>
      </c>
      <c r="F476" s="82" t="s">
        <v>1206</v>
      </c>
    </row>
    <row r="477" spans="1:7">
      <c r="A477" s="82" t="s">
        <v>1063</v>
      </c>
      <c r="B477" s="82" t="s">
        <v>1207</v>
      </c>
      <c r="C477" s="82" t="s">
        <v>1208</v>
      </c>
      <c r="F477" s="82" t="s">
        <v>1209</v>
      </c>
    </row>
    <row r="478" spans="1:7">
      <c r="A478" s="82" t="s">
        <v>1210</v>
      </c>
      <c r="B478" s="82" t="s">
        <v>227</v>
      </c>
      <c r="C478" s="82" t="s">
        <v>227</v>
      </c>
      <c r="F478" s="82" t="s">
        <v>1211</v>
      </c>
    </row>
    <row r="479" spans="1:7">
      <c r="B479" s="82" t="s">
        <v>1212</v>
      </c>
      <c r="C479" s="82" t="s">
        <v>1213</v>
      </c>
      <c r="D479" s="82" t="s">
        <v>1216</v>
      </c>
      <c r="E479" s="82" t="s">
        <v>1217</v>
      </c>
      <c r="F479" s="82" t="s">
        <v>1214</v>
      </c>
      <c r="G479" s="82" t="s">
        <v>1215</v>
      </c>
    </row>
    <row r="480" spans="1:7">
      <c r="B480" s="82" t="s">
        <v>1218</v>
      </c>
      <c r="C480" s="82" t="s">
        <v>1218</v>
      </c>
      <c r="D480" s="82" t="s">
        <v>1221</v>
      </c>
      <c r="E480" s="82" t="s">
        <v>1221</v>
      </c>
      <c r="F480" s="82" t="s">
        <v>1219</v>
      </c>
      <c r="G480" s="82" t="s">
        <v>1220</v>
      </c>
    </row>
    <row r="481" spans="2:7">
      <c r="B481" s="82" t="s">
        <v>1222</v>
      </c>
      <c r="C481" s="82" t="s">
        <v>1222</v>
      </c>
      <c r="D481" s="82" t="s">
        <v>1225</v>
      </c>
      <c r="E481" s="82" t="s">
        <v>1226</v>
      </c>
      <c r="F481" s="82" t="s">
        <v>1223</v>
      </c>
      <c r="G481" s="82" t="s">
        <v>1224</v>
      </c>
    </row>
    <row r="482" spans="2:7">
      <c r="B482" s="82" t="s">
        <v>1227</v>
      </c>
      <c r="C482" s="82" t="s">
        <v>1227</v>
      </c>
      <c r="D482" s="82" t="s">
        <v>1230</v>
      </c>
      <c r="E482" s="82" t="s">
        <v>1230</v>
      </c>
      <c r="F482" s="82" t="s">
        <v>1228</v>
      </c>
      <c r="G482" s="82" t="s">
        <v>1229</v>
      </c>
    </row>
    <row r="483" spans="2:7">
      <c r="B483" s="82" t="s">
        <v>1231</v>
      </c>
      <c r="C483" s="82" t="s">
        <v>1231</v>
      </c>
      <c r="D483" s="82" t="s">
        <v>1234</v>
      </c>
      <c r="E483" s="82" t="s">
        <v>1234</v>
      </c>
      <c r="F483" s="82" t="s">
        <v>1232</v>
      </c>
      <c r="G483" s="82" t="s">
        <v>1233</v>
      </c>
    </row>
    <row r="484" spans="2:7">
      <c r="B484" s="82" t="s">
        <v>1235</v>
      </c>
      <c r="C484" s="82" t="s">
        <v>1235</v>
      </c>
      <c r="D484" s="82" t="s">
        <v>1238</v>
      </c>
      <c r="E484" s="82" t="s">
        <v>1239</v>
      </c>
      <c r="F484" s="82" t="s">
        <v>1236</v>
      </c>
      <c r="G484" s="82" t="s">
        <v>1237</v>
      </c>
    </row>
    <row r="485" spans="2:7">
      <c r="B485" s="82" t="s">
        <v>1240</v>
      </c>
      <c r="C485" s="82" t="s">
        <v>1240</v>
      </c>
      <c r="D485" s="82" t="s">
        <v>1243</v>
      </c>
      <c r="E485" s="82" t="s">
        <v>1243</v>
      </c>
      <c r="F485" s="82" t="s">
        <v>1241</v>
      </c>
      <c r="G485" s="82" t="s">
        <v>1242</v>
      </c>
    </row>
    <row r="486" spans="2:7">
      <c r="B486" s="82" t="s">
        <v>1244</v>
      </c>
      <c r="C486" s="82" t="s">
        <v>1245</v>
      </c>
      <c r="D486" s="82" t="s">
        <v>1248</v>
      </c>
      <c r="E486" s="82" t="s">
        <v>1249</v>
      </c>
      <c r="F486" s="82" t="s">
        <v>1246</v>
      </c>
      <c r="G486" s="82" t="s">
        <v>1247</v>
      </c>
    </row>
    <row r="487" spans="2:7">
      <c r="B487" s="82" t="s">
        <v>1250</v>
      </c>
      <c r="C487" s="82" t="s">
        <v>1250</v>
      </c>
      <c r="D487" s="82" t="s">
        <v>1253</v>
      </c>
      <c r="E487" s="82" t="s">
        <v>1253</v>
      </c>
      <c r="F487" s="82" t="s">
        <v>1251</v>
      </c>
      <c r="G487" s="82" t="s">
        <v>1252</v>
      </c>
    </row>
    <row r="488" spans="2:7">
      <c r="B488" s="82" t="s">
        <v>1254</v>
      </c>
      <c r="C488" s="82" t="s">
        <v>1254</v>
      </c>
      <c r="D488" s="82" t="s">
        <v>1257</v>
      </c>
      <c r="E488" s="82" t="s">
        <v>1255</v>
      </c>
      <c r="F488" s="82" t="s">
        <v>1255</v>
      </c>
      <c r="G488" s="82" t="s">
        <v>1256</v>
      </c>
    </row>
    <row r="489" spans="2:7">
      <c r="B489" s="82" t="s">
        <v>1258</v>
      </c>
      <c r="C489" s="82" t="s">
        <v>1258</v>
      </c>
      <c r="D489" s="82" t="s">
        <v>1261</v>
      </c>
      <c r="E489" s="82" t="s">
        <v>1259</v>
      </c>
      <c r="F489" s="82" t="s">
        <v>1259</v>
      </c>
      <c r="G489" s="82" t="s">
        <v>1260</v>
      </c>
    </row>
    <row r="490" spans="2:7">
      <c r="B490" s="82" t="s">
        <v>1262</v>
      </c>
      <c r="C490" s="82" t="s">
        <v>1262</v>
      </c>
      <c r="D490" s="82" t="s">
        <v>1265</v>
      </c>
      <c r="E490" s="82" t="s">
        <v>1266</v>
      </c>
      <c r="F490" s="82" t="s">
        <v>1263</v>
      </c>
      <c r="G490" s="82" t="s">
        <v>1264</v>
      </c>
    </row>
    <row r="491" spans="2:7">
      <c r="B491" s="82" t="s">
        <v>1267</v>
      </c>
      <c r="C491" s="82" t="s">
        <v>1267</v>
      </c>
      <c r="D491" s="82" t="s">
        <v>1270</v>
      </c>
      <c r="E491" s="82" t="s">
        <v>1271</v>
      </c>
      <c r="F491" s="82" t="s">
        <v>1268</v>
      </c>
      <c r="G491" s="82" t="s">
        <v>1269</v>
      </c>
    </row>
    <row r="492" spans="2:7">
      <c r="B492" s="82" t="s">
        <v>1272</v>
      </c>
      <c r="C492" s="82" t="s">
        <v>1272</v>
      </c>
      <c r="D492" s="82" t="s">
        <v>1275</v>
      </c>
      <c r="E492" s="82" t="s">
        <v>1276</v>
      </c>
      <c r="F492" s="82" t="s">
        <v>1273</v>
      </c>
      <c r="G492" s="82" t="s">
        <v>1274</v>
      </c>
    </row>
    <row r="493" spans="2:7">
      <c r="B493" s="82" t="s">
        <v>1277</v>
      </c>
      <c r="C493" s="82" t="s">
        <v>1277</v>
      </c>
      <c r="D493" s="82" t="s">
        <v>1280</v>
      </c>
      <c r="E493" s="82" t="s">
        <v>1281</v>
      </c>
      <c r="F493" s="82" t="s">
        <v>1278</v>
      </c>
      <c r="G493" s="82" t="s">
        <v>1279</v>
      </c>
    </row>
    <row r="494" spans="2:7">
      <c r="B494" s="82" t="s">
        <v>1282</v>
      </c>
      <c r="C494" s="82" t="s">
        <v>1282</v>
      </c>
      <c r="D494" s="82" t="s">
        <v>1285</v>
      </c>
      <c r="E494" s="82" t="s">
        <v>1286</v>
      </c>
      <c r="F494" s="82" t="s">
        <v>1283</v>
      </c>
      <c r="G494" s="82" t="s">
        <v>1284</v>
      </c>
    </row>
    <row r="495" spans="2:7">
      <c r="B495" s="82" t="s">
        <v>1287</v>
      </c>
      <c r="C495" s="82" t="s">
        <v>1287</v>
      </c>
      <c r="D495" s="82" t="s">
        <v>1288</v>
      </c>
      <c r="E495" s="82" t="s">
        <v>1290</v>
      </c>
      <c r="F495" s="82" t="s">
        <v>1288</v>
      </c>
      <c r="G495" s="82" t="s">
        <v>1289</v>
      </c>
    </row>
    <row r="496" spans="2:7">
      <c r="B496" s="82" t="s">
        <v>1291</v>
      </c>
      <c r="C496" s="82" t="s">
        <v>1291</v>
      </c>
      <c r="D496" s="82" t="s">
        <v>1292</v>
      </c>
      <c r="E496" s="82" t="s">
        <v>1292</v>
      </c>
      <c r="F496" s="82" t="s">
        <v>1292</v>
      </c>
      <c r="G496" s="82" t="s">
        <v>1293</v>
      </c>
    </row>
    <row r="497" spans="2:7">
      <c r="B497" s="82" t="s">
        <v>1294</v>
      </c>
      <c r="C497" s="82" t="s">
        <v>1294</v>
      </c>
      <c r="D497" s="82" t="s">
        <v>1297</v>
      </c>
      <c r="E497" s="82" t="s">
        <v>1297</v>
      </c>
      <c r="F497" s="82" t="s">
        <v>1295</v>
      </c>
      <c r="G497" s="82" t="s">
        <v>1296</v>
      </c>
    </row>
    <row r="498" spans="2:7">
      <c r="B498" s="82" t="s">
        <v>1298</v>
      </c>
      <c r="C498" s="82" t="s">
        <v>1298</v>
      </c>
      <c r="D498" s="82" t="s">
        <v>1301</v>
      </c>
      <c r="E498" s="82" t="s">
        <v>1301</v>
      </c>
      <c r="F498" s="82" t="s">
        <v>1299</v>
      </c>
      <c r="G498" s="82" t="s">
        <v>1300</v>
      </c>
    </row>
    <row r="499" spans="2:7">
      <c r="B499" s="82" t="s">
        <v>1302</v>
      </c>
      <c r="C499" s="82" t="s">
        <v>1302</v>
      </c>
      <c r="D499" s="82" t="s">
        <v>1305</v>
      </c>
      <c r="E499" s="82" t="s">
        <v>1306</v>
      </c>
      <c r="F499" s="82" t="s">
        <v>1303</v>
      </c>
      <c r="G499" s="82" t="s">
        <v>1304</v>
      </c>
    </row>
    <row r="500" spans="2:7">
      <c r="B500" s="82" t="s">
        <v>1307</v>
      </c>
      <c r="C500" s="82" t="s">
        <v>1307</v>
      </c>
      <c r="D500" s="82" t="s">
        <v>1309</v>
      </c>
      <c r="E500" s="82" t="s">
        <v>1310</v>
      </c>
      <c r="F500" s="82" t="s">
        <v>1307</v>
      </c>
      <c r="G500" s="82" t="s">
        <v>1308</v>
      </c>
    </row>
    <row r="501" spans="2:7">
      <c r="B501" s="82" t="s">
        <v>1311</v>
      </c>
      <c r="C501" s="82" t="s">
        <v>1311</v>
      </c>
      <c r="D501" s="82" t="s">
        <v>1313</v>
      </c>
      <c r="E501" s="82" t="s">
        <v>1314</v>
      </c>
      <c r="F501" s="82" t="s">
        <v>1311</v>
      </c>
      <c r="G501" s="82" t="s">
        <v>1312</v>
      </c>
    </row>
    <row r="502" spans="2:7">
      <c r="B502" s="82" t="s">
        <v>1315</v>
      </c>
      <c r="C502" s="82" t="s">
        <v>1315</v>
      </c>
      <c r="D502" s="82" t="s">
        <v>1318</v>
      </c>
      <c r="E502" s="82" t="s">
        <v>1319</v>
      </c>
      <c r="F502" s="82" t="s">
        <v>1316</v>
      </c>
      <c r="G502" s="82" t="s">
        <v>1317</v>
      </c>
    </row>
    <row r="503" spans="2:7">
      <c r="B503" s="82" t="s">
        <v>1320</v>
      </c>
      <c r="C503" s="82" t="s">
        <v>1320</v>
      </c>
      <c r="D503" s="82" t="s">
        <v>1323</v>
      </c>
      <c r="E503" s="82" t="s">
        <v>1324</v>
      </c>
      <c r="F503" s="82" t="s">
        <v>1321</v>
      </c>
      <c r="G503" s="82" t="s">
        <v>1322</v>
      </c>
    </row>
    <row r="504" spans="2:7">
      <c r="B504" s="82" t="s">
        <v>1325</v>
      </c>
      <c r="C504" s="82" t="s">
        <v>1325</v>
      </c>
      <c r="D504" s="82" t="s">
        <v>1328</v>
      </c>
      <c r="E504" s="82" t="s">
        <v>1329</v>
      </c>
      <c r="F504" s="82" t="s">
        <v>1326</v>
      </c>
      <c r="G504" s="82" t="s">
        <v>1327</v>
      </c>
    </row>
    <row r="505" spans="2:7">
      <c r="B505" s="82" t="s">
        <v>1330</v>
      </c>
      <c r="C505" s="82" t="s">
        <v>1330</v>
      </c>
      <c r="D505" s="82" t="s">
        <v>1333</v>
      </c>
      <c r="E505" s="82" t="s">
        <v>1333</v>
      </c>
      <c r="F505" s="82" t="s">
        <v>1331</v>
      </c>
      <c r="G505" s="82" t="s">
        <v>1332</v>
      </c>
    </row>
    <row r="506" spans="2:7">
      <c r="B506" s="82" t="s">
        <v>1334</v>
      </c>
      <c r="C506" s="82" t="s">
        <v>1334</v>
      </c>
      <c r="D506" s="82" t="s">
        <v>1337</v>
      </c>
      <c r="E506" s="82" t="s">
        <v>1337</v>
      </c>
      <c r="F506" s="82" t="s">
        <v>1335</v>
      </c>
      <c r="G506" s="82" t="s">
        <v>1336</v>
      </c>
    </row>
    <row r="507" spans="2:7">
      <c r="B507" s="82" t="s">
        <v>1338</v>
      </c>
      <c r="C507" s="82" t="s">
        <v>1338</v>
      </c>
      <c r="D507" s="82" t="s">
        <v>1341</v>
      </c>
      <c r="E507" s="82" t="s">
        <v>1342</v>
      </c>
      <c r="F507" s="82" t="s">
        <v>1339</v>
      </c>
      <c r="G507" s="82" t="s">
        <v>1340</v>
      </c>
    </row>
    <row r="508" spans="2:7">
      <c r="B508" s="82" t="s">
        <v>1343</v>
      </c>
      <c r="C508" s="82" t="s">
        <v>1343</v>
      </c>
      <c r="D508" s="82" t="s">
        <v>1341</v>
      </c>
      <c r="E508" s="82" t="s">
        <v>1342</v>
      </c>
      <c r="F508" s="82" t="s">
        <v>1339</v>
      </c>
      <c r="G508" s="82" t="s">
        <v>1340</v>
      </c>
    </row>
    <row r="509" spans="2:7">
      <c r="B509" s="82" t="s">
        <v>1344</v>
      </c>
      <c r="C509" s="82" t="s">
        <v>1344</v>
      </c>
      <c r="D509" s="82" t="s">
        <v>1347</v>
      </c>
      <c r="E509" s="82" t="s">
        <v>1347</v>
      </c>
      <c r="F509" s="82" t="s">
        <v>1345</v>
      </c>
      <c r="G509" s="82" t="s">
        <v>1346</v>
      </c>
    </row>
    <row r="510" spans="2:7">
      <c r="B510" s="82" t="s">
        <v>1348</v>
      </c>
      <c r="C510" s="82" t="s">
        <v>1348</v>
      </c>
      <c r="D510" s="82" t="s">
        <v>1351</v>
      </c>
      <c r="E510" s="82" t="s">
        <v>1352</v>
      </c>
      <c r="F510" s="82" t="s">
        <v>1349</v>
      </c>
      <c r="G510" s="82" t="s">
        <v>1350</v>
      </c>
    </row>
    <row r="511" spans="2:7">
      <c r="B511" s="82" t="s">
        <v>1353</v>
      </c>
      <c r="C511" s="82" t="s">
        <v>1353</v>
      </c>
      <c r="D511" s="82" t="s">
        <v>1356</v>
      </c>
      <c r="E511" s="82" t="s">
        <v>1357</v>
      </c>
      <c r="F511" s="82" t="s">
        <v>1354</v>
      </c>
      <c r="G511" s="82" t="s">
        <v>1355</v>
      </c>
    </row>
    <row r="512" spans="2:7">
      <c r="B512" s="82" t="s">
        <v>1358</v>
      </c>
      <c r="C512" s="82" t="s">
        <v>1358</v>
      </c>
      <c r="D512" s="82" t="s">
        <v>1361</v>
      </c>
      <c r="E512" s="82" t="s">
        <v>1362</v>
      </c>
      <c r="F512" s="82" t="s">
        <v>1359</v>
      </c>
      <c r="G512" s="82" t="s">
        <v>1360</v>
      </c>
    </row>
    <row r="513" spans="2:7">
      <c r="B513" s="82" t="s">
        <v>1363</v>
      </c>
      <c r="C513" s="82" t="s">
        <v>1363</v>
      </c>
      <c r="D513" s="82" t="s">
        <v>1366</v>
      </c>
      <c r="E513" s="82" t="s">
        <v>1366</v>
      </c>
      <c r="F513" s="82" t="s">
        <v>1364</v>
      </c>
      <c r="G513" s="82" t="s">
        <v>1365</v>
      </c>
    </row>
    <row r="514" spans="2:7">
      <c r="B514" s="82" t="s">
        <v>1367</v>
      </c>
      <c r="C514" s="82" t="s">
        <v>1367</v>
      </c>
      <c r="D514" s="82" t="s">
        <v>1370</v>
      </c>
      <c r="E514" s="82" t="s">
        <v>1371</v>
      </c>
      <c r="F514" s="82" t="s">
        <v>1368</v>
      </c>
      <c r="G514" s="82" t="s">
        <v>1369</v>
      </c>
    </row>
    <row r="515" spans="2:7">
      <c r="B515" s="82" t="s">
        <v>1372</v>
      </c>
      <c r="C515" s="82" t="s">
        <v>1373</v>
      </c>
      <c r="D515" s="82" t="s">
        <v>1376</v>
      </c>
      <c r="E515" s="82" t="s">
        <v>1377</v>
      </c>
      <c r="F515" s="82" t="s">
        <v>1374</v>
      </c>
      <c r="G515" s="82" t="s">
        <v>1375</v>
      </c>
    </row>
    <row r="516" spans="2:7">
      <c r="B516" s="82" t="s">
        <v>1378</v>
      </c>
      <c r="C516" s="82" t="s">
        <v>1378</v>
      </c>
      <c r="D516" s="82" t="s">
        <v>1381</v>
      </c>
      <c r="E516" s="82" t="s">
        <v>1382</v>
      </c>
      <c r="F516" s="82" t="s">
        <v>1379</v>
      </c>
      <c r="G516" s="82" t="s">
        <v>1380</v>
      </c>
    </row>
    <row r="517" spans="2:7">
      <c r="B517" s="82" t="s">
        <v>1383</v>
      </c>
      <c r="C517" s="82" t="s">
        <v>1383</v>
      </c>
      <c r="D517" s="82" t="s">
        <v>1386</v>
      </c>
      <c r="E517" s="82" t="s">
        <v>1387</v>
      </c>
      <c r="F517" s="82" t="s">
        <v>1384</v>
      </c>
      <c r="G517" s="82" t="s">
        <v>1385</v>
      </c>
    </row>
    <row r="518" spans="2:7">
      <c r="B518" s="82" t="s">
        <v>1388</v>
      </c>
      <c r="C518" s="82" t="s">
        <v>1388</v>
      </c>
      <c r="D518" s="82" t="s">
        <v>1391</v>
      </c>
      <c r="E518" s="82" t="s">
        <v>1392</v>
      </c>
      <c r="F518" s="82" t="s">
        <v>1389</v>
      </c>
      <c r="G518" s="82" t="s">
        <v>1390</v>
      </c>
    </row>
    <row r="519" spans="2:7">
      <c r="B519" s="82" t="s">
        <v>1393</v>
      </c>
      <c r="C519" s="82" t="s">
        <v>1394</v>
      </c>
      <c r="D519" s="82" t="s">
        <v>1397</v>
      </c>
      <c r="E519" s="82" t="s">
        <v>1398</v>
      </c>
      <c r="F519" s="82" t="s">
        <v>1395</v>
      </c>
      <c r="G519" s="82" t="s">
        <v>1396</v>
      </c>
    </row>
    <row r="520" spans="2:7">
      <c r="B520" s="82" t="s">
        <v>1399</v>
      </c>
      <c r="C520" s="82" t="s">
        <v>1358</v>
      </c>
      <c r="D520" s="82" t="s">
        <v>1402</v>
      </c>
      <c r="E520" s="82" t="s">
        <v>1403</v>
      </c>
      <c r="F520" s="82" t="s">
        <v>1400</v>
      </c>
      <c r="G520" s="82" t="s">
        <v>1401</v>
      </c>
    </row>
    <row r="521" spans="2:7">
      <c r="B521" s="82" t="s">
        <v>1404</v>
      </c>
      <c r="C521" s="82" t="s">
        <v>1363</v>
      </c>
      <c r="D521" s="82" t="s">
        <v>1407</v>
      </c>
      <c r="E521" s="82" t="s">
        <v>1408</v>
      </c>
      <c r="F521" s="82" t="s">
        <v>1405</v>
      </c>
      <c r="G521" s="82" t="s">
        <v>1406</v>
      </c>
    </row>
    <row r="522" spans="2:7">
      <c r="B522" s="82" t="s">
        <v>1409</v>
      </c>
      <c r="C522" s="82" t="s">
        <v>1409</v>
      </c>
      <c r="D522" s="82" t="s">
        <v>1412</v>
      </c>
      <c r="E522" s="82" t="s">
        <v>1413</v>
      </c>
      <c r="F522" s="82" t="s">
        <v>1410</v>
      </c>
      <c r="G522" s="82" t="s">
        <v>1411</v>
      </c>
    </row>
    <row r="523" spans="2:7">
      <c r="B523" s="82" t="s">
        <v>1414</v>
      </c>
      <c r="C523" s="82" t="s">
        <v>1414</v>
      </c>
      <c r="D523" s="82" t="s">
        <v>1417</v>
      </c>
      <c r="E523" s="82" t="s">
        <v>1418</v>
      </c>
      <c r="F523" s="82" t="s">
        <v>1415</v>
      </c>
      <c r="G523" s="82" t="s">
        <v>1416</v>
      </c>
    </row>
    <row r="524" spans="2:7">
      <c r="B524" s="82" t="s">
        <v>1419</v>
      </c>
      <c r="C524" s="82" t="s">
        <v>1419</v>
      </c>
      <c r="D524" s="82" t="s">
        <v>1422</v>
      </c>
      <c r="E524" s="82" t="s">
        <v>1423</v>
      </c>
      <c r="F524" s="82" t="s">
        <v>1420</v>
      </c>
      <c r="G524" s="82" t="s">
        <v>1421</v>
      </c>
    </row>
    <row r="525" spans="2:7">
      <c r="B525" s="82" t="s">
        <v>1424</v>
      </c>
      <c r="C525" s="82" t="s">
        <v>1424</v>
      </c>
      <c r="D525" s="82" t="s">
        <v>1427</v>
      </c>
      <c r="E525" s="82" t="s">
        <v>1428</v>
      </c>
      <c r="F525" s="82" t="s">
        <v>1425</v>
      </c>
      <c r="G525" s="82" t="s">
        <v>1426</v>
      </c>
    </row>
    <row r="526" spans="2:7">
      <c r="B526" s="82" t="s">
        <v>1429</v>
      </c>
      <c r="C526" s="82" t="s">
        <v>1430</v>
      </c>
      <c r="D526" s="82" t="s">
        <v>1433</v>
      </c>
      <c r="E526" s="82" t="s">
        <v>1434</v>
      </c>
      <c r="F526" s="82" t="s">
        <v>1431</v>
      </c>
      <c r="G526" s="82" t="s">
        <v>1432</v>
      </c>
    </row>
    <row r="527" spans="2:7">
      <c r="B527" s="82" t="s">
        <v>1435</v>
      </c>
      <c r="C527" s="82" t="s">
        <v>1435</v>
      </c>
      <c r="D527" s="82" t="s">
        <v>1438</v>
      </c>
      <c r="E527" s="82" t="s">
        <v>1439</v>
      </c>
      <c r="F527" s="82" t="s">
        <v>1436</v>
      </c>
      <c r="G527" s="82" t="s">
        <v>1437</v>
      </c>
    </row>
    <row r="528" spans="2:7">
      <c r="B528" s="82" t="s">
        <v>1440</v>
      </c>
      <c r="C528" s="82" t="s">
        <v>1440</v>
      </c>
      <c r="D528" s="82" t="s">
        <v>1443</v>
      </c>
      <c r="E528" s="82" t="s">
        <v>1444</v>
      </c>
      <c r="F528" s="82" t="s">
        <v>1441</v>
      </c>
      <c r="G528" s="82" t="s">
        <v>1442</v>
      </c>
    </row>
    <row r="529" spans="2:7">
      <c r="B529" s="82" t="s">
        <v>1445</v>
      </c>
      <c r="C529" s="82" t="s">
        <v>1445</v>
      </c>
      <c r="D529" s="82" t="s">
        <v>1448</v>
      </c>
      <c r="E529" s="82" t="s">
        <v>1449</v>
      </c>
      <c r="F529" s="82" t="s">
        <v>1446</v>
      </c>
      <c r="G529" s="82" t="s">
        <v>1447</v>
      </c>
    </row>
    <row r="530" spans="2:7">
      <c r="B530" s="82" t="s">
        <v>1450</v>
      </c>
      <c r="C530" s="82" t="s">
        <v>1450</v>
      </c>
      <c r="D530" s="82" t="s">
        <v>1453</v>
      </c>
      <c r="E530" s="84" t="s">
        <v>1454</v>
      </c>
      <c r="F530" s="82" t="s">
        <v>1451</v>
      </c>
      <c r="G530" s="82" t="s">
        <v>1452</v>
      </c>
    </row>
    <row r="531" spans="2:7">
      <c r="B531" s="82" t="s">
        <v>1455</v>
      </c>
      <c r="C531" s="82" t="s">
        <v>1455</v>
      </c>
      <c r="D531" s="82" t="s">
        <v>1458</v>
      </c>
      <c r="E531" s="82" t="s">
        <v>1459</v>
      </c>
      <c r="F531" s="82" t="s">
        <v>1456</v>
      </c>
      <c r="G531" s="82" t="s">
        <v>1457</v>
      </c>
    </row>
    <row r="532" spans="2:7">
      <c r="B532" s="82" t="s">
        <v>1460</v>
      </c>
      <c r="C532" s="82" t="s">
        <v>1460</v>
      </c>
      <c r="D532" s="82" t="s">
        <v>1462</v>
      </c>
      <c r="E532" s="82" t="s">
        <v>1462</v>
      </c>
      <c r="F532" s="82" t="s">
        <v>1345</v>
      </c>
      <c r="G532" s="82" t="s">
        <v>1461</v>
      </c>
    </row>
    <row r="533" spans="2:7">
      <c r="B533" s="82" t="s">
        <v>1463</v>
      </c>
      <c r="C533" s="82" t="s">
        <v>1463</v>
      </c>
      <c r="D533" s="82" t="s">
        <v>1465</v>
      </c>
      <c r="E533" s="82" t="s">
        <v>1466</v>
      </c>
      <c r="F533" s="82" t="s">
        <v>1464</v>
      </c>
      <c r="G533" s="82" t="s">
        <v>1463</v>
      </c>
    </row>
    <row r="534" spans="2:7">
      <c r="B534" s="82" t="s">
        <v>1467</v>
      </c>
      <c r="C534" s="82" t="s">
        <v>1467</v>
      </c>
      <c r="D534" s="82" t="s">
        <v>1470</v>
      </c>
      <c r="E534" s="82" t="s">
        <v>1471</v>
      </c>
      <c r="F534" s="82" t="s">
        <v>1468</v>
      </c>
      <c r="G534" s="82" t="s">
        <v>1469</v>
      </c>
    </row>
    <row r="535" spans="2:7">
      <c r="B535" s="82" t="s">
        <v>1472</v>
      </c>
      <c r="C535" s="82" t="s">
        <v>1472</v>
      </c>
      <c r="D535" s="82" t="s">
        <v>1475</v>
      </c>
      <c r="E535" s="85" t="s">
        <v>1476</v>
      </c>
      <c r="F535" s="82" t="s">
        <v>1473</v>
      </c>
      <c r="G535" s="82" t="s">
        <v>1474</v>
      </c>
    </row>
    <row r="536" spans="2:7">
      <c r="B536" s="82" t="s">
        <v>1477</v>
      </c>
      <c r="C536" s="82" t="s">
        <v>1477</v>
      </c>
      <c r="D536" s="82" t="s">
        <v>1480</v>
      </c>
      <c r="E536" s="86" t="s">
        <v>1480</v>
      </c>
      <c r="F536" s="82" t="s">
        <v>1478</v>
      </c>
      <c r="G536" s="82" t="s">
        <v>1479</v>
      </c>
    </row>
    <row r="537" spans="2:7">
      <c r="B537" s="82" t="s">
        <v>1481</v>
      </c>
      <c r="C537" s="82" t="s">
        <v>1481</v>
      </c>
      <c r="D537" s="82" t="s">
        <v>1484</v>
      </c>
      <c r="E537" s="86" t="s">
        <v>1484</v>
      </c>
      <c r="F537" s="82" t="s">
        <v>1482</v>
      </c>
      <c r="G537" s="82" t="s">
        <v>1483</v>
      </c>
    </row>
    <row r="538" spans="2:7">
      <c r="B538" s="82" t="s">
        <v>1485</v>
      </c>
      <c r="C538" s="82" t="s">
        <v>1485</v>
      </c>
      <c r="D538" s="82" t="s">
        <v>1488</v>
      </c>
      <c r="E538" s="86" t="s">
        <v>1488</v>
      </c>
      <c r="F538" s="82" t="s">
        <v>1486</v>
      </c>
      <c r="G538" s="82" t="s">
        <v>1487</v>
      </c>
    </row>
    <row r="539" spans="2:7">
      <c r="B539" s="82" t="s">
        <v>1489</v>
      </c>
      <c r="C539" s="82" t="s">
        <v>1489</v>
      </c>
      <c r="D539" s="82" t="s">
        <v>1492</v>
      </c>
      <c r="E539" s="86" t="s">
        <v>1493</v>
      </c>
      <c r="F539" s="82" t="s">
        <v>1490</v>
      </c>
      <c r="G539" s="82" t="s">
        <v>1491</v>
      </c>
    </row>
    <row r="540" spans="2:7">
      <c r="B540" s="82" t="s">
        <v>1494</v>
      </c>
      <c r="C540" s="82" t="s">
        <v>1494</v>
      </c>
      <c r="D540" s="82" t="s">
        <v>1497</v>
      </c>
      <c r="E540" s="86" t="s">
        <v>1498</v>
      </c>
      <c r="F540" s="82" t="s">
        <v>1495</v>
      </c>
      <c r="G540" s="82" t="s">
        <v>1496</v>
      </c>
    </row>
    <row r="541" spans="2:7">
      <c r="B541" s="82" t="s">
        <v>1499</v>
      </c>
      <c r="C541" s="82" t="s">
        <v>1499</v>
      </c>
      <c r="D541" s="82" t="s">
        <v>1502</v>
      </c>
      <c r="E541" s="86" t="s">
        <v>1503</v>
      </c>
      <c r="F541" s="82" t="s">
        <v>1500</v>
      </c>
      <c r="G541" s="82" t="s">
        <v>1501</v>
      </c>
    </row>
    <row r="542" spans="2:7">
      <c r="B542" s="82" t="s">
        <v>1504</v>
      </c>
      <c r="C542" s="82" t="s">
        <v>1504</v>
      </c>
      <c r="D542" s="82" t="s">
        <v>1507</v>
      </c>
      <c r="E542" s="86" t="s">
        <v>1508</v>
      </c>
      <c r="F542" s="82" t="s">
        <v>1505</v>
      </c>
      <c r="G542" s="82" t="s">
        <v>1506</v>
      </c>
    </row>
    <row r="543" spans="2:7">
      <c r="B543" s="82" t="s">
        <v>1509</v>
      </c>
      <c r="C543" s="82" t="s">
        <v>1509</v>
      </c>
      <c r="D543" s="82" t="s">
        <v>1512</v>
      </c>
      <c r="E543" s="86" t="s">
        <v>1513</v>
      </c>
      <c r="F543" s="82" t="s">
        <v>1510</v>
      </c>
      <c r="G543" s="82" t="s">
        <v>1511</v>
      </c>
    </row>
    <row r="544" spans="2:7">
      <c r="B544" s="82" t="s">
        <v>1514</v>
      </c>
      <c r="C544" s="82" t="s">
        <v>1514</v>
      </c>
      <c r="D544" s="82" t="s">
        <v>1517</v>
      </c>
      <c r="E544" s="86" t="s">
        <v>1518</v>
      </c>
      <c r="F544" s="82" t="s">
        <v>1515</v>
      </c>
      <c r="G544" s="82" t="s">
        <v>1516</v>
      </c>
    </row>
    <row r="545" spans="2:7">
      <c r="B545" s="82" t="s">
        <v>1519</v>
      </c>
      <c r="C545" s="82" t="s">
        <v>1519</v>
      </c>
      <c r="D545" s="82" t="s">
        <v>1522</v>
      </c>
      <c r="E545" s="86" t="s">
        <v>1523</v>
      </c>
      <c r="F545" s="82" t="s">
        <v>1520</v>
      </c>
      <c r="G545" s="82" t="s">
        <v>1521</v>
      </c>
    </row>
    <row r="546" spans="2:7">
      <c r="B546" s="82" t="s">
        <v>1524</v>
      </c>
      <c r="C546" s="82" t="s">
        <v>1524</v>
      </c>
      <c r="D546" s="82" t="s">
        <v>1527</v>
      </c>
      <c r="E546" s="86" t="s">
        <v>1528</v>
      </c>
      <c r="F546" s="82" t="s">
        <v>1525</v>
      </c>
      <c r="G546" s="82" t="s">
        <v>1526</v>
      </c>
    </row>
    <row r="547" spans="2:7">
      <c r="B547" s="82" t="s">
        <v>1529</v>
      </c>
      <c r="C547" s="82" t="s">
        <v>1529</v>
      </c>
      <c r="D547" s="82" t="s">
        <v>1532</v>
      </c>
      <c r="E547" s="86" t="s">
        <v>1533</v>
      </c>
      <c r="F547" s="82" t="s">
        <v>1530</v>
      </c>
      <c r="G547" s="82" t="s">
        <v>1531</v>
      </c>
    </row>
    <row r="548" spans="2:7">
      <c r="B548" s="82" t="s">
        <v>1534</v>
      </c>
      <c r="C548" s="82" t="s">
        <v>1535</v>
      </c>
      <c r="D548" s="82" t="s">
        <v>1538</v>
      </c>
      <c r="E548" s="87" t="s">
        <v>1539</v>
      </c>
      <c r="F548" s="82" t="s">
        <v>1536</v>
      </c>
      <c r="G548" s="82" t="s">
        <v>1537</v>
      </c>
    </row>
    <row r="549" spans="2:7">
      <c r="B549" s="82" t="s">
        <v>1540</v>
      </c>
      <c r="C549" s="82" t="s">
        <v>1540</v>
      </c>
      <c r="D549" s="82" t="s">
        <v>1543</v>
      </c>
      <c r="E549" s="87" t="s">
        <v>1544</v>
      </c>
      <c r="F549" s="82" t="s">
        <v>1541</v>
      </c>
      <c r="G549" s="82" t="s">
        <v>1542</v>
      </c>
    </row>
    <row r="550" spans="2:7">
      <c r="B550" s="82" t="s">
        <v>1545</v>
      </c>
      <c r="C550" s="82" t="s">
        <v>1545</v>
      </c>
      <c r="D550" s="82" t="s">
        <v>1422</v>
      </c>
      <c r="E550" s="87" t="s">
        <v>1423</v>
      </c>
      <c r="F550" s="82" t="s">
        <v>1546</v>
      </c>
      <c r="G550" s="82" t="s">
        <v>1547</v>
      </c>
    </row>
    <row r="551" spans="2:7">
      <c r="B551" s="82" t="s">
        <v>1548</v>
      </c>
      <c r="C551" s="82" t="s">
        <v>1548</v>
      </c>
      <c r="D551" s="82" t="s">
        <v>1550</v>
      </c>
      <c r="E551" s="87" t="s">
        <v>1551</v>
      </c>
      <c r="F551" s="82" t="s">
        <v>1549</v>
      </c>
      <c r="G551" s="82" t="s">
        <v>1547</v>
      </c>
    </row>
    <row r="552" spans="2:7">
      <c r="B552" s="82" t="s">
        <v>1552</v>
      </c>
      <c r="C552" s="82" t="s">
        <v>1552</v>
      </c>
      <c r="D552" s="82" t="s">
        <v>1555</v>
      </c>
      <c r="E552" s="87" t="s">
        <v>1556</v>
      </c>
      <c r="F552" s="82" t="s">
        <v>1553</v>
      </c>
      <c r="G552" s="82" t="s">
        <v>1554</v>
      </c>
    </row>
    <row r="553" spans="2:7">
      <c r="B553" s="82" t="s">
        <v>1557</v>
      </c>
      <c r="C553" s="82" t="s">
        <v>1557</v>
      </c>
      <c r="D553" s="82" t="s">
        <v>1560</v>
      </c>
      <c r="E553" s="88" t="s">
        <v>1561</v>
      </c>
      <c r="F553" s="82" t="s">
        <v>1558</v>
      </c>
      <c r="G553" s="82" t="s">
        <v>1559</v>
      </c>
    </row>
    <row r="554" spans="2:7">
      <c r="B554" s="82" t="s">
        <v>1562</v>
      </c>
      <c r="C554" s="82" t="s">
        <v>1562</v>
      </c>
      <c r="D554" s="82" t="s">
        <v>1565</v>
      </c>
      <c r="E554" s="82" t="s">
        <v>1566</v>
      </c>
      <c r="F554" s="82" t="s">
        <v>1563</v>
      </c>
      <c r="G554" s="82" t="s">
        <v>1564</v>
      </c>
    </row>
    <row r="555" spans="2:7">
      <c r="B555" s="82" t="s">
        <v>1567</v>
      </c>
      <c r="C555" s="82" t="s">
        <v>1567</v>
      </c>
      <c r="D555" s="82" t="s">
        <v>1570</v>
      </c>
      <c r="E555" s="82" t="s">
        <v>1571</v>
      </c>
      <c r="F555" s="82" t="s">
        <v>1568</v>
      </c>
      <c r="G555" s="82" t="s">
        <v>1569</v>
      </c>
    </row>
    <row r="556" spans="2:7">
      <c r="B556" s="82" t="s">
        <v>1572</v>
      </c>
      <c r="C556" s="82" t="s">
        <v>1572</v>
      </c>
      <c r="D556" s="82" t="s">
        <v>1575</v>
      </c>
      <c r="E556" s="82" t="s">
        <v>1576</v>
      </c>
      <c r="F556" s="82" t="s">
        <v>1573</v>
      </c>
      <c r="G556" s="82" t="s">
        <v>1574</v>
      </c>
    </row>
    <row r="557" spans="2:7">
      <c r="B557" s="82" t="s">
        <v>1577</v>
      </c>
      <c r="C557" s="82" t="s">
        <v>1577</v>
      </c>
      <c r="D557" s="82" t="s">
        <v>1580</v>
      </c>
      <c r="E557" s="82" t="s">
        <v>1581</v>
      </c>
      <c r="F557" s="82" t="s">
        <v>1578</v>
      </c>
      <c r="G557" s="82" t="s">
        <v>1579</v>
      </c>
    </row>
    <row r="558" spans="2:7">
      <c r="B558" s="82" t="s">
        <v>1582</v>
      </c>
      <c r="C558" s="82" t="s">
        <v>1582</v>
      </c>
      <c r="D558" s="82" t="s">
        <v>1585</v>
      </c>
      <c r="E558" s="82" t="s">
        <v>1586</v>
      </c>
      <c r="F558" s="82" t="s">
        <v>1583</v>
      </c>
      <c r="G558" s="82" t="s">
        <v>1584</v>
      </c>
    </row>
    <row r="559" spans="2:7">
      <c r="B559" s="82" t="s">
        <v>1587</v>
      </c>
      <c r="C559" s="82" t="s">
        <v>1587</v>
      </c>
      <c r="D559" s="82" t="s">
        <v>1590</v>
      </c>
      <c r="E559" s="82" t="s">
        <v>1590</v>
      </c>
      <c r="F559" s="82" t="s">
        <v>1588</v>
      </c>
      <c r="G559" s="82" t="s">
        <v>1589</v>
      </c>
    </row>
    <row r="560" spans="2:7">
      <c r="B560" s="82" t="s">
        <v>1591</v>
      </c>
      <c r="C560" s="82" t="s">
        <v>1591</v>
      </c>
      <c r="D560" s="82" t="s">
        <v>1594</v>
      </c>
      <c r="E560" s="82" t="s">
        <v>1595</v>
      </c>
      <c r="F560" s="82" t="s">
        <v>1592</v>
      </c>
      <c r="G560" s="82" t="s">
        <v>1593</v>
      </c>
    </row>
    <row r="561" spans="1:7">
      <c r="B561" s="82" t="s">
        <v>1596</v>
      </c>
      <c r="C561" s="82" t="s">
        <v>1596</v>
      </c>
      <c r="D561" s="82" t="s">
        <v>1599</v>
      </c>
      <c r="E561" s="82" t="s">
        <v>1600</v>
      </c>
      <c r="F561" s="82" t="s">
        <v>1597</v>
      </c>
      <c r="G561" s="82" t="s">
        <v>1598</v>
      </c>
    </row>
    <row r="562" spans="1:7">
      <c r="B562" s="82" t="s">
        <v>1601</v>
      </c>
      <c r="C562" s="82" t="s">
        <v>1601</v>
      </c>
      <c r="D562" s="82" t="s">
        <v>1604</v>
      </c>
      <c r="E562" s="82" t="s">
        <v>1605</v>
      </c>
      <c r="F562" s="82" t="s">
        <v>1602</v>
      </c>
      <c r="G562" s="82" t="s">
        <v>1603</v>
      </c>
    </row>
    <row r="563" spans="1:7">
      <c r="B563" s="82" t="s">
        <v>1606</v>
      </c>
      <c r="C563" s="82" t="s">
        <v>1607</v>
      </c>
      <c r="D563" s="82" t="s">
        <v>1610</v>
      </c>
      <c r="E563" s="82" t="s">
        <v>1611</v>
      </c>
      <c r="F563" s="82" t="s">
        <v>1608</v>
      </c>
      <c r="G563" s="82" t="s">
        <v>1609</v>
      </c>
    </row>
    <row r="564" spans="1:7">
      <c r="B564" s="82" t="s">
        <v>1612</v>
      </c>
      <c r="C564" s="82" t="s">
        <v>1612</v>
      </c>
      <c r="D564" s="82" t="s">
        <v>1615</v>
      </c>
      <c r="E564" s="82" t="s">
        <v>1616</v>
      </c>
      <c r="F564" s="82" t="s">
        <v>1613</v>
      </c>
      <c r="G564" s="82" t="s">
        <v>1614</v>
      </c>
    </row>
    <row r="565" spans="1:7">
      <c r="B565" s="82" t="s">
        <v>1617</v>
      </c>
      <c r="C565" s="82" t="s">
        <v>1617</v>
      </c>
      <c r="D565" s="82" t="s">
        <v>1619</v>
      </c>
      <c r="E565" s="82" t="s">
        <v>1620</v>
      </c>
      <c r="F565" s="82" t="s">
        <v>1618</v>
      </c>
      <c r="G565" s="82" t="s">
        <v>1421</v>
      </c>
    </row>
    <row r="566" spans="1:7">
      <c r="B566" s="82" t="s">
        <v>1621</v>
      </c>
      <c r="C566" s="82" t="s">
        <v>1621</v>
      </c>
      <c r="D566" s="82" t="s">
        <v>1243</v>
      </c>
      <c r="E566" s="82" t="s">
        <v>1243</v>
      </c>
      <c r="F566" s="82" t="s">
        <v>1622</v>
      </c>
      <c r="G566" s="82" t="s">
        <v>1242</v>
      </c>
    </row>
    <row r="567" spans="1:7">
      <c r="B567" s="82" t="s">
        <v>1623</v>
      </c>
      <c r="C567" s="82" t="s">
        <v>1623</v>
      </c>
      <c r="D567" s="82" t="s">
        <v>1625</v>
      </c>
      <c r="E567" s="82" t="s">
        <v>1625</v>
      </c>
      <c r="F567" s="82" t="s">
        <v>1431</v>
      </c>
      <c r="G567" s="82" t="s">
        <v>1624</v>
      </c>
    </row>
    <row r="568" spans="1:7">
      <c r="B568" s="82" t="s">
        <v>1626</v>
      </c>
      <c r="C568" s="82" t="s">
        <v>1627</v>
      </c>
      <c r="D568" s="82" t="s">
        <v>1630</v>
      </c>
      <c r="E568" s="82" t="s">
        <v>1630</v>
      </c>
      <c r="F568" s="82" t="s">
        <v>1628</v>
      </c>
      <c r="G568" s="82" t="s">
        <v>1629</v>
      </c>
    </row>
    <row r="569" spans="1:7">
      <c r="B569" s="82" t="s">
        <v>1631</v>
      </c>
      <c r="C569" s="82" t="s">
        <v>1631</v>
      </c>
      <c r="D569" s="82" t="s">
        <v>1634</v>
      </c>
      <c r="E569" s="82" t="s">
        <v>1635</v>
      </c>
      <c r="F569" s="82" t="s">
        <v>1632</v>
      </c>
      <c r="G569" s="82" t="s">
        <v>1633</v>
      </c>
    </row>
    <row r="570" spans="1:7">
      <c r="B570" s="82" t="s">
        <v>1636</v>
      </c>
      <c r="C570" s="82" t="s">
        <v>1636</v>
      </c>
      <c r="D570" s="82" t="s">
        <v>1639</v>
      </c>
      <c r="E570" s="82" t="s">
        <v>1640</v>
      </c>
      <c r="F570" s="82" t="s">
        <v>1637</v>
      </c>
      <c r="G570" s="82" t="s">
        <v>1638</v>
      </c>
    </row>
    <row r="571" spans="1:7">
      <c r="A571" s="82" t="s">
        <v>1641</v>
      </c>
      <c r="B571" s="82" t="s">
        <v>1642</v>
      </c>
      <c r="C571" s="82" t="s">
        <v>1643</v>
      </c>
      <c r="D571" s="82" t="s">
        <v>1646</v>
      </c>
      <c r="E571" s="82" t="s">
        <v>1647</v>
      </c>
      <c r="F571" s="82" t="s">
        <v>1644</v>
      </c>
      <c r="G571" s="82" t="s">
        <v>1645</v>
      </c>
    </row>
    <row r="572" spans="1:7">
      <c r="A572" s="82" t="s">
        <v>1641</v>
      </c>
      <c r="B572" s="82" t="s">
        <v>1648</v>
      </c>
      <c r="C572" s="82" t="s">
        <v>1643</v>
      </c>
      <c r="D572" s="82" t="s">
        <v>1646</v>
      </c>
      <c r="E572" s="82" t="s">
        <v>1647</v>
      </c>
      <c r="F572" s="82" t="s">
        <v>1644</v>
      </c>
      <c r="G572" s="82" t="s">
        <v>1645</v>
      </c>
    </row>
    <row r="573" spans="1:7">
      <c r="A573" s="82" t="s">
        <v>1641</v>
      </c>
      <c r="B573" s="82" t="s">
        <v>1649</v>
      </c>
      <c r="C573" s="82" t="s">
        <v>49</v>
      </c>
      <c r="D573" s="82" t="s">
        <v>1652</v>
      </c>
      <c r="E573" s="82" t="s">
        <v>1653</v>
      </c>
      <c r="F573" s="82" t="s">
        <v>1650</v>
      </c>
      <c r="G573" s="82" t="s">
        <v>1651</v>
      </c>
    </row>
    <row r="574" spans="1:7">
      <c r="B574" s="82" t="s">
        <v>1654</v>
      </c>
      <c r="C574" s="82" t="s">
        <v>1654</v>
      </c>
      <c r="D574" s="82" t="s">
        <v>1657</v>
      </c>
      <c r="E574" s="82" t="s">
        <v>1657</v>
      </c>
      <c r="F574" s="82" t="s">
        <v>1655</v>
      </c>
      <c r="G574" s="82" t="s">
        <v>1656</v>
      </c>
    </row>
    <row r="575" spans="1:7">
      <c r="B575" s="82" t="s">
        <v>1658</v>
      </c>
      <c r="C575" s="82" t="s">
        <v>1658</v>
      </c>
      <c r="D575" s="82" t="s">
        <v>1661</v>
      </c>
      <c r="E575" s="82" t="s">
        <v>1662</v>
      </c>
      <c r="F575" s="82" t="s">
        <v>1659</v>
      </c>
      <c r="G575" s="82" t="s">
        <v>1660</v>
      </c>
    </row>
    <row r="576" spans="1:7">
      <c r="B576" s="82" t="s">
        <v>1663</v>
      </c>
      <c r="C576" s="82" t="s">
        <v>1663</v>
      </c>
      <c r="D576" s="82" t="s">
        <v>1666</v>
      </c>
      <c r="E576" s="85" t="s">
        <v>1667</v>
      </c>
      <c r="F576" s="82" t="s">
        <v>1664</v>
      </c>
      <c r="G576" s="82" t="s">
        <v>1665</v>
      </c>
    </row>
    <row r="577" spans="2:7">
      <c r="B577" s="82" t="s">
        <v>1668</v>
      </c>
      <c r="C577" s="82" t="s">
        <v>1668</v>
      </c>
      <c r="D577" s="82" t="s">
        <v>1671</v>
      </c>
      <c r="E577" s="86" t="s">
        <v>1671</v>
      </c>
      <c r="F577" s="82" t="s">
        <v>1669</v>
      </c>
      <c r="G577" s="82" t="s">
        <v>1670</v>
      </c>
    </row>
    <row r="578" spans="2:7">
      <c r="B578" s="82" t="s">
        <v>1672</v>
      </c>
      <c r="C578" s="82" t="s">
        <v>1672</v>
      </c>
      <c r="D578" s="82" t="s">
        <v>1675</v>
      </c>
      <c r="E578" s="86" t="s">
        <v>1676</v>
      </c>
      <c r="F578" s="82" t="s">
        <v>1673</v>
      </c>
      <c r="G578" s="82" t="s">
        <v>1674</v>
      </c>
    </row>
    <row r="579" spans="2:7">
      <c r="B579" s="82" t="s">
        <v>1677</v>
      </c>
      <c r="C579" s="82" t="s">
        <v>1677</v>
      </c>
      <c r="D579" s="82" t="s">
        <v>1680</v>
      </c>
      <c r="E579" s="86" t="s">
        <v>1681</v>
      </c>
      <c r="F579" s="82" t="s">
        <v>1678</v>
      </c>
      <c r="G579" s="82" t="s">
        <v>1679</v>
      </c>
    </row>
    <row r="580" spans="2:7">
      <c r="B580" s="82" t="s">
        <v>1682</v>
      </c>
      <c r="C580" s="82" t="s">
        <v>1682</v>
      </c>
      <c r="D580" s="82" t="s">
        <v>1685</v>
      </c>
      <c r="E580" s="86" t="s">
        <v>1686</v>
      </c>
      <c r="F580" s="82" t="s">
        <v>1683</v>
      </c>
      <c r="G580" s="82" t="s">
        <v>1684</v>
      </c>
    </row>
    <row r="581" spans="2:7">
      <c r="B581" s="82" t="s">
        <v>1687</v>
      </c>
      <c r="C581" s="82" t="s">
        <v>1687</v>
      </c>
      <c r="D581" s="82" t="s">
        <v>1689</v>
      </c>
      <c r="E581" s="86" t="s">
        <v>1690</v>
      </c>
      <c r="F581" s="82" t="s">
        <v>293</v>
      </c>
      <c r="G581" s="82" t="s">
        <v>1688</v>
      </c>
    </row>
    <row r="582" spans="2:7">
      <c r="B582" s="82" t="s">
        <v>1691</v>
      </c>
      <c r="C582" s="82" t="s">
        <v>1691</v>
      </c>
      <c r="D582" s="82" t="s">
        <v>1694</v>
      </c>
      <c r="E582" s="86" t="s">
        <v>1695</v>
      </c>
      <c r="F582" s="82" t="s">
        <v>1692</v>
      </c>
      <c r="G582" s="82" t="s">
        <v>1693</v>
      </c>
    </row>
    <row r="583" spans="2:7">
      <c r="B583" s="82" t="s">
        <v>1696</v>
      </c>
      <c r="C583" s="82" t="s">
        <v>1696</v>
      </c>
      <c r="D583" s="82" t="s">
        <v>1699</v>
      </c>
      <c r="E583" s="86" t="s">
        <v>1700</v>
      </c>
      <c r="F583" s="82" t="s">
        <v>1697</v>
      </c>
      <c r="G583" s="82" t="s">
        <v>1698</v>
      </c>
    </row>
    <row r="584" spans="2:7">
      <c r="B584" s="82" t="s">
        <v>1701</v>
      </c>
      <c r="C584" s="82" t="s">
        <v>1701</v>
      </c>
      <c r="D584" s="82" t="s">
        <v>1703</v>
      </c>
      <c r="E584" s="86" t="s">
        <v>1703</v>
      </c>
      <c r="F584" s="82" t="s">
        <v>996</v>
      </c>
      <c r="G584" s="82" t="s">
        <v>1702</v>
      </c>
    </row>
    <row r="585" spans="2:7">
      <c r="B585" s="82" t="s">
        <v>1704</v>
      </c>
      <c r="C585" s="82" t="s">
        <v>1704</v>
      </c>
      <c r="D585" s="82" t="s">
        <v>1707</v>
      </c>
      <c r="E585" s="86" t="s">
        <v>1708</v>
      </c>
      <c r="F585" s="82" t="s">
        <v>1705</v>
      </c>
      <c r="G585" s="82" t="s">
        <v>1706</v>
      </c>
    </row>
    <row r="586" spans="2:7">
      <c r="B586" s="82" t="s">
        <v>1709</v>
      </c>
      <c r="C586" s="82" t="s">
        <v>1709</v>
      </c>
      <c r="D586" s="82" t="s">
        <v>1712</v>
      </c>
      <c r="E586" s="86" t="s">
        <v>1713</v>
      </c>
      <c r="F586" s="82" t="s">
        <v>1710</v>
      </c>
      <c r="G586" s="82" t="s">
        <v>1711</v>
      </c>
    </row>
    <row r="587" spans="2:7">
      <c r="B587" s="82" t="s">
        <v>1714</v>
      </c>
      <c r="C587" s="82" t="s">
        <v>1714</v>
      </c>
      <c r="D587" s="82" t="s">
        <v>1715</v>
      </c>
      <c r="E587" s="82" t="s">
        <v>1715</v>
      </c>
      <c r="F587" s="82" t="s">
        <v>1715</v>
      </c>
      <c r="G587" s="82" t="s">
        <v>1716</v>
      </c>
    </row>
    <row r="588" spans="2:7">
      <c r="B588" s="82" t="s">
        <v>1717</v>
      </c>
      <c r="C588" s="82" t="s">
        <v>1717</v>
      </c>
      <c r="D588" s="82" t="s">
        <v>1720</v>
      </c>
      <c r="E588" s="82" t="s">
        <v>1721</v>
      </c>
      <c r="F588" s="82" t="s">
        <v>1718</v>
      </c>
      <c r="G588" s="82" t="s">
        <v>1719</v>
      </c>
    </row>
    <row r="589" spans="2:7">
      <c r="B589" s="82" t="s">
        <v>1722</v>
      </c>
      <c r="C589" s="82" t="s">
        <v>1722</v>
      </c>
      <c r="D589" s="82" t="s">
        <v>1725</v>
      </c>
      <c r="E589" s="82" t="s">
        <v>1726</v>
      </c>
      <c r="F589" s="82" t="s">
        <v>1723</v>
      </c>
      <c r="G589" s="82" t="s">
        <v>1724</v>
      </c>
    </row>
    <row r="590" spans="2:7">
      <c r="B590" s="82" t="s">
        <v>1727</v>
      </c>
      <c r="C590" s="82" t="s">
        <v>1727</v>
      </c>
      <c r="D590" s="82" t="s">
        <v>1243</v>
      </c>
      <c r="E590" s="82" t="s">
        <v>1243</v>
      </c>
      <c r="F590" s="82" t="s">
        <v>1622</v>
      </c>
      <c r="G590" s="82" t="s">
        <v>1242</v>
      </c>
    </row>
    <row r="591" spans="2:7">
      <c r="B591" s="82" t="s">
        <v>1728</v>
      </c>
      <c r="C591" s="82" t="s">
        <v>1728</v>
      </c>
      <c r="D591" s="82" t="s">
        <v>1730</v>
      </c>
      <c r="E591" s="84"/>
      <c r="F591" s="82" t="s">
        <v>1729</v>
      </c>
    </row>
    <row r="592" spans="2:7">
      <c r="B592" s="82" t="s">
        <v>1731</v>
      </c>
      <c r="C592" s="82" t="s">
        <v>1731</v>
      </c>
      <c r="D592" s="82" t="s">
        <v>1733</v>
      </c>
      <c r="F592" s="82" t="s">
        <v>1732</v>
      </c>
    </row>
    <row r="593" spans="1:12">
      <c r="B593" s="82" t="s">
        <v>1734</v>
      </c>
      <c r="C593" s="82" t="s">
        <v>1734</v>
      </c>
      <c r="D593" s="82" t="s">
        <v>1736</v>
      </c>
      <c r="F593" s="82" t="s">
        <v>1735</v>
      </c>
    </row>
    <row r="594" spans="1:12">
      <c r="A594" s="82" t="s">
        <v>1641</v>
      </c>
      <c r="B594" s="82" t="s">
        <v>1737</v>
      </c>
      <c r="C594" s="82" t="s">
        <v>1738</v>
      </c>
      <c r="D594" s="82" t="s">
        <v>1741</v>
      </c>
      <c r="E594" s="82" t="s">
        <v>1742</v>
      </c>
      <c r="F594" s="82" t="s">
        <v>1739</v>
      </c>
      <c r="G594" s="82" t="s">
        <v>1740</v>
      </c>
      <c r="H594" s="82" t="s">
        <v>1743</v>
      </c>
      <c r="I594" s="82" t="s">
        <v>1744</v>
      </c>
      <c r="J594" s="82" t="s">
        <v>1745</v>
      </c>
      <c r="K594" s="82" t="s">
        <v>1746</v>
      </c>
      <c r="L594" s="82" t="s">
        <v>1747</v>
      </c>
    </row>
    <row r="595" spans="1:12">
      <c r="B595" s="82" t="s">
        <v>1748</v>
      </c>
      <c r="C595" s="82" t="s">
        <v>1748</v>
      </c>
      <c r="D595" s="82" t="s">
        <v>1751</v>
      </c>
      <c r="E595" s="82" t="s">
        <v>1752</v>
      </c>
      <c r="F595" s="82" t="s">
        <v>1749</v>
      </c>
      <c r="G595" s="82" t="s">
        <v>1750</v>
      </c>
    </row>
    <row r="596" spans="1:12">
      <c r="B596" s="83" t="s">
        <v>153</v>
      </c>
      <c r="C596" s="83" t="s">
        <v>153</v>
      </c>
      <c r="D596" s="82" t="s">
        <v>1754</v>
      </c>
      <c r="E596" s="82" t="s">
        <v>1755</v>
      </c>
      <c r="F596" s="82" t="s">
        <v>154</v>
      </c>
      <c r="G596" s="82" t="s">
        <v>1753</v>
      </c>
    </row>
    <row r="597" spans="1:12">
      <c r="B597" s="82" t="s">
        <v>1756</v>
      </c>
      <c r="C597" s="82" t="s">
        <v>1757</v>
      </c>
      <c r="D597" s="82" t="s">
        <v>1760</v>
      </c>
      <c r="E597" s="82" t="s">
        <v>1761</v>
      </c>
      <c r="F597" s="82" t="s">
        <v>1758</v>
      </c>
      <c r="G597" s="82" t="s">
        <v>1759</v>
      </c>
    </row>
    <row r="598" spans="1:12">
      <c r="B598" s="82" t="s">
        <v>1762</v>
      </c>
      <c r="C598" s="82" t="s">
        <v>1763</v>
      </c>
      <c r="D598" s="82" t="s">
        <v>1766</v>
      </c>
      <c r="E598" s="82" t="s">
        <v>1767</v>
      </c>
      <c r="F598" s="82" t="s">
        <v>1764</v>
      </c>
      <c r="G598" s="82" t="s">
        <v>1765</v>
      </c>
    </row>
    <row r="599" spans="1:12">
      <c r="B599" s="82" t="s">
        <v>1768</v>
      </c>
      <c r="C599" s="82" t="s">
        <v>1388</v>
      </c>
      <c r="D599" s="82" t="s">
        <v>1771</v>
      </c>
      <c r="E599" s="82" t="s">
        <v>1772</v>
      </c>
      <c r="F599" s="82" t="s">
        <v>1769</v>
      </c>
      <c r="G599" s="82" t="s">
        <v>1770</v>
      </c>
    </row>
    <row r="600" spans="1:12">
      <c r="B600" s="82" t="s">
        <v>1773</v>
      </c>
      <c r="C600" s="82" t="s">
        <v>1774</v>
      </c>
      <c r="D600" s="82" t="s">
        <v>1777</v>
      </c>
      <c r="E600" s="82" t="s">
        <v>1778</v>
      </c>
      <c r="F600" s="82" t="s">
        <v>1775</v>
      </c>
      <c r="G600" s="82" t="s">
        <v>1776</v>
      </c>
    </row>
    <row r="601" spans="1:12">
      <c r="B601" s="82" t="s">
        <v>1779</v>
      </c>
      <c r="C601" s="82" t="s">
        <v>1378</v>
      </c>
      <c r="D601" s="82" t="s">
        <v>1781</v>
      </c>
      <c r="E601" s="82" t="s">
        <v>1782</v>
      </c>
      <c r="F601" s="82" t="s">
        <v>1780</v>
      </c>
      <c r="G601" s="82" t="s">
        <v>1380</v>
      </c>
    </row>
    <row r="602" spans="1:12">
      <c r="B602" s="82" t="s">
        <v>1783</v>
      </c>
      <c r="C602" s="82" t="s">
        <v>1383</v>
      </c>
      <c r="D602" s="82" t="s">
        <v>1785</v>
      </c>
      <c r="E602" s="82" t="s">
        <v>1786</v>
      </c>
      <c r="F602" s="82" t="s">
        <v>1784</v>
      </c>
      <c r="G602" s="82" t="s">
        <v>1385</v>
      </c>
    </row>
    <row r="603" spans="1:12">
      <c r="B603" s="82" t="s">
        <v>1787</v>
      </c>
      <c r="C603" s="82" t="s">
        <v>1788</v>
      </c>
      <c r="D603" s="82" t="s">
        <v>1791</v>
      </c>
      <c r="E603" s="82" t="s">
        <v>1792</v>
      </c>
      <c r="F603" s="82" t="s">
        <v>1789</v>
      </c>
      <c r="G603" s="82" t="s">
        <v>1790</v>
      </c>
    </row>
    <row r="604" spans="1:12">
      <c r="B604" s="82" t="s">
        <v>1793</v>
      </c>
      <c r="C604" s="82" t="s">
        <v>1794</v>
      </c>
      <c r="D604" s="82" t="s">
        <v>1797</v>
      </c>
      <c r="E604" s="82" t="s">
        <v>1798</v>
      </c>
      <c r="F604" s="82" t="s">
        <v>1795</v>
      </c>
      <c r="G604" s="82" t="s">
        <v>1796</v>
      </c>
    </row>
    <row r="605" spans="1:12">
      <c r="B605" s="82" t="s">
        <v>1799</v>
      </c>
      <c r="C605" s="82" t="s">
        <v>1800</v>
      </c>
      <c r="D605" s="82" t="s">
        <v>1803</v>
      </c>
      <c r="E605" s="82" t="s">
        <v>1804</v>
      </c>
      <c r="F605" s="82" t="s">
        <v>1801</v>
      </c>
      <c r="G605" s="82" t="s">
        <v>1802</v>
      </c>
    </row>
    <row r="606" spans="1:12">
      <c r="B606" s="82" t="s">
        <v>1805</v>
      </c>
      <c r="C606" s="82" t="s">
        <v>1806</v>
      </c>
      <c r="D606" s="82" t="s">
        <v>1809</v>
      </c>
      <c r="E606" s="82" t="s">
        <v>1810</v>
      </c>
      <c r="F606" s="82" t="s">
        <v>1807</v>
      </c>
      <c r="G606" s="82" t="s">
        <v>1808</v>
      </c>
    </row>
    <row r="607" spans="1:12">
      <c r="B607" s="82" t="s">
        <v>1811</v>
      </c>
      <c r="C607" s="82" t="s">
        <v>1812</v>
      </c>
      <c r="D607" s="82" t="s">
        <v>1814</v>
      </c>
      <c r="E607" s="82" t="s">
        <v>1815</v>
      </c>
      <c r="F607" s="82" t="s">
        <v>1813</v>
      </c>
      <c r="G607" s="82" t="s">
        <v>1401</v>
      </c>
    </row>
    <row r="608" spans="1:12">
      <c r="B608" s="82" t="s">
        <v>1816</v>
      </c>
      <c r="C608" s="82" t="s">
        <v>1817</v>
      </c>
      <c r="D608" s="82" t="s">
        <v>1819</v>
      </c>
      <c r="E608" s="82" t="s">
        <v>1820</v>
      </c>
      <c r="F608" s="82" t="s">
        <v>1818</v>
      </c>
      <c r="G608" s="82" t="s">
        <v>1406</v>
      </c>
    </row>
    <row r="609" spans="1:7">
      <c r="B609" s="82" t="s">
        <v>1821</v>
      </c>
      <c r="C609" s="82" t="s">
        <v>1822</v>
      </c>
      <c r="D609" s="82" t="s">
        <v>1825</v>
      </c>
      <c r="E609" s="82" t="s">
        <v>1826</v>
      </c>
      <c r="F609" s="82" t="s">
        <v>1823</v>
      </c>
      <c r="G609" s="82" t="s">
        <v>1824</v>
      </c>
    </row>
    <row r="610" spans="1:7">
      <c r="B610" s="82" t="s">
        <v>1827</v>
      </c>
      <c r="C610" s="82" t="s">
        <v>1828</v>
      </c>
      <c r="D610" s="82" t="s">
        <v>1831</v>
      </c>
      <c r="E610" s="82" t="s">
        <v>1832</v>
      </c>
      <c r="F610" s="82" t="s">
        <v>1829</v>
      </c>
      <c r="G610" s="82" t="s">
        <v>1830</v>
      </c>
    </row>
    <row r="611" spans="1:7">
      <c r="B611" s="82" t="s">
        <v>1833</v>
      </c>
      <c r="C611" s="82" t="s">
        <v>1834</v>
      </c>
      <c r="D611" s="82" t="s">
        <v>1837</v>
      </c>
      <c r="E611" s="82" t="s">
        <v>1838</v>
      </c>
      <c r="F611" s="82" t="s">
        <v>1835</v>
      </c>
      <c r="G611" s="82" t="s">
        <v>1836</v>
      </c>
    </row>
    <row r="612" spans="1:7">
      <c r="B612" s="82" t="s">
        <v>1839</v>
      </c>
      <c r="C612" s="82" t="s">
        <v>1840</v>
      </c>
      <c r="D612" s="82" t="s">
        <v>1843</v>
      </c>
      <c r="E612" s="82" t="s">
        <v>1844</v>
      </c>
      <c r="F612" s="82" t="s">
        <v>1841</v>
      </c>
      <c r="G612" s="82" t="s">
        <v>1842</v>
      </c>
    </row>
    <row r="613" spans="1:7">
      <c r="A613" s="82" t="s">
        <v>138</v>
      </c>
      <c r="B613" s="82" t="s">
        <v>1845</v>
      </c>
      <c r="C613" s="82" t="s">
        <v>1845</v>
      </c>
      <c r="D613" s="82" t="s">
        <v>1848</v>
      </c>
      <c r="E613" s="82" t="s">
        <v>1849</v>
      </c>
      <c r="F613" s="82" t="s">
        <v>1846</v>
      </c>
      <c r="G613" s="82" t="s">
        <v>1847</v>
      </c>
    </row>
    <row r="614" spans="1:7">
      <c r="A614" s="82" t="s">
        <v>138</v>
      </c>
      <c r="B614" s="82" t="s">
        <v>1850</v>
      </c>
      <c r="C614" s="82" t="s">
        <v>1850</v>
      </c>
      <c r="D614" s="82" t="s">
        <v>1853</v>
      </c>
      <c r="E614" s="82" t="s">
        <v>1854</v>
      </c>
      <c r="F614" s="82" t="s">
        <v>1851</v>
      </c>
      <c r="G614" s="82" t="s">
        <v>1852</v>
      </c>
    </row>
    <row r="615" spans="1:7">
      <c r="A615" s="82" t="s">
        <v>138</v>
      </c>
      <c r="B615" s="82" t="s">
        <v>1855</v>
      </c>
      <c r="C615" s="82" t="s">
        <v>1855</v>
      </c>
      <c r="D615" s="82" t="s">
        <v>1858</v>
      </c>
      <c r="E615" s="82" t="s">
        <v>1859</v>
      </c>
      <c r="F615" s="82" t="s">
        <v>1856</v>
      </c>
      <c r="G615" s="82" t="s">
        <v>1857</v>
      </c>
    </row>
    <row r="616" spans="1:7">
      <c r="A616" s="82" t="s">
        <v>138</v>
      </c>
      <c r="B616" s="82" t="s">
        <v>1860</v>
      </c>
      <c r="C616" s="82" t="s">
        <v>1860</v>
      </c>
      <c r="D616" s="82" t="s">
        <v>1863</v>
      </c>
      <c r="E616" s="82" t="s">
        <v>1864</v>
      </c>
      <c r="F616" s="82" t="s">
        <v>1861</v>
      </c>
      <c r="G616" s="82" t="s">
        <v>1862</v>
      </c>
    </row>
    <row r="617" spans="1:7">
      <c r="A617" s="82" t="s">
        <v>138</v>
      </c>
      <c r="B617" s="82" t="s">
        <v>1865</v>
      </c>
      <c r="C617" s="82" t="s">
        <v>1865</v>
      </c>
      <c r="D617" s="82" t="s">
        <v>1866</v>
      </c>
      <c r="E617" s="82" t="s">
        <v>1866</v>
      </c>
      <c r="F617" s="82" t="s">
        <v>1866</v>
      </c>
      <c r="G617" s="82" t="s">
        <v>1867</v>
      </c>
    </row>
    <row r="618" spans="1:7">
      <c r="A618" s="82" t="s">
        <v>138</v>
      </c>
      <c r="B618" s="82" t="s">
        <v>1868</v>
      </c>
      <c r="C618" s="82" t="s">
        <v>1868</v>
      </c>
      <c r="D618" s="82" t="s">
        <v>1869</v>
      </c>
      <c r="E618" s="82" t="s">
        <v>1871</v>
      </c>
      <c r="F618" s="82" t="s">
        <v>1869</v>
      </c>
      <c r="G618" s="82" t="s">
        <v>1870</v>
      </c>
    </row>
    <row r="619" spans="1:7">
      <c r="A619" s="82" t="s">
        <v>138</v>
      </c>
      <c r="B619" s="82" t="s">
        <v>1872</v>
      </c>
      <c r="C619" s="82" t="s">
        <v>1872</v>
      </c>
      <c r="D619" s="82" t="s">
        <v>1875</v>
      </c>
      <c r="E619" s="82" t="s">
        <v>1876</v>
      </c>
      <c r="F619" s="82" t="s">
        <v>1873</v>
      </c>
      <c r="G619" s="82" t="s">
        <v>1874</v>
      </c>
    </row>
    <row r="620" spans="1:7">
      <c r="A620" s="82" t="s">
        <v>138</v>
      </c>
      <c r="B620" s="82" t="s">
        <v>1877</v>
      </c>
      <c r="C620" s="82" t="s">
        <v>1877</v>
      </c>
      <c r="D620" s="82" t="s">
        <v>1880</v>
      </c>
      <c r="E620" s="82" t="s">
        <v>1880</v>
      </c>
      <c r="F620" s="82" t="s">
        <v>1878</v>
      </c>
      <c r="G620" s="82" t="s">
        <v>1879</v>
      </c>
    </row>
    <row r="621" spans="1:7">
      <c r="A621" s="82" t="s">
        <v>138</v>
      </c>
      <c r="B621" s="82" t="s">
        <v>1881</v>
      </c>
      <c r="C621" s="82" t="s">
        <v>1881</v>
      </c>
      <c r="D621" s="82" t="s">
        <v>1884</v>
      </c>
      <c r="E621" s="82" t="s">
        <v>1884</v>
      </c>
      <c r="F621" s="82" t="s">
        <v>1882</v>
      </c>
      <c r="G621" s="82" t="s">
        <v>1883</v>
      </c>
    </row>
    <row r="622" spans="1:7">
      <c r="A622" s="82" t="s">
        <v>138</v>
      </c>
      <c r="B622" s="82" t="s">
        <v>1885</v>
      </c>
      <c r="C622" s="82" t="s">
        <v>1885</v>
      </c>
      <c r="D622" s="82" t="s">
        <v>1888</v>
      </c>
      <c r="E622" s="82" t="s">
        <v>1888</v>
      </c>
      <c r="F622" s="82" t="s">
        <v>1886</v>
      </c>
      <c r="G622" s="82" t="s">
        <v>1887</v>
      </c>
    </row>
    <row r="623" spans="1:7">
      <c r="A623" s="82" t="s">
        <v>138</v>
      </c>
      <c r="B623" s="82" t="s">
        <v>1889</v>
      </c>
      <c r="C623" s="82" t="s">
        <v>1889</v>
      </c>
      <c r="D623" s="82" t="s">
        <v>1890</v>
      </c>
      <c r="E623" s="82" t="s">
        <v>1892</v>
      </c>
      <c r="F623" s="82" t="s">
        <v>1890</v>
      </c>
      <c r="G623" s="82" t="s">
        <v>1891</v>
      </c>
    </row>
    <row r="624" spans="1:7">
      <c r="A624" s="82" t="s">
        <v>138</v>
      </c>
      <c r="B624" s="82" t="s">
        <v>1893</v>
      </c>
      <c r="C624" s="82" t="s">
        <v>1893</v>
      </c>
      <c r="D624" s="82" t="s">
        <v>1896</v>
      </c>
      <c r="E624" s="82" t="s">
        <v>1897</v>
      </c>
      <c r="F624" s="82" t="s">
        <v>1894</v>
      </c>
      <c r="G624" s="82" t="s">
        <v>1895</v>
      </c>
    </row>
    <row r="625" spans="1:7">
      <c r="A625" s="82" t="s">
        <v>138</v>
      </c>
      <c r="B625" s="82" t="s">
        <v>1898</v>
      </c>
      <c r="C625" s="82" t="s">
        <v>1898</v>
      </c>
      <c r="D625" s="82" t="s">
        <v>1901</v>
      </c>
      <c r="E625" s="82" t="s">
        <v>1901</v>
      </c>
      <c r="F625" s="82" t="s">
        <v>1899</v>
      </c>
      <c r="G625" s="82" t="s">
        <v>1900</v>
      </c>
    </row>
    <row r="626" spans="1:7">
      <c r="A626" s="82" t="s">
        <v>138</v>
      </c>
      <c r="B626" s="82" t="s">
        <v>1902</v>
      </c>
      <c r="C626" s="82" t="s">
        <v>1902</v>
      </c>
      <c r="D626" s="82" t="s">
        <v>1905</v>
      </c>
      <c r="E626" s="82" t="s">
        <v>1906</v>
      </c>
      <c r="F626" s="82" t="s">
        <v>1903</v>
      </c>
      <c r="G626" s="82" t="s">
        <v>1904</v>
      </c>
    </row>
    <row r="627" spans="1:7">
      <c r="A627" s="82" t="s">
        <v>138</v>
      </c>
      <c r="B627" s="82" t="s">
        <v>1907</v>
      </c>
      <c r="C627" s="82" t="s">
        <v>1907</v>
      </c>
      <c r="D627" s="89" t="s">
        <v>1910</v>
      </c>
      <c r="E627" s="82" t="s">
        <v>1911</v>
      </c>
      <c r="F627" s="82" t="s">
        <v>1908</v>
      </c>
      <c r="G627" s="82" t="s">
        <v>1909</v>
      </c>
    </row>
    <row r="628" spans="1:7">
      <c r="A628" s="82" t="s">
        <v>138</v>
      </c>
      <c r="B628" s="82" t="s">
        <v>1912</v>
      </c>
      <c r="C628" s="82" t="s">
        <v>1912</v>
      </c>
      <c r="D628" s="82" t="s">
        <v>1913</v>
      </c>
      <c r="E628" s="82" t="s">
        <v>1913</v>
      </c>
      <c r="F628" s="82" t="s">
        <v>1913</v>
      </c>
      <c r="G628" s="82" t="s">
        <v>1914</v>
      </c>
    </row>
    <row r="629" spans="1:7">
      <c r="A629" s="82" t="s">
        <v>138</v>
      </c>
      <c r="B629" s="82" t="s">
        <v>1915</v>
      </c>
      <c r="C629" s="82" t="s">
        <v>1915</v>
      </c>
      <c r="D629" s="82" t="s">
        <v>1916</v>
      </c>
      <c r="E629" s="82" t="s">
        <v>1918</v>
      </c>
      <c r="F629" s="82" t="s">
        <v>1916</v>
      </c>
      <c r="G629" s="82" t="s">
        <v>1917</v>
      </c>
    </row>
    <row r="630" spans="1:7">
      <c r="A630" s="82" t="s">
        <v>138</v>
      </c>
      <c r="B630" s="82" t="s">
        <v>1919</v>
      </c>
      <c r="C630" s="82" t="s">
        <v>1919</v>
      </c>
      <c r="D630" s="82" t="s">
        <v>1922</v>
      </c>
      <c r="E630" s="82" t="s">
        <v>1922</v>
      </c>
      <c r="F630" s="82" t="s">
        <v>1920</v>
      </c>
      <c r="G630" s="82" t="s">
        <v>1921</v>
      </c>
    </row>
    <row r="631" spans="1:7">
      <c r="A631" s="82" t="s">
        <v>138</v>
      </c>
      <c r="B631" s="82" t="s">
        <v>1923</v>
      </c>
      <c r="C631" s="82" t="s">
        <v>1923</v>
      </c>
      <c r="D631" s="82" t="s">
        <v>1926</v>
      </c>
      <c r="E631" s="82" t="s">
        <v>1927</v>
      </c>
      <c r="F631" s="82" t="s">
        <v>1924</v>
      </c>
      <c r="G631" s="82" t="s">
        <v>1925</v>
      </c>
    </row>
    <row r="632" spans="1:7">
      <c r="A632" s="82" t="s">
        <v>138</v>
      </c>
      <c r="B632" s="82" t="s">
        <v>1928</v>
      </c>
      <c r="C632" s="82" t="s">
        <v>1928</v>
      </c>
      <c r="D632" s="82" t="s">
        <v>1931</v>
      </c>
      <c r="E632" s="82" t="s">
        <v>1932</v>
      </c>
      <c r="F632" s="82" t="s">
        <v>1929</v>
      </c>
      <c r="G632" s="82" t="s">
        <v>1930</v>
      </c>
    </row>
    <row r="633" spans="1:7">
      <c r="A633" s="82" t="s">
        <v>138</v>
      </c>
      <c r="B633" s="82" t="s">
        <v>1933</v>
      </c>
      <c r="C633" s="82" t="s">
        <v>1933</v>
      </c>
      <c r="D633" s="82" t="s">
        <v>1936</v>
      </c>
      <c r="E633" s="82" t="s">
        <v>1937</v>
      </c>
      <c r="F633" s="82" t="s">
        <v>1934</v>
      </c>
      <c r="G633" s="82" t="s">
        <v>1935</v>
      </c>
    </row>
    <row r="634" spans="1:7">
      <c r="A634" s="82" t="s">
        <v>138</v>
      </c>
      <c r="B634" s="82" t="s">
        <v>1938</v>
      </c>
      <c r="C634" s="82" t="s">
        <v>1938</v>
      </c>
      <c r="D634" s="82" t="s">
        <v>1941</v>
      </c>
      <c r="E634" s="82" t="s">
        <v>1942</v>
      </c>
      <c r="F634" s="82" t="s">
        <v>1939</v>
      </c>
      <c r="G634" s="82" t="s">
        <v>1940</v>
      </c>
    </row>
    <row r="635" spans="1:7">
      <c r="A635" s="82" t="s">
        <v>138</v>
      </c>
      <c r="B635" s="82" t="s">
        <v>1943</v>
      </c>
      <c r="C635" s="82" t="s">
        <v>1943</v>
      </c>
      <c r="D635" s="82" t="s">
        <v>1946</v>
      </c>
      <c r="E635" s="82" t="s">
        <v>1947</v>
      </c>
      <c r="F635" s="82" t="s">
        <v>1944</v>
      </c>
      <c r="G635" s="82" t="s">
        <v>1945</v>
      </c>
    </row>
    <row r="636" spans="1:7">
      <c r="A636" s="82" t="s">
        <v>138</v>
      </c>
      <c r="B636" s="82" t="s">
        <v>1948</v>
      </c>
      <c r="C636" s="82" t="s">
        <v>1948</v>
      </c>
      <c r="D636" s="82" t="s">
        <v>1951</v>
      </c>
      <c r="E636" s="82" t="s">
        <v>1952</v>
      </c>
      <c r="F636" s="82" t="s">
        <v>1949</v>
      </c>
      <c r="G636" s="82" t="s">
        <v>1950</v>
      </c>
    </row>
    <row r="637" spans="1:7">
      <c r="A637" s="82" t="s">
        <v>138</v>
      </c>
      <c r="B637" s="82" t="s">
        <v>1953</v>
      </c>
      <c r="C637" s="82" t="s">
        <v>1953</v>
      </c>
      <c r="D637" s="82" t="s">
        <v>1956</v>
      </c>
      <c r="E637" s="82" t="s">
        <v>1957</v>
      </c>
      <c r="F637" s="82" t="s">
        <v>1954</v>
      </c>
      <c r="G637" s="82" t="s">
        <v>1955</v>
      </c>
    </row>
    <row r="638" spans="1:7">
      <c r="A638" s="82" t="s">
        <v>138</v>
      </c>
      <c r="B638" s="82" t="s">
        <v>1958</v>
      </c>
      <c r="C638" s="82" t="s">
        <v>1958</v>
      </c>
      <c r="D638" s="82" t="s">
        <v>1961</v>
      </c>
      <c r="E638" s="82" t="s">
        <v>1962</v>
      </c>
      <c r="F638" s="82" t="s">
        <v>1959</v>
      </c>
      <c r="G638" s="82" t="s">
        <v>1960</v>
      </c>
    </row>
    <row r="639" spans="1:7">
      <c r="A639" s="82" t="s">
        <v>138</v>
      </c>
      <c r="B639" s="82" t="s">
        <v>1963</v>
      </c>
      <c r="C639" s="82" t="s">
        <v>1963</v>
      </c>
      <c r="D639" s="82" t="s">
        <v>1966</v>
      </c>
      <c r="E639" s="82" t="s">
        <v>1967</v>
      </c>
      <c r="F639" s="82" t="s">
        <v>1964</v>
      </c>
      <c r="G639" s="82" t="s">
        <v>1965</v>
      </c>
    </row>
    <row r="640" spans="1:7">
      <c r="A640" s="82" t="s">
        <v>138</v>
      </c>
      <c r="B640" s="82" t="s">
        <v>1968</v>
      </c>
      <c r="C640" s="82" t="s">
        <v>1968</v>
      </c>
      <c r="D640" s="82" t="s">
        <v>1971</v>
      </c>
      <c r="E640" s="82" t="s">
        <v>1971</v>
      </c>
      <c r="F640" s="82" t="s">
        <v>1969</v>
      </c>
      <c r="G640" s="82" t="s">
        <v>1970</v>
      </c>
    </row>
    <row r="641" spans="1:7">
      <c r="A641" s="82" t="s">
        <v>138</v>
      </c>
      <c r="B641" s="82" t="s">
        <v>1972</v>
      </c>
      <c r="C641" s="82" t="s">
        <v>1972</v>
      </c>
      <c r="D641" s="82" t="s">
        <v>1975</v>
      </c>
      <c r="E641" s="82" t="s">
        <v>1976</v>
      </c>
      <c r="F641" s="82" t="s">
        <v>1973</v>
      </c>
      <c r="G641" s="82" t="s">
        <v>1974</v>
      </c>
    </row>
    <row r="642" spans="1:7">
      <c r="A642" s="82" t="s">
        <v>138</v>
      </c>
      <c r="B642" s="82" t="s">
        <v>1977</v>
      </c>
      <c r="C642" s="82" t="s">
        <v>1977</v>
      </c>
      <c r="D642" s="82" t="s">
        <v>1980</v>
      </c>
      <c r="E642" s="82" t="s">
        <v>1980</v>
      </c>
      <c r="F642" s="82" t="s">
        <v>1978</v>
      </c>
      <c r="G642" s="82" t="s">
        <v>1979</v>
      </c>
    </row>
    <row r="643" spans="1:7">
      <c r="A643" s="82" t="s">
        <v>138</v>
      </c>
      <c r="B643" s="82" t="s">
        <v>1981</v>
      </c>
      <c r="C643" s="82" t="s">
        <v>1981</v>
      </c>
      <c r="D643" s="82" t="s">
        <v>1984</v>
      </c>
      <c r="E643" s="82" t="s">
        <v>1984</v>
      </c>
      <c r="F643" s="82" t="s">
        <v>1982</v>
      </c>
      <c r="G643" s="82" t="s">
        <v>1983</v>
      </c>
    </row>
    <row r="644" spans="1:7">
      <c r="A644" s="82" t="s">
        <v>138</v>
      </c>
      <c r="B644" s="82" t="s">
        <v>1985</v>
      </c>
      <c r="C644" s="82" t="s">
        <v>1985</v>
      </c>
      <c r="D644" s="82" t="s">
        <v>1988</v>
      </c>
      <c r="E644" s="82" t="s">
        <v>1989</v>
      </c>
      <c r="F644" s="82" t="s">
        <v>1986</v>
      </c>
      <c r="G644" s="82" t="s">
        <v>1987</v>
      </c>
    </row>
    <row r="645" spans="1:7">
      <c r="A645" s="82" t="s">
        <v>138</v>
      </c>
      <c r="B645" s="82" t="s">
        <v>1990</v>
      </c>
      <c r="C645" s="82" t="s">
        <v>1990</v>
      </c>
      <c r="D645" s="89" t="s">
        <v>1993</v>
      </c>
      <c r="E645" s="82" t="s">
        <v>1994</v>
      </c>
      <c r="F645" s="82" t="s">
        <v>1991</v>
      </c>
      <c r="G645" s="82" t="s">
        <v>1992</v>
      </c>
    </row>
    <row r="646" spans="1:7">
      <c r="A646" s="82" t="s">
        <v>138</v>
      </c>
      <c r="B646" s="82" t="s">
        <v>1995</v>
      </c>
      <c r="C646" s="82" t="s">
        <v>1995</v>
      </c>
      <c r="D646" s="82" t="s">
        <v>1998</v>
      </c>
      <c r="E646" s="82" t="s">
        <v>1998</v>
      </c>
      <c r="F646" s="82" t="s">
        <v>1996</v>
      </c>
      <c r="G646" s="82" t="s">
        <v>1997</v>
      </c>
    </row>
    <row r="647" spans="1:7">
      <c r="A647" s="82" t="s">
        <v>138</v>
      </c>
      <c r="B647" s="82" t="s">
        <v>1999</v>
      </c>
      <c r="C647" s="82" t="s">
        <v>1999</v>
      </c>
      <c r="D647" s="82" t="s">
        <v>2002</v>
      </c>
      <c r="E647" s="82" t="s">
        <v>2002</v>
      </c>
      <c r="F647" s="82" t="s">
        <v>2000</v>
      </c>
      <c r="G647" s="82" t="s">
        <v>2001</v>
      </c>
    </row>
    <row r="648" spans="1:7">
      <c r="A648" s="82" t="s">
        <v>138</v>
      </c>
      <c r="B648" s="82" t="s">
        <v>2003</v>
      </c>
      <c r="C648" s="82" t="s">
        <v>2003</v>
      </c>
      <c r="D648" s="82" t="s">
        <v>2006</v>
      </c>
      <c r="E648" s="82" t="s">
        <v>2006</v>
      </c>
      <c r="F648" s="82" t="s">
        <v>2004</v>
      </c>
      <c r="G648" s="82" t="s">
        <v>2005</v>
      </c>
    </row>
    <row r="649" spans="1:7">
      <c r="A649" s="82" t="s">
        <v>138</v>
      </c>
      <c r="B649" s="82" t="s">
        <v>2007</v>
      </c>
      <c r="C649" s="82" t="s">
        <v>2007</v>
      </c>
      <c r="D649" s="82" t="s">
        <v>2010</v>
      </c>
      <c r="E649" s="82" t="s">
        <v>2010</v>
      </c>
      <c r="F649" s="82" t="s">
        <v>2008</v>
      </c>
      <c r="G649" s="82" t="s">
        <v>2009</v>
      </c>
    </row>
    <row r="650" spans="1:7">
      <c r="A650" s="82" t="s">
        <v>138</v>
      </c>
      <c r="B650" s="82" t="s">
        <v>2011</v>
      </c>
      <c r="C650" s="82" t="s">
        <v>2011</v>
      </c>
      <c r="D650" s="82" t="s">
        <v>2014</v>
      </c>
      <c r="E650" s="82" t="s">
        <v>2015</v>
      </c>
      <c r="F650" s="82" t="s">
        <v>2012</v>
      </c>
      <c r="G650" s="82" t="s">
        <v>2013</v>
      </c>
    </row>
    <row r="651" spans="1:7">
      <c r="A651" s="82" t="s">
        <v>138</v>
      </c>
      <c r="B651" s="82" t="s">
        <v>2016</v>
      </c>
      <c r="C651" s="82" t="s">
        <v>2016</v>
      </c>
      <c r="D651" s="82" t="s">
        <v>2019</v>
      </c>
      <c r="E651" s="82" t="s">
        <v>2020</v>
      </c>
      <c r="F651" s="82" t="s">
        <v>2017</v>
      </c>
      <c r="G651" s="82" t="s">
        <v>2018</v>
      </c>
    </row>
    <row r="652" spans="1:7">
      <c r="A652" s="82" t="s">
        <v>138</v>
      </c>
      <c r="B652" s="82" t="s">
        <v>2021</v>
      </c>
      <c r="C652" s="82" t="s">
        <v>2021</v>
      </c>
      <c r="D652" s="82" t="s">
        <v>2024</v>
      </c>
      <c r="E652" s="82" t="s">
        <v>2025</v>
      </c>
      <c r="F652" s="82" t="s">
        <v>2022</v>
      </c>
      <c r="G652" s="82" t="s">
        <v>2023</v>
      </c>
    </row>
    <row r="653" spans="1:7">
      <c r="A653" s="82" t="s">
        <v>138</v>
      </c>
      <c r="B653" s="82" t="s">
        <v>2026</v>
      </c>
      <c r="C653" s="82" t="s">
        <v>2026</v>
      </c>
      <c r="D653" s="82" t="s">
        <v>2029</v>
      </c>
      <c r="E653" s="82" t="s">
        <v>2030</v>
      </c>
      <c r="F653" s="82" t="s">
        <v>2027</v>
      </c>
      <c r="G653" s="82" t="s">
        <v>2028</v>
      </c>
    </row>
    <row r="654" spans="1:7">
      <c r="A654" s="82" t="s">
        <v>138</v>
      </c>
      <c r="B654" s="82" t="s">
        <v>2031</v>
      </c>
      <c r="C654" s="82" t="s">
        <v>2031</v>
      </c>
      <c r="D654" s="82" t="s">
        <v>2034</v>
      </c>
      <c r="E654" s="82" t="s">
        <v>2034</v>
      </c>
      <c r="F654" s="82" t="s">
        <v>2032</v>
      </c>
      <c r="G654" s="82" t="s">
        <v>2033</v>
      </c>
    </row>
    <row r="655" spans="1:7">
      <c r="A655" s="82" t="s">
        <v>138</v>
      </c>
      <c r="B655" s="82" t="s">
        <v>2035</v>
      </c>
      <c r="C655" s="82" t="s">
        <v>2035</v>
      </c>
      <c r="D655" s="82" t="s">
        <v>2038</v>
      </c>
      <c r="E655" s="82" t="s">
        <v>2039</v>
      </c>
      <c r="F655" s="82" t="s">
        <v>2036</v>
      </c>
      <c r="G655" s="82" t="s">
        <v>2037</v>
      </c>
    </row>
    <row r="656" spans="1:7">
      <c r="A656" s="82" t="s">
        <v>138</v>
      </c>
      <c r="B656" s="82" t="s">
        <v>2040</v>
      </c>
      <c r="C656" s="82" t="s">
        <v>250</v>
      </c>
      <c r="D656" s="82" t="s">
        <v>2043</v>
      </c>
      <c r="E656" s="82" t="s">
        <v>2044</v>
      </c>
      <c r="F656" s="82" t="s">
        <v>2041</v>
      </c>
      <c r="G656" s="82" t="s">
        <v>2042</v>
      </c>
    </row>
    <row r="657" spans="1:7">
      <c r="A657" s="82" t="s">
        <v>138</v>
      </c>
      <c r="B657" s="82" t="s">
        <v>2045</v>
      </c>
      <c r="C657" s="82" t="s">
        <v>2045</v>
      </c>
      <c r="D657" s="82" t="s">
        <v>2048</v>
      </c>
      <c r="E657" s="82" t="s">
        <v>2048</v>
      </c>
      <c r="F657" s="82" t="s">
        <v>2046</v>
      </c>
      <c r="G657" s="82" t="s">
        <v>2047</v>
      </c>
    </row>
    <row r="658" spans="1:7">
      <c r="A658" s="82" t="s">
        <v>138</v>
      </c>
      <c r="B658" s="82" t="s">
        <v>2049</v>
      </c>
      <c r="C658" s="82" t="s">
        <v>2049</v>
      </c>
      <c r="D658" s="82" t="s">
        <v>2052</v>
      </c>
      <c r="E658" s="82" t="s">
        <v>2053</v>
      </c>
      <c r="F658" s="82" t="s">
        <v>2050</v>
      </c>
      <c r="G658" s="82" t="s">
        <v>2051</v>
      </c>
    </row>
    <row r="659" spans="1:7">
      <c r="A659" s="82" t="s">
        <v>138</v>
      </c>
      <c r="B659" s="82" t="s">
        <v>970</v>
      </c>
      <c r="C659" s="82" t="s">
        <v>970</v>
      </c>
      <c r="D659" s="82" t="s">
        <v>2056</v>
      </c>
      <c r="E659" s="82" t="s">
        <v>2054</v>
      </c>
      <c r="F659" s="82" t="s">
        <v>2054</v>
      </c>
      <c r="G659" s="82" t="s">
        <v>2055</v>
      </c>
    </row>
    <row r="660" spans="1:7">
      <c r="A660" s="82" t="s">
        <v>138</v>
      </c>
      <c r="B660" s="82" t="s">
        <v>2057</v>
      </c>
      <c r="C660" s="82" t="s">
        <v>2057</v>
      </c>
      <c r="D660" s="82" t="s">
        <v>2060</v>
      </c>
      <c r="E660" s="82" t="s">
        <v>2060</v>
      </c>
      <c r="F660" s="82" t="s">
        <v>2058</v>
      </c>
      <c r="G660" s="82" t="s">
        <v>2059</v>
      </c>
    </row>
    <row r="661" spans="1:7">
      <c r="A661" s="82" t="s">
        <v>138</v>
      </c>
      <c r="B661" s="82" t="s">
        <v>2061</v>
      </c>
      <c r="C661" s="82" t="s">
        <v>2061</v>
      </c>
      <c r="D661" s="82" t="s">
        <v>2064</v>
      </c>
      <c r="E661" s="82" t="s">
        <v>2062</v>
      </c>
      <c r="F661" s="82" t="s">
        <v>2062</v>
      </c>
      <c r="G661" s="82" t="s">
        <v>2063</v>
      </c>
    </row>
    <row r="662" spans="1:7">
      <c r="A662" s="82" t="s">
        <v>138</v>
      </c>
      <c r="B662" s="82" t="s">
        <v>2065</v>
      </c>
      <c r="C662" s="82" t="s">
        <v>2065</v>
      </c>
      <c r="D662" s="82" t="s">
        <v>2068</v>
      </c>
      <c r="E662" s="82" t="s">
        <v>2069</v>
      </c>
      <c r="F662" s="82" t="s">
        <v>2066</v>
      </c>
      <c r="G662" s="82" t="s">
        <v>2067</v>
      </c>
    </row>
    <row r="663" spans="1:7">
      <c r="A663" s="82" t="s">
        <v>138</v>
      </c>
      <c r="B663" s="82" t="s">
        <v>2070</v>
      </c>
      <c r="C663" s="82" t="s">
        <v>2070</v>
      </c>
      <c r="D663" s="82" t="s">
        <v>2073</v>
      </c>
      <c r="E663" s="82" t="s">
        <v>2074</v>
      </c>
      <c r="F663" s="82" t="s">
        <v>2071</v>
      </c>
      <c r="G663" s="82" t="s">
        <v>2072</v>
      </c>
    </row>
    <row r="664" spans="1:7">
      <c r="A664" s="82" t="s">
        <v>138</v>
      </c>
      <c r="B664" s="82" t="s">
        <v>2075</v>
      </c>
      <c r="C664" s="82" t="s">
        <v>2075</v>
      </c>
      <c r="D664" s="82" t="s">
        <v>2078</v>
      </c>
      <c r="E664" s="82" t="s">
        <v>2079</v>
      </c>
      <c r="F664" s="82" t="s">
        <v>2076</v>
      </c>
      <c r="G664" s="82" t="s">
        <v>2077</v>
      </c>
    </row>
    <row r="665" spans="1:7">
      <c r="A665" s="82" t="s">
        <v>138</v>
      </c>
      <c r="B665" s="82" t="s">
        <v>2080</v>
      </c>
      <c r="C665" s="82" t="s">
        <v>2080</v>
      </c>
      <c r="D665" s="82" t="s">
        <v>2083</v>
      </c>
      <c r="E665" s="82" t="s">
        <v>2081</v>
      </c>
      <c r="F665" s="82" t="s">
        <v>2081</v>
      </c>
      <c r="G665" s="82" t="s">
        <v>2082</v>
      </c>
    </row>
    <row r="666" spans="1:7">
      <c r="A666" s="82" t="s">
        <v>138</v>
      </c>
      <c r="B666" s="82" t="s">
        <v>2084</v>
      </c>
      <c r="C666" s="82" t="s">
        <v>2084</v>
      </c>
      <c r="D666" s="82" t="s">
        <v>2087</v>
      </c>
      <c r="E666" s="82" t="s">
        <v>2088</v>
      </c>
      <c r="F666" s="82" t="s">
        <v>2085</v>
      </c>
      <c r="G666" s="82" t="s">
        <v>2086</v>
      </c>
    </row>
    <row r="667" spans="1:7">
      <c r="A667" s="82" t="s">
        <v>138</v>
      </c>
      <c r="B667" s="82" t="s">
        <v>2089</v>
      </c>
      <c r="C667" s="82" t="s">
        <v>2089</v>
      </c>
      <c r="D667" s="82" t="s">
        <v>2092</v>
      </c>
      <c r="E667" s="82" t="s">
        <v>2093</v>
      </c>
      <c r="F667" s="82" t="s">
        <v>2090</v>
      </c>
      <c r="G667" s="82" t="s">
        <v>2091</v>
      </c>
    </row>
    <row r="668" spans="1:7">
      <c r="A668" s="82" t="s">
        <v>138</v>
      </c>
      <c r="B668" s="82" t="s">
        <v>2094</v>
      </c>
      <c r="C668" s="82" t="s">
        <v>2094</v>
      </c>
      <c r="D668" s="82" t="s">
        <v>2097</v>
      </c>
      <c r="E668" s="82" t="s">
        <v>2098</v>
      </c>
      <c r="F668" s="82" t="s">
        <v>2095</v>
      </c>
      <c r="G668" s="82" t="s">
        <v>2096</v>
      </c>
    </row>
    <row r="669" spans="1:7">
      <c r="A669" s="82" t="s">
        <v>138</v>
      </c>
      <c r="B669" s="82" t="s">
        <v>2099</v>
      </c>
      <c r="C669" s="82" t="s">
        <v>250</v>
      </c>
      <c r="D669" s="82" t="s">
        <v>2102</v>
      </c>
      <c r="E669" s="82" t="s">
        <v>2103</v>
      </c>
      <c r="F669" s="82" t="s">
        <v>2100</v>
      </c>
      <c r="G669" s="82" t="s">
        <v>2101</v>
      </c>
    </row>
    <row r="670" spans="1:7">
      <c r="A670" s="82" t="s">
        <v>138</v>
      </c>
      <c r="B670" s="82" t="s">
        <v>2104</v>
      </c>
      <c r="C670" s="82" t="s">
        <v>2104</v>
      </c>
      <c r="D670" s="82" t="s">
        <v>2107</v>
      </c>
      <c r="E670" s="82" t="s">
        <v>2108</v>
      </c>
      <c r="F670" s="82" t="s">
        <v>2105</v>
      </c>
      <c r="G670" s="82" t="s">
        <v>2106</v>
      </c>
    </row>
    <row r="671" spans="1:7">
      <c r="A671" s="82" t="s">
        <v>138</v>
      </c>
      <c r="B671" s="82" t="s">
        <v>2109</v>
      </c>
      <c r="C671" s="82" t="s">
        <v>2109</v>
      </c>
      <c r="D671" s="82" t="s">
        <v>2112</v>
      </c>
      <c r="E671" s="82" t="s">
        <v>2112</v>
      </c>
      <c r="F671" s="82" t="s">
        <v>2110</v>
      </c>
      <c r="G671" s="82" t="s">
        <v>2111</v>
      </c>
    </row>
    <row r="672" spans="1:7">
      <c r="A672" s="82" t="s">
        <v>138</v>
      </c>
      <c r="B672" s="82" t="s">
        <v>2113</v>
      </c>
      <c r="C672" s="82" t="s">
        <v>2113</v>
      </c>
      <c r="D672" s="82" t="s">
        <v>2116</v>
      </c>
      <c r="E672" s="82" t="s">
        <v>2117</v>
      </c>
      <c r="F672" s="82" t="s">
        <v>2114</v>
      </c>
      <c r="G672" s="82" t="s">
        <v>2115</v>
      </c>
    </row>
    <row r="673" spans="1:7">
      <c r="A673" s="82" t="s">
        <v>138</v>
      </c>
      <c r="B673" s="82" t="s">
        <v>2118</v>
      </c>
      <c r="C673" s="82" t="s">
        <v>2118</v>
      </c>
      <c r="D673" s="82" t="s">
        <v>2121</v>
      </c>
      <c r="E673" s="82" t="s">
        <v>2121</v>
      </c>
      <c r="F673" s="82" t="s">
        <v>2119</v>
      </c>
      <c r="G673" s="82" t="s">
        <v>2120</v>
      </c>
    </row>
    <row r="674" spans="1:7">
      <c r="A674" s="82" t="s">
        <v>138</v>
      </c>
      <c r="B674" s="82" t="s">
        <v>2122</v>
      </c>
      <c r="C674" s="82" t="s">
        <v>2122</v>
      </c>
      <c r="D674" s="82" t="s">
        <v>2125</v>
      </c>
      <c r="E674" s="82" t="s">
        <v>2126</v>
      </c>
      <c r="F674" s="82" t="s">
        <v>2123</v>
      </c>
      <c r="G674" s="82" t="s">
        <v>2124</v>
      </c>
    </row>
    <row r="675" spans="1:7">
      <c r="A675" s="82" t="s">
        <v>138</v>
      </c>
      <c r="B675" s="82" t="s">
        <v>2127</v>
      </c>
      <c r="C675" s="82" t="s">
        <v>2127</v>
      </c>
      <c r="D675" s="82" t="s">
        <v>2130</v>
      </c>
      <c r="E675" s="82" t="s">
        <v>2131</v>
      </c>
      <c r="F675" s="82" t="s">
        <v>2128</v>
      </c>
      <c r="G675" s="82" t="s">
        <v>2129</v>
      </c>
    </row>
    <row r="676" spans="1:7">
      <c r="A676" s="82" t="s">
        <v>138</v>
      </c>
      <c r="B676" s="82" t="s">
        <v>2132</v>
      </c>
      <c r="C676" s="82" t="s">
        <v>2132</v>
      </c>
      <c r="D676" s="82" t="s">
        <v>2135</v>
      </c>
      <c r="E676" s="82" t="s">
        <v>2136</v>
      </c>
      <c r="F676" s="82" t="s">
        <v>2133</v>
      </c>
      <c r="G676" s="82" t="s">
        <v>2134</v>
      </c>
    </row>
    <row r="677" spans="1:7">
      <c r="B677" s="82" t="s">
        <v>2137</v>
      </c>
      <c r="C677" s="82" t="s">
        <v>2137</v>
      </c>
      <c r="D677" s="82" t="s">
        <v>2140</v>
      </c>
      <c r="E677" s="82" t="s">
        <v>2141</v>
      </c>
      <c r="F677" s="82" t="s">
        <v>2138</v>
      </c>
      <c r="G677" s="82" t="s">
        <v>2139</v>
      </c>
    </row>
    <row r="678" spans="1:7">
      <c r="B678" s="82" t="s">
        <v>2142</v>
      </c>
      <c r="C678" s="82" t="s">
        <v>2142</v>
      </c>
      <c r="D678" s="82" t="s">
        <v>2145</v>
      </c>
      <c r="E678" s="82" t="s">
        <v>2146</v>
      </c>
      <c r="F678" s="82" t="s">
        <v>2143</v>
      </c>
      <c r="G678" s="82" t="s">
        <v>2144</v>
      </c>
    </row>
    <row r="679" spans="1:7">
      <c r="B679" s="82" t="s">
        <v>2147</v>
      </c>
      <c r="C679" s="82" t="s">
        <v>2147</v>
      </c>
      <c r="D679" s="82" t="s">
        <v>2150</v>
      </c>
      <c r="E679" s="82" t="s">
        <v>2151</v>
      </c>
      <c r="F679" s="82" t="s">
        <v>2148</v>
      </c>
      <c r="G679" s="82" t="s">
        <v>2149</v>
      </c>
    </row>
    <row r="680" spans="1:7">
      <c r="B680" s="82" t="s">
        <v>2152</v>
      </c>
      <c r="C680" s="82" t="s">
        <v>2152</v>
      </c>
      <c r="D680" s="82" t="s">
        <v>2155</v>
      </c>
      <c r="E680" s="82" t="s">
        <v>2156</v>
      </c>
      <c r="F680" s="82" t="s">
        <v>2153</v>
      </c>
      <c r="G680" s="82" t="s">
        <v>2154</v>
      </c>
    </row>
    <row r="681" spans="1:7">
      <c r="B681" s="82" t="s">
        <v>2157</v>
      </c>
      <c r="C681" s="82" t="s">
        <v>2157</v>
      </c>
      <c r="D681" s="82" t="s">
        <v>2160</v>
      </c>
      <c r="E681" s="82" t="s">
        <v>2161</v>
      </c>
      <c r="F681" s="82" t="s">
        <v>2158</v>
      </c>
      <c r="G681" s="82" t="s">
        <v>2159</v>
      </c>
    </row>
    <row r="682" spans="1:7">
      <c r="B682" s="82" t="s">
        <v>2162</v>
      </c>
      <c r="C682" s="82" t="s">
        <v>2162</v>
      </c>
      <c r="D682" s="82" t="s">
        <v>2165</v>
      </c>
      <c r="E682" s="82" t="s">
        <v>2166</v>
      </c>
      <c r="F682" s="82" t="s">
        <v>2163</v>
      </c>
      <c r="G682" s="82" t="s">
        <v>2164</v>
      </c>
    </row>
    <row r="683" spans="1:7">
      <c r="B683" s="82" t="s">
        <v>2167</v>
      </c>
      <c r="C683" s="82" t="s">
        <v>2167</v>
      </c>
      <c r="D683" s="82" t="s">
        <v>2170</v>
      </c>
      <c r="E683" s="82" t="s">
        <v>2171</v>
      </c>
      <c r="F683" s="82" t="s">
        <v>2168</v>
      </c>
      <c r="G683" s="82" t="s">
        <v>2169</v>
      </c>
    </row>
    <row r="684" spans="1:7">
      <c r="A684" s="90" t="s">
        <v>2205</v>
      </c>
      <c r="B684" s="90" t="s">
        <v>2204</v>
      </c>
      <c r="C684" s="82" t="s">
        <v>2173</v>
      </c>
      <c r="D684" s="82" t="s">
        <v>2174</v>
      </c>
    </row>
    <row r="685" spans="1:7">
      <c r="B685" s="82" t="s">
        <v>59</v>
      </c>
      <c r="C685" s="82" t="s">
        <v>59</v>
      </c>
      <c r="D685" s="82" t="s">
        <v>2175</v>
      </c>
    </row>
    <row r="686" spans="1:7">
      <c r="B686" s="82" t="s">
        <v>2176</v>
      </c>
      <c r="C686" s="82" t="s">
        <v>2176</v>
      </c>
      <c r="D686" s="82" t="s">
        <v>2177</v>
      </c>
    </row>
    <row r="687" spans="1:7">
      <c r="B687" s="82" t="s">
        <v>2178</v>
      </c>
      <c r="C687" s="82" t="s">
        <v>2178</v>
      </c>
      <c r="D687" s="82" t="s">
        <v>2179</v>
      </c>
    </row>
    <row r="688" spans="1:7">
      <c r="B688" s="82" t="s">
        <v>57</v>
      </c>
      <c r="C688" s="82" t="s">
        <v>57</v>
      </c>
      <c r="D688" s="82" t="s">
        <v>2180</v>
      </c>
    </row>
    <row r="689" spans="2:4">
      <c r="B689" s="82" t="s">
        <v>58</v>
      </c>
      <c r="C689" s="82" t="s">
        <v>58</v>
      </c>
      <c r="D689" s="82" t="s">
        <v>2181</v>
      </c>
    </row>
    <row r="690" spans="2:4">
      <c r="B690" s="82" t="s">
        <v>60</v>
      </c>
      <c r="C690" s="82" t="s">
        <v>60</v>
      </c>
      <c r="D690" s="82" t="s">
        <v>2182</v>
      </c>
    </row>
    <row r="691" spans="2:4">
      <c r="B691" s="82" t="s">
        <v>2183</v>
      </c>
      <c r="C691" s="82" t="s">
        <v>2183</v>
      </c>
      <c r="D691" s="82" t="s">
        <v>2184</v>
      </c>
    </row>
    <row r="692" spans="2:4">
      <c r="B692" s="82" t="s">
        <v>61</v>
      </c>
      <c r="C692" s="82" t="s">
        <v>61</v>
      </c>
      <c r="D692" s="82" t="s">
        <v>2185</v>
      </c>
    </row>
    <row r="693" spans="2:4">
      <c r="B693" s="82" t="s">
        <v>62</v>
      </c>
      <c r="C693" s="82" t="s">
        <v>62</v>
      </c>
      <c r="D693" s="82" t="s">
        <v>2186</v>
      </c>
    </row>
    <row r="694" spans="2:4">
      <c r="B694" s="82" t="s">
        <v>2187</v>
      </c>
      <c r="C694" s="82" t="s">
        <v>2187</v>
      </c>
      <c r="D694" s="82" t="s">
        <v>2188</v>
      </c>
    </row>
    <row r="695" spans="2:4">
      <c r="B695" s="82" t="s">
        <v>68</v>
      </c>
      <c r="C695" s="82" t="s">
        <v>68</v>
      </c>
      <c r="D695" s="82" t="s">
        <v>2189</v>
      </c>
    </row>
    <row r="696" spans="2:4">
      <c r="B696" s="82" t="s">
        <v>2190</v>
      </c>
      <c r="C696" s="82" t="s">
        <v>2190</v>
      </c>
      <c r="D696" s="82" t="s">
        <v>2191</v>
      </c>
    </row>
    <row r="697" spans="2:4">
      <c r="B697" s="82" t="s">
        <v>2192</v>
      </c>
      <c r="C697" s="82" t="s">
        <v>2192</v>
      </c>
      <c r="D697" s="82" t="s">
        <v>2193</v>
      </c>
    </row>
    <row r="698" spans="2:4">
      <c r="B698" s="82" t="s">
        <v>54</v>
      </c>
      <c r="C698" s="82" t="s">
        <v>54</v>
      </c>
      <c r="D698" s="82" t="s">
        <v>2194</v>
      </c>
    </row>
    <row r="699" spans="2:4">
      <c r="B699" s="82" t="s">
        <v>45</v>
      </c>
      <c r="C699" s="82" t="s">
        <v>45</v>
      </c>
      <c r="D699" s="82" t="s">
        <v>2195</v>
      </c>
    </row>
    <row r="700" spans="2:4">
      <c r="B700" s="82" t="s">
        <v>113</v>
      </c>
      <c r="C700" s="82" t="s">
        <v>113</v>
      </c>
      <c r="D700" s="82" t="s">
        <v>2196</v>
      </c>
    </row>
    <row r="701" spans="2:4">
      <c r="B701" s="82" t="s">
        <v>56</v>
      </c>
      <c r="C701" s="82" t="s">
        <v>56</v>
      </c>
      <c r="D701" s="82" t="s">
        <v>2197</v>
      </c>
    </row>
    <row r="702" spans="2:4">
      <c r="B702" s="82" t="s">
        <v>47</v>
      </c>
      <c r="C702" s="82" t="s">
        <v>47</v>
      </c>
      <c r="D702" s="82" t="s">
        <v>2198</v>
      </c>
    </row>
    <row r="703" spans="2:4">
      <c r="B703" s="82" t="s">
        <v>53</v>
      </c>
      <c r="C703" s="82" t="s">
        <v>53</v>
      </c>
      <c r="D703" s="82" t="s">
        <v>2199</v>
      </c>
    </row>
    <row r="704" spans="2:4">
      <c r="B704" s="82" t="s">
        <v>48</v>
      </c>
      <c r="C704" s="82" t="s">
        <v>48</v>
      </c>
      <c r="D704" s="82" t="s">
        <v>2200</v>
      </c>
    </row>
    <row r="705" spans="1:4">
      <c r="B705" s="82" t="s">
        <v>81</v>
      </c>
      <c r="C705" s="82" t="s">
        <v>81</v>
      </c>
      <c r="D705" s="82" t="s">
        <v>310</v>
      </c>
    </row>
    <row r="706" spans="1:4">
      <c r="B706" s="82" t="s">
        <v>112</v>
      </c>
      <c r="C706" s="82" t="s">
        <v>112</v>
      </c>
      <c r="D706" s="82" t="s">
        <v>2194</v>
      </c>
    </row>
    <row r="707" spans="1:4">
      <c r="A707" s="90" t="s">
        <v>2205</v>
      </c>
      <c r="B707" s="82" t="s">
        <v>2206</v>
      </c>
      <c r="C707" s="82" t="s">
        <v>2201</v>
      </c>
      <c r="D707" s="82" t="s">
        <v>2202</v>
      </c>
    </row>
    <row r="708" spans="1:4">
      <c r="B708" s="82" t="s">
        <v>103</v>
      </c>
      <c r="C708" s="82" t="s">
        <v>103</v>
      </c>
      <c r="D708" s="82" t="s">
        <v>2203</v>
      </c>
    </row>
    <row r="709" spans="1:4">
      <c r="B709" s="91" t="s">
        <v>107</v>
      </c>
      <c r="C709" s="91" t="s">
        <v>107</v>
      </c>
      <c r="D709" s="91" t="s">
        <v>2207</v>
      </c>
    </row>
    <row r="710" spans="1:4">
      <c r="B710" s="92" t="s">
        <v>2208</v>
      </c>
      <c r="C710" s="92" t="s">
        <v>2208</v>
      </c>
      <c r="D710" s="92" t="s">
        <v>2209</v>
      </c>
    </row>
  </sheetData>
  <phoneticPr fontId="2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Main Monitor</vt:lpstr>
      <vt:lpstr>Historical - Raw data</vt:lpstr>
      <vt:lpstr>Interest Rate Curves</vt:lpstr>
      <vt:lpstr>Currency-Curve List</vt:lpstr>
      <vt:lpstr>Help</vt:lpstr>
      <vt:lpstr>HistChartData</vt:lpstr>
      <vt:lpstr>HLPBRD_IB</vt:lpstr>
      <vt:lpstr>HLPBRD_IR</vt:lpstr>
      <vt:lpstr>HLPBRD_OBR</vt:lpstr>
      <vt:lpstr>Input_CCYTickers</vt:lpstr>
      <vt:lpstr>LANG_ID</vt:lpstr>
      <vt:lpstr>LANGUAGE_SELECTION</vt:lpstr>
      <vt:lpstr>Tenor1</vt:lpstr>
      <vt:lpstr>Tenor2</vt:lpstr>
      <vt:lpstr>Tenor3</vt:lpstr>
      <vt:lpstr>Tenor4</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dc:creator>
  <cp:lastModifiedBy>Federicka</cp:lastModifiedBy>
  <dcterms:created xsi:type="dcterms:W3CDTF">2010-08-18T17:00:17Z</dcterms:created>
  <dcterms:modified xsi:type="dcterms:W3CDTF">2025-10-17T17:14:04Z</dcterms:modified>
</cp:coreProperties>
</file>