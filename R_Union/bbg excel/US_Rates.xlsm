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R_Union\bbg excel\"/>
    </mc:Choice>
  </mc:AlternateContent>
  <xr:revisionPtr revIDLastSave="0" documentId="8_{E17825F2-CA46-4B7A-8C39-8589A3BBCCBA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Rates" sheetId="1" r:id="rId1"/>
    <sheet name="Sheet2" sheetId="2" r:id="rId2"/>
    <sheet name="Help" sheetId="3" r:id="rId3"/>
  </sheets>
  <functionGroups builtInGroupCount="19"/>
  <definedNames>
    <definedName name="AUD">Rates!$V$85</definedName>
    <definedName name="basisLink">Sheet2!$B$3</definedName>
    <definedName name="BasisSwaps">Rates!$K$47</definedName>
    <definedName name="CAD">Rates!$M$85</definedName>
    <definedName name="CHF">Rates!$S$85</definedName>
    <definedName name="CMSSwaps">Rates!$F$152</definedName>
    <definedName name="Commodities">Rates!$F$117</definedName>
    <definedName name="CPLibor">Rates!$O$47</definedName>
    <definedName name="EquityIndices">Rates!$U$20</definedName>
    <definedName name="EUR">Rates!$G$85</definedName>
    <definedName name="EuriborFutures">Rates!$U$70</definedName>
    <definedName name="EuroFutures1M">Rates!$P$70</definedName>
    <definedName name="EuroFutures3M">Rates!$F$70</definedName>
    <definedName name="FedFundsFutures">Rates!$K$70</definedName>
    <definedName name="FFLibor">Rates!$L$47</definedName>
    <definedName name="FRALink">Sheet2!$B$6</definedName>
    <definedName name="FRAs">Rates!$F$127</definedName>
    <definedName name="Futures">Rates!$U$9</definedName>
    <definedName name="FX">Rates!$F$85</definedName>
    <definedName name="GbP">Rates!$J$85</definedName>
    <definedName name="GlobalBonds">Rates!$AE$9</definedName>
    <definedName name="HLPBRD_IB">Help!$D$40:$R$43</definedName>
    <definedName name="HLPBRD_IR">Help!$S$10:$T$39</definedName>
    <definedName name="HLPBRD_OBR">Help!$U$44:$X$52</definedName>
    <definedName name="IMMSwaps">Rates!$O$127</definedName>
    <definedName name="JPY">Rates!$P$85</definedName>
    <definedName name="Libor">Rates!$F$28</definedName>
    <definedName name="Libor1M3M">Rates!$X$47</definedName>
    <definedName name="Libor1M6M">Rates!$AD$47</definedName>
    <definedName name="Libor3M12M">Rates!$AG$47</definedName>
    <definedName name="Libor3M6M">Rates!$AA$47</definedName>
    <definedName name="LiborPriceLink">Sheet2!$B$8</definedName>
    <definedName name="MaturityLink">Sheet2!$B$7</definedName>
    <definedName name="OIS">Rates!$F$47</definedName>
    <definedName name="OISLink">Sheet2!$B$4</definedName>
    <definedName name="PrimeLibor">Rates!$R$47</definedName>
    <definedName name="rateSpreadLink">Sheet2!$B$2</definedName>
    <definedName name="swapLink">Sheet2!$B$1</definedName>
    <definedName name="Swaps">Rates!$J$28</definedName>
    <definedName name="SwaptionPremiums">Rates!$F$100</definedName>
    <definedName name="SwaptionVols">Rates!$P$100</definedName>
    <definedName name="TbillLibor">Rates!$U$47</definedName>
    <definedName name="UST">Rates!$F$9</definedName>
    <definedName name="VolLink">Sheet2!$B$5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6" i="1" l="1"/>
  <c r="T105" i="1"/>
  <c r="I115" i="1"/>
  <c r="T115" i="1"/>
  <c r="P104" i="1"/>
  <c r="P80" i="1"/>
  <c r="Q80" i="1" s="1"/>
  <c r="N113" i="1"/>
  <c r="U74" i="1"/>
  <c r="V74" i="1" s="1"/>
  <c r="R108" i="1"/>
  <c r="G29" i="1"/>
  <c r="S110" i="1"/>
  <c r="P74" i="1"/>
  <c r="Q74" i="1" s="1"/>
  <c r="Q108" i="1"/>
  <c r="O109" i="1"/>
  <c r="M108" i="1"/>
  <c r="S115" i="1"/>
  <c r="L110" i="1"/>
  <c r="V108" i="1"/>
  <c r="M104" i="1"/>
  <c r="R113" i="1"/>
  <c r="I104" i="1"/>
  <c r="X112" i="1"/>
  <c r="M19" i="1"/>
  <c r="Q113" i="1"/>
  <c r="U83" i="1"/>
  <c r="V83" i="1" s="1"/>
  <c r="H104" i="1"/>
  <c r="F73" i="1"/>
  <c r="G73" i="1" s="1"/>
  <c r="L122" i="1"/>
  <c r="M122" i="1" s="1"/>
  <c r="N112" i="1"/>
  <c r="H108" i="1"/>
  <c r="J111" i="1"/>
  <c r="J103" i="1"/>
  <c r="X114" i="1"/>
  <c r="O123" i="1"/>
  <c r="P123" i="1" s="1"/>
  <c r="U123" i="1"/>
  <c r="I107" i="1"/>
  <c r="O120" i="1"/>
  <c r="P120" i="1" s="1"/>
  <c r="L106" i="1"/>
  <c r="P109" i="1"/>
  <c r="L109" i="1"/>
  <c r="S111" i="1"/>
  <c r="V12" i="1"/>
  <c r="Z12" i="1" s="1"/>
  <c r="S102" i="1"/>
  <c r="F123" i="1"/>
  <c r="G123" i="1" s="1"/>
  <c r="L112" i="1"/>
  <c r="U106" i="1"/>
  <c r="K106" i="1"/>
  <c r="J107" i="1"/>
  <c r="R103" i="1"/>
  <c r="I122" i="1"/>
  <c r="J122" i="1" s="1"/>
  <c r="R105" i="1"/>
  <c r="H107" i="1"/>
  <c r="Q107" i="1"/>
  <c r="K76" i="1"/>
  <c r="L76" i="1" s="1"/>
  <c r="Q102" i="1"/>
  <c r="H109" i="1"/>
  <c r="U112" i="1"/>
  <c r="W113" i="1"/>
  <c r="M12" i="1"/>
  <c r="L120" i="1"/>
  <c r="M120" i="1" s="1"/>
  <c r="V113" i="1"/>
  <c r="H111" i="1"/>
  <c r="U102" i="1"/>
  <c r="M11" i="1"/>
  <c r="L111" i="1"/>
  <c r="F72" i="1"/>
  <c r="G72" i="1" s="1"/>
  <c r="Q110" i="1"/>
  <c r="J105" i="1"/>
  <c r="T102" i="1"/>
  <c r="U111" i="1"/>
  <c r="S113" i="1"/>
  <c r="I113" i="1"/>
  <c r="U75" i="1"/>
  <c r="V75" i="1" s="1"/>
  <c r="P108" i="1"/>
  <c r="F122" i="1"/>
  <c r="G122" i="1" s="1"/>
  <c r="S104" i="1"/>
  <c r="M14" i="1"/>
  <c r="U104" i="1"/>
  <c r="K82" i="1"/>
  <c r="L82" i="1" s="1"/>
  <c r="T110" i="1"/>
  <c r="H102" i="1"/>
  <c r="V112" i="1"/>
  <c r="J104" i="1"/>
  <c r="W106" i="1"/>
  <c r="P73" i="1"/>
  <c r="Q73" i="1" s="1"/>
  <c r="J113" i="1"/>
  <c r="W102" i="1"/>
  <c r="G105" i="1"/>
  <c r="M112" i="1"/>
  <c r="O111" i="1"/>
  <c r="K103" i="1"/>
  <c r="N108" i="1"/>
  <c r="H32" i="1"/>
  <c r="H103" i="1"/>
  <c r="G112" i="1"/>
  <c r="S105" i="1"/>
  <c r="I106" i="1"/>
  <c r="G33" i="1"/>
  <c r="G43" i="1"/>
  <c r="H112" i="1"/>
  <c r="N109" i="1"/>
  <c r="I123" i="1"/>
  <c r="J123" i="1" s="1"/>
  <c r="F120" i="1"/>
  <c r="G120" i="1" s="1"/>
  <c r="H114" i="1"/>
  <c r="Q111" i="1"/>
  <c r="R123" i="1"/>
  <c r="S123" i="1" s="1"/>
  <c r="T112" i="1"/>
  <c r="I120" i="1"/>
  <c r="J120" i="1" s="1"/>
  <c r="K81" i="1"/>
  <c r="L81" i="1" s="1"/>
  <c r="K104" i="1"/>
  <c r="M102" i="1"/>
  <c r="Q104" i="1"/>
  <c r="G114" i="1"/>
  <c r="R104" i="1"/>
  <c r="V115" i="1"/>
  <c r="F75" i="1"/>
  <c r="G75" i="1" s="1"/>
  <c r="M111" i="1"/>
  <c r="L114" i="1"/>
  <c r="V102" i="1"/>
  <c r="W109" i="1"/>
  <c r="F76" i="1"/>
  <c r="G76" i="1" s="1"/>
  <c r="N111" i="1"/>
  <c r="O107" i="1"/>
  <c r="W110" i="1"/>
  <c r="Q103" i="1"/>
  <c r="K108" i="1"/>
  <c r="X115" i="1"/>
  <c r="G104" i="1"/>
  <c r="K77" i="1"/>
  <c r="L77" i="1" s="1"/>
  <c r="U122" i="1"/>
  <c r="I121" i="1"/>
  <c r="J121" i="1" s="1"/>
  <c r="J114" i="1"/>
  <c r="G108" i="1"/>
  <c r="V109" i="1"/>
  <c r="F77" i="1"/>
  <c r="G77" i="1" s="1"/>
  <c r="P110" i="1"/>
  <c r="U76" i="1"/>
  <c r="V76" i="1" s="1"/>
  <c r="U120" i="1"/>
  <c r="V11" i="1"/>
  <c r="AB11" i="1" s="1"/>
  <c r="I103" i="1"/>
  <c r="J102" i="1"/>
  <c r="S106" i="1"/>
  <c r="X113" i="1"/>
  <c r="G103" i="1"/>
  <c r="W108" i="1"/>
  <c r="X104" i="1"/>
  <c r="G102" i="1"/>
  <c r="P112" i="1"/>
  <c r="I114" i="1"/>
  <c r="W111" i="1"/>
  <c r="K112" i="1"/>
  <c r="P79" i="1"/>
  <c r="Q79" i="1" s="1"/>
  <c r="F78" i="1"/>
  <c r="G78" i="1" s="1"/>
  <c r="T108" i="1"/>
  <c r="X111" i="1"/>
  <c r="S112" i="1"/>
  <c r="H34" i="1"/>
  <c r="P114" i="1"/>
  <c r="S107" i="1"/>
  <c r="M16" i="1"/>
  <c r="K78" i="1"/>
  <c r="L78" i="1" s="1"/>
  <c r="F81" i="1"/>
  <c r="G81" i="1" s="1"/>
  <c r="K74" i="1"/>
  <c r="L74" i="1" s="1"/>
  <c r="K105" i="1"/>
  <c r="J112" i="1"/>
  <c r="G115" i="1"/>
  <c r="H43" i="1"/>
  <c r="W105" i="1"/>
  <c r="X110" i="1"/>
  <c r="X102" i="1"/>
  <c r="T104" i="1"/>
  <c r="L103" i="1"/>
  <c r="T113" i="1"/>
  <c r="H30" i="1"/>
  <c r="I109" i="1"/>
  <c r="P111" i="1"/>
  <c r="O108" i="1"/>
  <c r="R111" i="1"/>
  <c r="P83" i="1"/>
  <c r="Q83" i="1" s="1"/>
  <c r="P75" i="1"/>
  <c r="Q75" i="1" s="1"/>
  <c r="T109" i="1"/>
  <c r="S108" i="1"/>
  <c r="P105" i="1"/>
  <c r="U79" i="1"/>
  <c r="V79" i="1" s="1"/>
  <c r="K75" i="1"/>
  <c r="L75" i="1" s="1"/>
  <c r="P76" i="1"/>
  <c r="Q76" i="1" s="1"/>
  <c r="J109" i="1"/>
  <c r="V14" i="1"/>
  <c r="AB14" i="1" s="1"/>
  <c r="F82" i="1"/>
  <c r="G82" i="1" s="1"/>
  <c r="U80" i="1"/>
  <c r="V80" i="1" s="1"/>
  <c r="O115" i="1"/>
  <c r="Q106" i="1"/>
  <c r="U72" i="1"/>
  <c r="V72" i="1" s="1"/>
  <c r="F79" i="1"/>
  <c r="G79" i="1" s="1"/>
  <c r="W112" i="1"/>
  <c r="X109" i="1"/>
  <c r="I102" i="1"/>
  <c r="K115" i="1"/>
  <c r="M106" i="1"/>
  <c r="P115" i="1"/>
  <c r="S103" i="1"/>
  <c r="N110" i="1"/>
  <c r="P72" i="1"/>
  <c r="Q72" i="1" s="1"/>
  <c r="R106" i="1"/>
  <c r="Q115" i="1"/>
  <c r="N114" i="1"/>
  <c r="M105" i="1"/>
  <c r="T114" i="1"/>
  <c r="M24" i="1"/>
  <c r="P102" i="1"/>
  <c r="I112" i="1"/>
  <c r="P82" i="1"/>
  <c r="Q82" i="1" s="1"/>
  <c r="U110" i="1"/>
  <c r="T106" i="1"/>
  <c r="W107" i="1"/>
  <c r="U121" i="1"/>
  <c r="K113" i="1"/>
  <c r="O110" i="1"/>
  <c r="R114" i="1"/>
  <c r="G106" i="1"/>
  <c r="W115" i="1"/>
  <c r="L123" i="1"/>
  <c r="M123" i="1" s="1"/>
  <c r="R109" i="1"/>
  <c r="K110" i="1"/>
  <c r="M103" i="1"/>
  <c r="L105" i="1"/>
  <c r="L102" i="1"/>
  <c r="V16" i="1"/>
  <c r="AA16" i="1" s="1"/>
  <c r="U115" i="1"/>
  <c r="K109" i="1"/>
  <c r="L113" i="1"/>
  <c r="M114" i="1"/>
  <c r="K107" i="1"/>
  <c r="P106" i="1"/>
  <c r="U82" i="1"/>
  <c r="V82" i="1" s="1"/>
  <c r="U109" i="1"/>
  <c r="T111" i="1"/>
  <c r="U108" i="1"/>
  <c r="M107" i="1"/>
  <c r="I111" i="1"/>
  <c r="Q105" i="1"/>
  <c r="O104" i="1"/>
  <c r="F80" i="1"/>
  <c r="G80" i="1" s="1"/>
  <c r="V110" i="1"/>
  <c r="R115" i="1"/>
  <c r="O106" i="1"/>
  <c r="Q109" i="1"/>
  <c r="U113" i="1"/>
  <c r="X108" i="1"/>
  <c r="V104" i="1"/>
  <c r="W104" i="1"/>
  <c r="V107" i="1"/>
  <c r="H105" i="1"/>
  <c r="O102" i="1"/>
  <c r="V105" i="1"/>
  <c r="N106" i="1"/>
  <c r="G113" i="1"/>
  <c r="P77" i="1"/>
  <c r="Q77" i="1" s="1"/>
  <c r="P103" i="1"/>
  <c r="L121" i="1"/>
  <c r="M121" i="1" s="1"/>
  <c r="Q112" i="1"/>
  <c r="M113" i="1"/>
  <c r="U105" i="1"/>
  <c r="U73" i="1"/>
  <c r="V73" i="1" s="1"/>
  <c r="O103" i="1"/>
  <c r="L108" i="1"/>
  <c r="H113" i="1"/>
  <c r="G37" i="1"/>
  <c r="G111" i="1"/>
  <c r="K102" i="1"/>
  <c r="K79" i="1"/>
  <c r="L79" i="1" s="1"/>
  <c r="U78" i="1"/>
  <c r="V78" i="1" s="1"/>
  <c r="P113" i="1"/>
  <c r="F83" i="1"/>
  <c r="G83" i="1" s="1"/>
  <c r="R102" i="1"/>
  <c r="P107" i="1"/>
  <c r="O114" i="1"/>
  <c r="W103" i="1"/>
  <c r="R120" i="1"/>
  <c r="V120" i="1" s="1"/>
  <c r="F121" i="1"/>
  <c r="G121" i="1" s="1"/>
  <c r="R110" i="1"/>
  <c r="T107" i="1"/>
  <c r="N103" i="1"/>
  <c r="H37" i="1"/>
  <c r="I110" i="1"/>
  <c r="T103" i="1"/>
  <c r="N104" i="1"/>
  <c r="K72" i="1"/>
  <c r="L72" i="1" s="1"/>
  <c r="R122" i="1"/>
  <c r="S122" i="1" s="1"/>
  <c r="U77" i="1"/>
  <c r="V77" i="1" s="1"/>
  <c r="F74" i="1"/>
  <c r="G74" i="1" s="1"/>
  <c r="I108" i="1"/>
  <c r="L115" i="1"/>
  <c r="V111" i="1"/>
  <c r="Q114" i="1"/>
  <c r="X103" i="1"/>
  <c r="L104" i="1"/>
  <c r="R107" i="1"/>
  <c r="J108" i="1"/>
  <c r="O113" i="1"/>
  <c r="G34" i="1"/>
  <c r="X105" i="1"/>
  <c r="I105" i="1"/>
  <c r="V114" i="1"/>
  <c r="O112" i="1"/>
  <c r="R112" i="1"/>
  <c r="X107" i="1"/>
  <c r="H110" i="1"/>
  <c r="V17" i="1"/>
  <c r="W17" i="1" s="1"/>
  <c r="S114" i="1"/>
  <c r="K73" i="1"/>
  <c r="L73" i="1" s="1"/>
  <c r="O122" i="1"/>
  <c r="P122" i="1" s="1"/>
  <c r="W114" i="1"/>
  <c r="G30" i="1"/>
  <c r="J106" i="1"/>
  <c r="N105" i="1"/>
  <c r="O121" i="1"/>
  <c r="P121" i="1" s="1"/>
  <c r="M115" i="1"/>
  <c r="R121" i="1"/>
  <c r="S121" i="1" s="1"/>
  <c r="K80" i="1"/>
  <c r="L80" i="1" s="1"/>
  <c r="V13" i="1"/>
  <c r="AA13" i="1" s="1"/>
  <c r="M109" i="1"/>
  <c r="U107" i="1"/>
  <c r="U81" i="1"/>
  <c r="V81" i="1" s="1"/>
  <c r="K114" i="1"/>
  <c r="P81" i="1"/>
  <c r="Q81" i="1" s="1"/>
  <c r="P78" i="1"/>
  <c r="Q78" i="1" s="1"/>
  <c r="J115" i="1"/>
  <c r="H115" i="1"/>
  <c r="N102" i="1"/>
  <c r="H29" i="1"/>
  <c r="V18" i="1"/>
  <c r="AB18" i="1" s="1"/>
  <c r="J110" i="1"/>
  <c r="V15" i="1"/>
  <c r="Z15" i="1" s="1"/>
  <c r="G32" i="1"/>
  <c r="V106" i="1"/>
  <c r="N107" i="1"/>
  <c r="G107" i="1"/>
  <c r="H106" i="1"/>
  <c r="U103" i="1"/>
  <c r="O105" i="1"/>
  <c r="K111" i="1"/>
  <c r="M110" i="1"/>
  <c r="G109" i="1"/>
  <c r="S109" i="1"/>
  <c r="G110" i="1"/>
  <c r="N115" i="1"/>
  <c r="V103" i="1"/>
  <c r="U114" i="1"/>
  <c r="H33" i="1"/>
  <c r="K83" i="1"/>
  <c r="L83" i="1" s="1"/>
  <c r="X106" i="1"/>
  <c r="L107" i="1"/>
  <c r="V95" i="1"/>
  <c r="T88" i="1"/>
  <c r="X87" i="1"/>
  <c r="AD26" i="1"/>
  <c r="P19" i="1"/>
  <c r="T130" i="1"/>
  <c r="G163" i="1"/>
  <c r="K162" i="1"/>
  <c r="K161" i="1"/>
  <c r="W155" i="1"/>
  <c r="G63" i="1"/>
  <c r="AA61" i="1"/>
  <c r="AA50" i="1"/>
  <c r="O58" i="1"/>
  <c r="AG52" i="1"/>
  <c r="V91" i="1"/>
  <c r="I90" i="1"/>
  <c r="N22" i="1"/>
  <c r="S19" i="1"/>
  <c r="Q13" i="1"/>
  <c r="W90" i="1"/>
  <c r="V132" i="1"/>
  <c r="P163" i="1"/>
  <c r="Y157" i="1"/>
  <c r="G158" i="1"/>
  <c r="S155" i="1"/>
  <c r="H63" i="1"/>
  <c r="AA52" i="1"/>
  <c r="L51" i="1"/>
  <c r="S55" i="1"/>
  <c r="AH61" i="1"/>
  <c r="O95" i="1"/>
  <c r="R19" i="1"/>
  <c r="K87" i="1"/>
  <c r="K89" i="1"/>
  <c r="R23" i="1"/>
  <c r="AG16" i="1"/>
  <c r="R149" i="1"/>
  <c r="O93" i="1"/>
  <c r="AI12" i="1"/>
  <c r="M88" i="1"/>
  <c r="S96" i="1"/>
  <c r="S21" i="1"/>
  <c r="R16" i="1"/>
  <c r="V150" i="1"/>
  <c r="K163" i="1"/>
  <c r="P155" i="1"/>
  <c r="R133" i="1"/>
  <c r="G141" i="1"/>
  <c r="H57" i="1"/>
  <c r="P54" i="1"/>
  <c r="S60" i="1"/>
  <c r="O57" i="1"/>
  <c r="AE56" i="1"/>
  <c r="H89" i="1"/>
  <c r="G96" i="1"/>
  <c r="J12" i="1"/>
  <c r="S88" i="1"/>
  <c r="P13" i="1"/>
  <c r="X25" i="1"/>
  <c r="I139" i="1"/>
  <c r="Z157" i="1"/>
  <c r="U162" i="1"/>
  <c r="U161" i="1"/>
  <c r="U164" i="1"/>
  <c r="H64" i="1"/>
  <c r="I88" i="1"/>
  <c r="K88" i="1"/>
  <c r="P12" i="1"/>
  <c r="AB26" i="1"/>
  <c r="W96" i="1"/>
  <c r="I91" i="1"/>
  <c r="Y163" i="1"/>
  <c r="R160" i="1"/>
  <c r="W156" i="1"/>
  <c r="X132" i="1"/>
  <c r="V131" i="1"/>
  <c r="H59" i="1"/>
  <c r="R54" i="1"/>
  <c r="O49" i="1"/>
  <c r="AA64" i="1"/>
  <c r="R55" i="1"/>
  <c r="X88" i="1"/>
  <c r="W23" i="1"/>
  <c r="L87" i="1"/>
  <c r="H90" i="1"/>
  <c r="S23" i="1"/>
  <c r="AG13" i="1"/>
  <c r="G159" i="1"/>
  <c r="K131" i="1"/>
  <c r="I156" i="1"/>
  <c r="H160" i="1"/>
  <c r="O161" i="1"/>
  <c r="H53" i="1"/>
  <c r="R56" i="1"/>
  <c r="L56" i="1"/>
  <c r="AA63" i="1"/>
  <c r="K31" i="1"/>
  <c r="O87" i="1"/>
  <c r="G93" i="1"/>
  <c r="N93" i="1"/>
  <c r="S92" i="1"/>
  <c r="Q95" i="1"/>
  <c r="J157" i="1"/>
  <c r="M163" i="1"/>
  <c r="T132" i="1"/>
  <c r="T139" i="1"/>
  <c r="R129" i="1"/>
  <c r="L163" i="1"/>
  <c r="AH63" i="1"/>
  <c r="X51" i="1"/>
  <c r="P57" i="1"/>
  <c r="AB54" i="1"/>
  <c r="J93" i="1"/>
  <c r="V23" i="1"/>
  <c r="N96" i="1"/>
  <c r="AE22" i="1"/>
  <c r="G94" i="1"/>
  <c r="P17" i="1"/>
  <c r="T158" i="1"/>
  <c r="V139" i="1"/>
  <c r="W159" i="1"/>
  <c r="W162" i="1"/>
  <c r="R143" i="1"/>
  <c r="G50" i="1"/>
  <c r="AG64" i="1"/>
  <c r="U55" i="1"/>
  <c r="AH64" i="1"/>
  <c r="X89" i="1"/>
  <c r="Q92" i="1"/>
  <c r="N94" i="1"/>
  <c r="AF22" i="1"/>
  <c r="P14" i="1"/>
  <c r="V25" i="1"/>
  <c r="X161" i="1"/>
  <c r="Z158" i="1"/>
  <c r="G140" i="1"/>
  <c r="M135" i="1"/>
  <c r="N161" i="1"/>
  <c r="H67" i="1"/>
  <c r="U50" i="1"/>
  <c r="V52" i="1"/>
  <c r="Y55" i="1"/>
  <c r="O30" i="1"/>
  <c r="AH13" i="1"/>
  <c r="W88" i="1"/>
  <c r="AA22" i="1"/>
  <c r="AH17" i="1"/>
  <c r="G87" i="1"/>
  <c r="L164" i="1"/>
  <c r="I132" i="1"/>
  <c r="Q158" i="1"/>
  <c r="Q163" i="1"/>
  <c r="T149" i="1"/>
  <c r="G139" i="1"/>
  <c r="R57" i="1"/>
  <c r="X52" i="1"/>
  <c r="AB52" i="1"/>
  <c r="AE55" i="1"/>
  <c r="T40" i="1"/>
  <c r="S91" i="1"/>
  <c r="N19" i="1"/>
  <c r="W95" i="1"/>
  <c r="W93" i="1"/>
  <c r="G91" i="1"/>
  <c r="J164" i="1"/>
  <c r="P160" i="1"/>
  <c r="AD22" i="1"/>
  <c r="S93" i="1"/>
  <c r="R22" i="1"/>
  <c r="I19" i="1"/>
  <c r="AF14" i="1"/>
  <c r="X162" i="1"/>
  <c r="M136" i="1"/>
  <c r="U158" i="1"/>
  <c r="G142" i="1"/>
  <c r="J162" i="1"/>
  <c r="Y54" i="1"/>
  <c r="AB61" i="1"/>
  <c r="R49" i="1"/>
  <c r="AB53" i="1"/>
  <c r="AD30" i="1"/>
  <c r="G88" i="1"/>
  <c r="AI13" i="1"/>
  <c r="M93" i="1"/>
  <c r="O90" i="1"/>
  <c r="H95" i="1"/>
  <c r="Z160" i="1"/>
  <c r="Q156" i="1"/>
  <c r="R161" i="1"/>
  <c r="L162" i="1"/>
  <c r="K132" i="1"/>
  <c r="Y156" i="1"/>
  <c r="S49" i="1"/>
  <c r="V50" i="1"/>
  <c r="AA55" i="1"/>
  <c r="M58" i="1"/>
  <c r="I11" i="1"/>
  <c r="N16" i="1"/>
  <c r="X23" i="1"/>
  <c r="O96" i="1"/>
  <c r="S20" i="1"/>
  <c r="R17" i="1"/>
  <c r="M130" i="1"/>
  <c r="P143" i="1"/>
  <c r="Q160" i="1"/>
  <c r="V163" i="1"/>
  <c r="AI17" i="1"/>
  <c r="T90" i="1"/>
  <c r="O21" i="1"/>
  <c r="J95" i="1"/>
  <c r="P95" i="1"/>
  <c r="R130" i="1"/>
  <c r="Y158" i="1"/>
  <c r="G162" i="1"/>
  <c r="G164" i="1"/>
  <c r="X134" i="1"/>
  <c r="G130" i="1"/>
  <c r="AG60" i="1"/>
  <c r="M59" i="1"/>
  <c r="AD53" i="1"/>
  <c r="P61" i="1"/>
  <c r="S12" i="1"/>
  <c r="T95" i="1"/>
  <c r="G92" i="1"/>
  <c r="P11" i="1"/>
  <c r="W24" i="1"/>
  <c r="R15" i="1"/>
  <c r="Y161" i="1"/>
  <c r="O162" i="1"/>
  <c r="P134" i="1"/>
  <c r="I162" i="1"/>
  <c r="P129" i="1"/>
  <c r="G61" i="1"/>
  <c r="Y63" i="1"/>
  <c r="Y51" i="1"/>
  <c r="AH60" i="1"/>
  <c r="U57" i="1"/>
  <c r="N91" i="1"/>
  <c r="Q22" i="1"/>
  <c r="K94" i="1"/>
  <c r="V89" i="1"/>
  <c r="Q14" i="1"/>
  <c r="V22" i="1"/>
  <c r="K133" i="1"/>
  <c r="G133" i="1"/>
  <c r="I137" i="1"/>
  <c r="O157" i="1"/>
  <c r="M141" i="1"/>
  <c r="G58" i="1"/>
  <c r="P63" i="1"/>
  <c r="R51" i="1"/>
  <c r="P55" i="1"/>
  <c r="O61" i="1"/>
  <c r="O14" i="1"/>
  <c r="T133" i="1"/>
  <c r="T146" i="1"/>
  <c r="V55" i="1"/>
  <c r="X95" i="1"/>
  <c r="M157" i="1"/>
  <c r="G137" i="1"/>
  <c r="AD64" i="1"/>
  <c r="X94" i="1"/>
  <c r="M91" i="1"/>
  <c r="S163" i="1"/>
  <c r="T164" i="1"/>
  <c r="X163" i="1"/>
  <c r="G67" i="1"/>
  <c r="AG58" i="1"/>
  <c r="V64" i="1"/>
  <c r="R58" i="1"/>
  <c r="R12" i="1"/>
  <c r="G89" i="1"/>
  <c r="W89" i="1"/>
  <c r="O19" i="1"/>
  <c r="R18" i="1"/>
  <c r="T157" i="1"/>
  <c r="H157" i="1"/>
  <c r="K135" i="1"/>
  <c r="H156" i="1"/>
  <c r="Y155" i="1"/>
  <c r="L60" i="1"/>
  <c r="X63" i="1"/>
  <c r="P58" i="1"/>
  <c r="O13" i="1"/>
  <c r="T96" i="1"/>
  <c r="N89" i="1"/>
  <c r="AB22" i="1"/>
  <c r="R88" i="1"/>
  <c r="R20" i="1"/>
  <c r="P140" i="1"/>
  <c r="T143" i="1"/>
  <c r="R136" i="1"/>
  <c r="Z164" i="1"/>
  <c r="M156" i="1"/>
  <c r="G64" i="1"/>
  <c r="AH56" i="1"/>
  <c r="AB56" i="1"/>
  <c r="AA53" i="1"/>
  <c r="AF23" i="1"/>
  <c r="T87" i="1"/>
  <c r="N88" i="1"/>
  <c r="H96" i="1"/>
  <c r="I16" i="1"/>
  <c r="AF17" i="1"/>
  <c r="P141" i="1"/>
  <c r="Z159" i="1"/>
  <c r="G135" i="1"/>
  <c r="M160" i="1"/>
  <c r="S159" i="1"/>
  <c r="O50" i="1"/>
  <c r="X61" i="1"/>
  <c r="Y58" i="1"/>
  <c r="U53" i="1"/>
  <c r="Z34" i="1"/>
  <c r="O23" i="1"/>
  <c r="K92" i="1"/>
  <c r="O18" i="1"/>
  <c r="Q94" i="1"/>
  <c r="P18" i="1"/>
  <c r="T155" i="1"/>
  <c r="J158" i="1"/>
  <c r="P164" i="1"/>
  <c r="Q162" i="1"/>
  <c r="G134" i="1"/>
  <c r="H56" i="1"/>
  <c r="Y57" i="1"/>
  <c r="S50" i="1"/>
  <c r="P51" i="1"/>
  <c r="AG59" i="1"/>
  <c r="J89" i="1"/>
  <c r="O163" i="1"/>
  <c r="K36" i="1"/>
  <c r="W87" i="1"/>
  <c r="V155" i="1"/>
  <c r="V54" i="1"/>
  <c r="U88" i="1"/>
  <c r="O164" i="1"/>
  <c r="AG55" i="1"/>
  <c r="L61" i="1"/>
  <c r="L88" i="1"/>
  <c r="V158" i="1"/>
  <c r="N157" i="1"/>
  <c r="K164" i="1"/>
  <c r="H52" i="1"/>
  <c r="L64" i="1"/>
  <c r="AA57" i="1"/>
  <c r="AA38" i="1"/>
  <c r="G90" i="1"/>
  <c r="I96" i="1"/>
  <c r="AH14" i="1"/>
  <c r="AF13" i="1"/>
  <c r="W161" i="1"/>
  <c r="R140" i="1"/>
  <c r="I135" i="1"/>
  <c r="R135" i="1"/>
  <c r="H60" i="1"/>
  <c r="Y64" i="1"/>
  <c r="AE64" i="1"/>
  <c r="AD54" i="1"/>
  <c r="V87" i="1"/>
  <c r="L93" i="1"/>
  <c r="W92" i="1"/>
  <c r="V92" i="1"/>
  <c r="AG15" i="1"/>
  <c r="M164" i="1"/>
  <c r="I142" i="1"/>
  <c r="R164" i="1"/>
  <c r="R159" i="1"/>
  <c r="U159" i="1"/>
  <c r="G65" i="1"/>
  <c r="AG62" i="1"/>
  <c r="P60" i="1"/>
  <c r="R62" i="1"/>
  <c r="I95" i="1"/>
  <c r="N11" i="1"/>
  <c r="U91" i="1"/>
  <c r="R90" i="1"/>
  <c r="Q15" i="1"/>
  <c r="K136" i="1"/>
  <c r="M140" i="1"/>
  <c r="X140" i="1"/>
  <c r="X160" i="1"/>
  <c r="P139" i="1"/>
  <c r="K158" i="1"/>
  <c r="V53" i="1"/>
  <c r="AH52" i="1"/>
  <c r="X62" i="1"/>
  <c r="U56" i="1"/>
  <c r="L89" i="1"/>
  <c r="N14" i="1"/>
  <c r="AH16" i="1"/>
  <c r="J94" i="1"/>
  <c r="R14" i="1"/>
  <c r="J91" i="1"/>
  <c r="U157" i="1"/>
  <c r="P162" i="1"/>
  <c r="M132" i="1"/>
  <c r="R156" i="1"/>
  <c r="W163" i="1"/>
  <c r="G60" i="1"/>
  <c r="AB64" i="1"/>
  <c r="Y50" i="1"/>
  <c r="AD58" i="1"/>
  <c r="AC31" i="1"/>
  <c r="AD24" i="1"/>
  <c r="AE59" i="1"/>
  <c r="M89" i="1"/>
  <c r="L90" i="1"/>
  <c r="G143" i="1"/>
  <c r="AE52" i="1"/>
  <c r="R92" i="1"/>
  <c r="Q18" i="1"/>
  <c r="G136" i="1"/>
  <c r="O51" i="1"/>
  <c r="AC36" i="1"/>
  <c r="S24" i="1"/>
  <c r="Q21" i="1"/>
  <c r="Z163" i="1"/>
  <c r="T159" i="1"/>
  <c r="I136" i="1"/>
  <c r="O59" i="1"/>
  <c r="H88" i="1"/>
  <c r="AF15" i="1"/>
  <c r="M139" i="1"/>
  <c r="Y60" i="1"/>
  <c r="M90" i="1"/>
  <c r="W164" i="1"/>
  <c r="P146" i="1"/>
  <c r="O63" i="1"/>
  <c r="AI11" i="1"/>
  <c r="X90" i="1"/>
  <c r="X91" i="1"/>
  <c r="Q164" i="1"/>
  <c r="X148" i="1"/>
  <c r="K134" i="1"/>
  <c r="AE58" i="1"/>
  <c r="AB57" i="1"/>
  <c r="Y62" i="1"/>
  <c r="AD25" i="1"/>
  <c r="P96" i="1"/>
  <c r="O94" i="1"/>
  <c r="S87" i="1"/>
  <c r="V26" i="1"/>
  <c r="P137" i="1"/>
  <c r="M162" i="1"/>
  <c r="Q161" i="1"/>
  <c r="J156" i="1"/>
  <c r="V148" i="1"/>
  <c r="AG63" i="1"/>
  <c r="R59" i="1"/>
  <c r="M64" i="1"/>
  <c r="AD50" i="1"/>
  <c r="N13" i="1"/>
  <c r="V24" i="1"/>
  <c r="N15" i="1"/>
  <c r="K93" i="1"/>
  <c r="R95" i="1"/>
  <c r="P136" i="1"/>
  <c r="M137" i="1"/>
  <c r="J159" i="1"/>
  <c r="R139" i="1"/>
  <c r="P131" i="1"/>
  <c r="R163" i="1"/>
  <c r="AB55" i="1"/>
  <c r="V51" i="1"/>
  <c r="V62" i="1"/>
  <c r="O88" i="1"/>
  <c r="U96" i="1"/>
  <c r="H92" i="1"/>
  <c r="V96" i="1"/>
  <c r="V90" i="1"/>
  <c r="L161" i="1"/>
  <c r="S157" i="1"/>
  <c r="Z162" i="1"/>
  <c r="T162" i="1"/>
  <c r="H158" i="1"/>
  <c r="G53" i="1"/>
  <c r="M57" i="1"/>
  <c r="O54" i="1"/>
  <c r="P53" i="1"/>
  <c r="N42" i="1"/>
  <c r="U93" i="1"/>
  <c r="Z26" i="1"/>
  <c r="O20" i="1"/>
  <c r="I12" i="1"/>
  <c r="K90" i="1"/>
  <c r="R148" i="1"/>
  <c r="T147" i="1"/>
  <c r="R141" i="1"/>
  <c r="K156" i="1"/>
  <c r="V156" i="1"/>
  <c r="X133" i="1"/>
  <c r="R60" i="1"/>
  <c r="S54" i="1"/>
  <c r="O64" i="1"/>
  <c r="U49" i="1"/>
  <c r="N36" i="1"/>
  <c r="H164" i="1"/>
  <c r="S53" i="1"/>
  <c r="W39" i="1"/>
  <c r="AA30" i="1"/>
  <c r="Z24" i="1"/>
  <c r="Q24" i="1"/>
  <c r="P132" i="1"/>
  <c r="K40" i="1"/>
  <c r="AC37" i="1"/>
  <c r="AD39" i="1"/>
  <c r="AC40" i="1"/>
  <c r="W22" i="1"/>
  <c r="AE54" i="1"/>
  <c r="O31" i="1"/>
  <c r="AA34" i="1"/>
  <c r="Z35" i="1"/>
  <c r="Q93" i="1"/>
  <c r="V162" i="1"/>
  <c r="AD33" i="1"/>
  <c r="O43" i="1"/>
  <c r="W36" i="1"/>
  <c r="AA36" i="1"/>
  <c r="AF16" i="1"/>
  <c r="O52" i="1"/>
  <c r="AD42" i="1"/>
  <c r="Z43" i="1"/>
  <c r="Q31" i="1"/>
  <c r="N17" i="1"/>
  <c r="R52" i="1"/>
  <c r="O39" i="1"/>
  <c r="L32" i="1"/>
  <c r="N33" i="1"/>
  <c r="X30" i="1"/>
  <c r="S160" i="1"/>
  <c r="S62" i="1"/>
  <c r="X129" i="1"/>
  <c r="S63" i="1"/>
  <c r="O158" i="1"/>
  <c r="X57" i="1"/>
  <c r="S94" i="1"/>
  <c r="V160" i="1"/>
  <c r="H58" i="1"/>
  <c r="P52" i="1"/>
  <c r="Z31" i="1"/>
  <c r="M96" i="1"/>
  <c r="AI14" i="1"/>
  <c r="AG17" i="1"/>
  <c r="I141" i="1"/>
  <c r="M161" i="1"/>
  <c r="U163" i="1"/>
  <c r="M54" i="1"/>
  <c r="AA60" i="1"/>
  <c r="P22" i="1"/>
  <c r="N90" i="1"/>
  <c r="P20" i="1"/>
  <c r="K160" i="1"/>
  <c r="K159" i="1"/>
  <c r="V161" i="1"/>
  <c r="N158" i="1"/>
  <c r="M60" i="1"/>
  <c r="L55" i="1"/>
  <c r="P91" i="1"/>
  <c r="O89" i="1"/>
  <c r="N12" i="1"/>
  <c r="T163" i="1"/>
  <c r="R147" i="1"/>
  <c r="N156" i="1"/>
  <c r="V164" i="1"/>
  <c r="AD61" i="1"/>
  <c r="L53" i="1"/>
  <c r="V63" i="1"/>
  <c r="I92" i="1"/>
  <c r="N23" i="1"/>
  <c r="Q23" i="1"/>
  <c r="H159" i="1"/>
  <c r="T129" i="1"/>
  <c r="I157" i="1"/>
  <c r="P144" i="1"/>
  <c r="AD62" i="1"/>
  <c r="AB60" i="1"/>
  <c r="N38" i="1"/>
  <c r="G49" i="1"/>
  <c r="T38" i="1"/>
  <c r="X42" i="1"/>
  <c r="L43" i="1"/>
  <c r="P21" i="1"/>
  <c r="P62" i="1"/>
  <c r="W37" i="1"/>
  <c r="U39" i="1"/>
  <c r="AD59" i="1"/>
  <c r="S156" i="1"/>
  <c r="O56" i="1"/>
  <c r="Z41" i="1"/>
  <c r="K37" i="1"/>
  <c r="Q40" i="1"/>
  <c r="M133" i="1"/>
  <c r="M49" i="1"/>
  <c r="R34" i="1"/>
  <c r="T36" i="1"/>
  <c r="J88" i="1"/>
  <c r="J155" i="1"/>
  <c r="AA31" i="1"/>
  <c r="L41" i="1"/>
  <c r="W40" i="1"/>
  <c r="I24" i="1"/>
  <c r="AA56" i="1"/>
  <c r="N31" i="1"/>
  <c r="W30" i="1"/>
  <c r="M53" i="1"/>
  <c r="I138" i="1"/>
  <c r="X58" i="1"/>
  <c r="Z37" i="1"/>
  <c r="L40" i="1"/>
  <c r="AE60" i="1"/>
  <c r="U41" i="1"/>
  <c r="N30" i="1"/>
  <c r="W32" i="1"/>
  <c r="Z39" i="1"/>
  <c r="O40" i="1"/>
  <c r="AC39" i="1"/>
  <c r="L95" i="1"/>
  <c r="Z161" i="1"/>
  <c r="Z40" i="1"/>
  <c r="O17" i="1"/>
  <c r="R50" i="1"/>
  <c r="R41" i="1"/>
  <c r="T33" i="1"/>
  <c r="N159" i="1"/>
  <c r="Q42" i="1"/>
  <c r="AD38" i="1"/>
  <c r="AB25" i="1"/>
  <c r="I134" i="1"/>
  <c r="X54" i="1"/>
  <c r="H87" i="1"/>
  <c r="R53" i="1"/>
  <c r="U60" i="1"/>
  <c r="R21" i="1"/>
  <c r="X155" i="1"/>
  <c r="P147" i="1"/>
  <c r="V56" i="1"/>
  <c r="I93" i="1"/>
  <c r="AF24" i="1"/>
  <c r="J14" i="1"/>
  <c r="I131" i="1"/>
  <c r="G132" i="1"/>
  <c r="I140" i="1"/>
  <c r="AH54" i="1"/>
  <c r="U90" i="1"/>
  <c r="T131" i="1"/>
  <c r="T43" i="1"/>
  <c r="Y159" i="1"/>
  <c r="X64" i="1"/>
  <c r="P94" i="1"/>
  <c r="X164" i="1"/>
  <c r="G66" i="1"/>
  <c r="U58" i="1"/>
  <c r="N20" i="1"/>
  <c r="R89" i="1"/>
  <c r="P88" i="1"/>
  <c r="T148" i="1"/>
  <c r="I158" i="1"/>
  <c r="K130" i="1"/>
  <c r="H66" i="1"/>
  <c r="AB59" i="1"/>
  <c r="X50" i="1"/>
  <c r="X92" i="1"/>
  <c r="T92" i="1"/>
  <c r="S14" i="1"/>
  <c r="I163" i="1"/>
  <c r="T160" i="1"/>
  <c r="X131" i="1"/>
  <c r="Y164" i="1"/>
  <c r="U64" i="1"/>
  <c r="M52" i="1"/>
  <c r="X24" i="1"/>
  <c r="P24" i="1"/>
  <c r="S18" i="1"/>
  <c r="P158" i="1"/>
  <c r="T134" i="1"/>
  <c r="P161" i="1"/>
  <c r="O155" i="1"/>
  <c r="AA58" i="1"/>
  <c r="Y59" i="1"/>
  <c r="X31" i="1"/>
  <c r="Z25" i="1"/>
  <c r="Q11" i="1"/>
  <c r="J16" i="1"/>
  <c r="Q155" i="1"/>
  <c r="X157" i="1"/>
  <c r="R142" i="1"/>
  <c r="G62" i="1"/>
  <c r="V60" i="1"/>
  <c r="AD52" i="1"/>
  <c r="U38" i="1"/>
  <c r="O60" i="1"/>
  <c r="W38" i="1"/>
  <c r="AD43" i="1"/>
  <c r="K35" i="1"/>
  <c r="I155" i="1"/>
  <c r="AH55" i="1"/>
  <c r="N35" i="1"/>
  <c r="L30" i="1"/>
  <c r="Q157" i="1"/>
  <c r="X39" i="1"/>
  <c r="R150" i="1"/>
  <c r="L38" i="1"/>
  <c r="AD36" i="1"/>
  <c r="I160" i="1"/>
  <c r="L33" i="1"/>
  <c r="X43" i="1"/>
  <c r="U43" i="1"/>
  <c r="AF26" i="1"/>
  <c r="V133" i="1"/>
  <c r="N160" i="1"/>
  <c r="AA24" i="1"/>
  <c r="X93" i="1"/>
  <c r="M146" i="1"/>
  <c r="H54" i="1"/>
  <c r="V59" i="1"/>
  <c r="X141" i="1"/>
  <c r="S52" i="1"/>
  <c r="N24" i="1"/>
  <c r="AH12" i="1"/>
  <c r="L159" i="1"/>
  <c r="AB23" i="1"/>
  <c r="P159" i="1"/>
  <c r="M95" i="1"/>
  <c r="M143" i="1"/>
  <c r="R132" i="1"/>
  <c r="AH59" i="1"/>
  <c r="AE57" i="1"/>
  <c r="K91" i="1"/>
  <c r="N87" i="1"/>
  <c r="R13" i="1"/>
  <c r="T142" i="1"/>
  <c r="T141" i="1"/>
  <c r="I159" i="1"/>
  <c r="H49" i="1"/>
  <c r="U63" i="1"/>
  <c r="P56" i="1"/>
  <c r="U92" i="1"/>
  <c r="O15" i="1"/>
  <c r="J163" i="1"/>
  <c r="R137" i="1"/>
  <c r="M159" i="1"/>
  <c r="H65" i="1"/>
  <c r="M51" i="1"/>
  <c r="M63" i="1"/>
  <c r="Z23" i="1"/>
  <c r="Q96" i="1"/>
  <c r="J24" i="1"/>
  <c r="V130" i="1"/>
  <c r="V159" i="1"/>
  <c r="M138" i="1"/>
  <c r="G59" i="1"/>
  <c r="S56" i="1"/>
  <c r="S61" i="1"/>
  <c r="O22" i="1"/>
  <c r="K95" i="1"/>
  <c r="J92" i="1"/>
  <c r="S17" i="1"/>
  <c r="Y160" i="1"/>
  <c r="O160" i="1"/>
  <c r="P156" i="1"/>
  <c r="G51" i="1"/>
  <c r="L62" i="1"/>
  <c r="Y53" i="1"/>
  <c r="V94" i="1"/>
  <c r="L50" i="1"/>
  <c r="W33" i="1"/>
  <c r="X33" i="1"/>
  <c r="O33" i="1"/>
  <c r="G138" i="1"/>
  <c r="X41" i="1"/>
  <c r="X40" i="1"/>
  <c r="W41" i="1"/>
  <c r="I89" i="1"/>
  <c r="V141" i="1"/>
  <c r="L31" i="1"/>
  <c r="R37" i="1"/>
  <c r="AD35" i="1"/>
  <c r="P90" i="1"/>
  <c r="G160" i="1"/>
  <c r="X34" i="1"/>
  <c r="L42" i="1"/>
  <c r="W34" i="1"/>
  <c r="R94" i="1"/>
  <c r="L52" i="1"/>
  <c r="L39" i="1"/>
  <c r="U32" i="1"/>
  <c r="U40" i="1"/>
  <c r="I143" i="1"/>
  <c r="Z32" i="1"/>
  <c r="U37" i="1"/>
  <c r="AA41" i="1"/>
  <c r="N95" i="1"/>
  <c r="V149" i="1"/>
  <c r="T31" i="1"/>
  <c r="U31" i="1"/>
  <c r="Q37" i="1"/>
  <c r="L34" i="1"/>
  <c r="I87" i="1"/>
  <c r="P133" i="1"/>
  <c r="U89" i="1"/>
  <c r="G54" i="1"/>
  <c r="O92" i="1"/>
  <c r="O159" i="1"/>
  <c r="J161" i="1"/>
  <c r="AE62" i="1"/>
  <c r="G55" i="1"/>
  <c r="AE53" i="1"/>
  <c r="Q159" i="1"/>
  <c r="N39" i="1"/>
  <c r="O24" i="1"/>
  <c r="X156" i="1"/>
  <c r="X159" i="1"/>
  <c r="P64" i="1"/>
  <c r="R11" i="1"/>
  <c r="AF11" i="1"/>
  <c r="G156" i="1"/>
  <c r="S59" i="1"/>
  <c r="I94" i="1"/>
  <c r="AE23" i="1"/>
  <c r="T137" i="1"/>
  <c r="N155" i="1"/>
  <c r="Y61" i="1"/>
  <c r="AE63" i="1"/>
  <c r="Z22" i="1"/>
  <c r="L94" i="1"/>
  <c r="M131" i="1"/>
  <c r="M155" i="1"/>
  <c r="V57" i="1"/>
  <c r="AE50" i="1"/>
  <c r="S162" i="1"/>
  <c r="AA37" i="1"/>
  <c r="P150" i="1"/>
  <c r="G52" i="1"/>
  <c r="U34" i="1"/>
  <c r="X26" i="1"/>
  <c r="W158" i="1"/>
  <c r="O42" i="1"/>
  <c r="S95" i="1"/>
  <c r="J160" i="1"/>
  <c r="X37" i="1"/>
  <c r="I164" i="1"/>
  <c r="T156" i="1"/>
  <c r="AC43" i="1"/>
  <c r="AG54" i="1"/>
  <c r="Z156" i="1"/>
  <c r="R40" i="1"/>
  <c r="S158" i="1"/>
  <c r="R63" i="1"/>
  <c r="R33" i="1"/>
  <c r="W31" i="1"/>
  <c r="AB58" i="1"/>
  <c r="O12" i="1"/>
  <c r="W157" i="1"/>
  <c r="AD23" i="1"/>
  <c r="P23" i="1"/>
  <c r="V134" i="1"/>
  <c r="AD57" i="1"/>
  <c r="P89" i="1"/>
  <c r="AH11" i="1"/>
  <c r="V157" i="1"/>
  <c r="G161" i="1"/>
  <c r="AB63" i="1"/>
  <c r="L96" i="1"/>
  <c r="W26" i="1"/>
  <c r="H162" i="1"/>
  <c r="M142" i="1"/>
  <c r="S57" i="1"/>
  <c r="O53" i="1"/>
  <c r="N92" i="1"/>
  <c r="J19" i="1"/>
  <c r="G144" i="1"/>
  <c r="M145" i="1"/>
  <c r="L57" i="1"/>
  <c r="P50" i="1"/>
  <c r="L160" i="1"/>
  <c r="Q39" i="1"/>
  <c r="AC34" i="1"/>
  <c r="M50" i="1"/>
  <c r="W35" i="1"/>
  <c r="P149" i="1"/>
  <c r="H62" i="1"/>
  <c r="U33" i="1"/>
  <c r="L157" i="1"/>
  <c r="H55" i="1"/>
  <c r="O41" i="1"/>
  <c r="X53" i="1"/>
  <c r="L63" i="1"/>
  <c r="K34" i="1"/>
  <c r="U42" i="1"/>
  <c r="R61" i="1"/>
  <c r="AC30" i="1"/>
  <c r="O34" i="1"/>
  <c r="Y49" i="1"/>
  <c r="N40" i="1"/>
  <c r="V129" i="1"/>
  <c r="L54" i="1"/>
  <c r="X36" i="1"/>
  <c r="R42" i="1"/>
  <c r="Z30" i="1"/>
  <c r="U51" i="1"/>
  <c r="AA54" i="1"/>
  <c r="H93" i="1"/>
  <c r="AB50" i="1"/>
  <c r="L59" i="1"/>
  <c r="AD60" i="1"/>
  <c r="U62" i="1"/>
  <c r="N32" i="1"/>
  <c r="AF12" i="1"/>
  <c r="M158" i="1"/>
  <c r="Q30" i="1"/>
  <c r="V58" i="1"/>
  <c r="P93" i="1"/>
  <c r="AH62" i="1"/>
  <c r="Q12" i="1"/>
  <c r="T136" i="1"/>
  <c r="O55" i="1"/>
  <c r="S90" i="1"/>
  <c r="M94" i="1"/>
  <c r="G155" i="1"/>
  <c r="Y162" i="1"/>
  <c r="L58" i="1"/>
  <c r="J87" i="1"/>
  <c r="Q16" i="1"/>
  <c r="V143" i="1"/>
  <c r="H161" i="1"/>
  <c r="AB62" i="1"/>
  <c r="P49" i="1"/>
  <c r="U87" i="1"/>
  <c r="G95" i="1"/>
  <c r="V142" i="1"/>
  <c r="G157" i="1"/>
  <c r="X56" i="1"/>
  <c r="AD55" i="1"/>
  <c r="O91" i="1"/>
  <c r="V61" i="1"/>
  <c r="AD41" i="1"/>
  <c r="Y52" i="1"/>
  <c r="L36" i="1"/>
  <c r="T42" i="1"/>
  <c r="K39" i="1"/>
  <c r="AC35" i="1"/>
  <c r="Q32" i="1"/>
  <c r="AA26" i="1"/>
  <c r="AC33" i="1"/>
  <c r="Q43" i="1"/>
  <c r="S51" i="1"/>
  <c r="X60" i="1"/>
  <c r="T37" i="1"/>
  <c r="AC32" i="1"/>
  <c r="Z36" i="1"/>
  <c r="AA39" i="1"/>
  <c r="T32" i="1"/>
  <c r="R158" i="1"/>
  <c r="G56" i="1"/>
  <c r="U94" i="1"/>
  <c r="AE25" i="1"/>
  <c r="M56" i="1"/>
  <c r="H91" i="1"/>
  <c r="U155" i="1"/>
  <c r="AH58" i="1"/>
  <c r="K96" i="1"/>
  <c r="Q88" i="1"/>
  <c r="I161" i="1"/>
  <c r="X130" i="1"/>
  <c r="AH57" i="1"/>
  <c r="S22" i="1"/>
  <c r="S15" i="1"/>
  <c r="R162" i="1"/>
  <c r="L158" i="1"/>
  <c r="AG56" i="1"/>
  <c r="K41" i="1"/>
  <c r="U95" i="1"/>
  <c r="P16" i="1"/>
  <c r="V147" i="1"/>
  <c r="L156" i="1"/>
  <c r="O62" i="1"/>
  <c r="AA59" i="1"/>
  <c r="AC41" i="1"/>
  <c r="Q38" i="1"/>
  <c r="P92" i="1"/>
  <c r="R36" i="1"/>
  <c r="N34" i="1"/>
  <c r="Q87" i="1"/>
  <c r="AD56" i="1"/>
  <c r="AC42" i="1"/>
  <c r="O37" i="1"/>
  <c r="X49" i="1"/>
  <c r="K38" i="1"/>
  <c r="K32" i="1"/>
  <c r="P59" i="1"/>
  <c r="Q36" i="1"/>
  <c r="O11" i="1"/>
  <c r="Z33" i="1"/>
  <c r="R30" i="1"/>
  <c r="AA25" i="1"/>
  <c r="AD32" i="1"/>
  <c r="T34" i="1"/>
  <c r="J90" i="1"/>
  <c r="G131" i="1"/>
  <c r="U52" i="1"/>
  <c r="T91" i="1"/>
  <c r="W25" i="1"/>
  <c r="P135" i="1"/>
  <c r="S64" i="1"/>
  <c r="AF25" i="1"/>
  <c r="S11" i="1"/>
  <c r="X139" i="1"/>
  <c r="T140" i="1"/>
  <c r="M55" i="1"/>
  <c r="N21" i="1"/>
  <c r="AG14" i="1"/>
  <c r="T161" i="1"/>
  <c r="X147" i="1"/>
  <c r="S58" i="1"/>
  <c r="X96" i="1"/>
  <c r="H94" i="1"/>
  <c r="AG12" i="1"/>
  <c r="R146" i="1"/>
  <c r="Z155" i="1"/>
  <c r="X59" i="1"/>
  <c r="L37" i="1"/>
  <c r="AA42" i="1"/>
  <c r="AA35" i="1"/>
  <c r="L91" i="1"/>
  <c r="N37" i="1"/>
  <c r="AD37" i="1"/>
  <c r="AI16" i="1"/>
  <c r="T39" i="1"/>
  <c r="O35" i="1"/>
  <c r="AE24" i="1"/>
  <c r="X55" i="1"/>
  <c r="AA32" i="1"/>
  <c r="P87" i="1"/>
  <c r="K33" i="1"/>
  <c r="N43" i="1"/>
  <c r="J96" i="1"/>
  <c r="O32" i="1"/>
  <c r="R38" i="1"/>
  <c r="O16" i="1"/>
  <c r="X32" i="1"/>
  <c r="O36" i="1"/>
  <c r="X35" i="1"/>
  <c r="R35" i="1"/>
  <c r="M144" i="1"/>
  <c r="Q41" i="1"/>
  <c r="T150" i="1"/>
  <c r="Y56" i="1"/>
  <c r="AG61" i="1"/>
  <c r="X143" i="1"/>
  <c r="N18" i="1"/>
  <c r="P157" i="1"/>
  <c r="AA23" i="1"/>
  <c r="R87" i="1"/>
  <c r="H155" i="1"/>
  <c r="R93" i="1"/>
  <c r="W160" i="1"/>
  <c r="M134" i="1"/>
  <c r="U160" i="1"/>
  <c r="U35" i="1"/>
  <c r="T35" i="1"/>
  <c r="X38" i="1"/>
  <c r="Q90" i="1"/>
  <c r="L155" i="1"/>
  <c r="S164" i="1"/>
  <c r="V49" i="1"/>
  <c r="T93" i="1"/>
  <c r="V140" i="1"/>
  <c r="P130" i="1"/>
  <c r="U59" i="1"/>
  <c r="W94" i="1"/>
  <c r="S16" i="1"/>
  <c r="N164" i="1"/>
  <c r="H50" i="1"/>
  <c r="R91" i="1"/>
  <c r="T89" i="1"/>
  <c r="X146" i="1"/>
  <c r="H163" i="1"/>
  <c r="H51" i="1"/>
  <c r="U54" i="1"/>
  <c r="AB24" i="1"/>
  <c r="AE26" i="1"/>
  <c r="AG11" i="1"/>
  <c r="N162" i="1"/>
  <c r="R157" i="1"/>
  <c r="M61" i="1"/>
  <c r="W91" i="1"/>
  <c r="K42" i="1"/>
  <c r="R32" i="1"/>
  <c r="Q20" i="1"/>
  <c r="W43" i="1"/>
  <c r="Q35" i="1"/>
  <c r="Q89" i="1"/>
  <c r="O38" i="1"/>
  <c r="R43" i="1"/>
  <c r="V93" i="1"/>
  <c r="AC38" i="1"/>
  <c r="W42" i="1"/>
  <c r="I14" i="1"/>
  <c r="AA40" i="1"/>
  <c r="R39" i="1"/>
  <c r="P142" i="1"/>
  <c r="AD31" i="1"/>
  <c r="Q33" i="1"/>
  <c r="P15" i="1"/>
  <c r="AA43" i="1"/>
  <c r="N41" i="1"/>
  <c r="U61" i="1"/>
  <c r="X158" i="1"/>
  <c r="R64" i="1"/>
  <c r="L92" i="1"/>
  <c r="N163" i="1"/>
  <c r="K157" i="1"/>
  <c r="AA62" i="1"/>
  <c r="V88" i="1"/>
  <c r="Q19" i="1"/>
  <c r="O156" i="1"/>
  <c r="M62" i="1"/>
  <c r="J11" i="1"/>
  <c r="Q91" i="1"/>
  <c r="I130" i="1"/>
  <c r="U156" i="1"/>
  <c r="H61" i="1"/>
  <c r="AE61" i="1"/>
  <c r="R96" i="1"/>
  <c r="T94" i="1"/>
  <c r="R134" i="1"/>
  <c r="R131" i="1"/>
  <c r="G57" i="1"/>
  <c r="AG57" i="1"/>
  <c r="Q17" i="1"/>
  <c r="K43" i="1"/>
  <c r="Z42" i="1"/>
  <c r="T135" i="1"/>
  <c r="U36" i="1"/>
  <c r="AD34" i="1"/>
  <c r="S13" i="1"/>
  <c r="T41" i="1"/>
  <c r="U30" i="1"/>
  <c r="R24" i="1"/>
  <c r="Q34" i="1"/>
  <c r="R31" i="1"/>
  <c r="V146" i="1"/>
  <c r="L35" i="1"/>
  <c r="S161" i="1"/>
  <c r="K30" i="1"/>
  <c r="Z38" i="1"/>
  <c r="P148" i="1"/>
  <c r="M92" i="1"/>
  <c r="X142" i="1"/>
  <c r="L49" i="1"/>
  <c r="X22" i="1"/>
  <c r="AD63" i="1"/>
  <c r="R155" i="1"/>
  <c r="M87" i="1"/>
  <c r="K155" i="1"/>
  <c r="AD40" i="1"/>
  <c r="I133" i="1"/>
  <c r="T30" i="1"/>
  <c r="S89" i="1"/>
  <c r="AA33" i="1"/>
  <c r="H14" i="1"/>
  <c r="G19" i="1"/>
  <c r="G11" i="1"/>
  <c r="G14" i="1"/>
  <c r="H11" i="1"/>
  <c r="H19" i="1"/>
  <c r="G24" i="1"/>
  <c r="H12" i="1"/>
  <c r="H16" i="1"/>
  <c r="G16" i="1"/>
  <c r="H24" i="1"/>
  <c r="G12" i="1"/>
  <c r="W15" i="1" l="1"/>
  <c r="Z14" i="1"/>
  <c r="AA14" i="1"/>
  <c r="W16" i="1"/>
  <c r="W12" i="1"/>
  <c r="V121" i="1"/>
  <c r="Y12" i="1"/>
  <c r="Z16" i="1"/>
  <c r="AA17" i="1"/>
  <c r="W13" i="1"/>
  <c r="Y17" i="1"/>
  <c r="AB17" i="1"/>
  <c r="AA12" i="1"/>
  <c r="S120" i="1"/>
  <c r="AA11" i="1"/>
  <c r="W14" i="1"/>
  <c r="W18" i="1"/>
  <c r="Z17" i="1"/>
  <c r="Y11" i="1"/>
  <c r="Y16" i="1"/>
  <c r="AB12" i="1"/>
  <c r="AA15" i="1"/>
  <c r="Y15" i="1"/>
  <c r="Z18" i="1"/>
  <c r="V122" i="1"/>
  <c r="Y18" i="1"/>
  <c r="Y14" i="1"/>
  <c r="V123" i="1"/>
  <c r="Z13" i="1"/>
  <c r="AA18" i="1"/>
  <c r="AB15" i="1"/>
  <c r="W11" i="1"/>
  <c r="AB13" i="1"/>
  <c r="Z11" i="1"/>
  <c r="Y13" i="1"/>
  <c r="V30" i="1"/>
  <c r="AF63" i="1"/>
  <c r="N49" i="1"/>
  <c r="AB38" i="1"/>
  <c r="M30" i="1"/>
  <c r="S34" i="1"/>
  <c r="V41" i="1"/>
  <c r="AB42" i="1"/>
  <c r="M43" i="1"/>
  <c r="AI57" i="1"/>
  <c r="I57" i="1"/>
  <c r="AC62" i="1"/>
  <c r="T64" i="1"/>
  <c r="W61" i="1"/>
  <c r="P41" i="1"/>
  <c r="S33" i="1"/>
  <c r="I15" i="1"/>
  <c r="K14" i="1"/>
  <c r="L14" i="1" s="1"/>
  <c r="Y42" i="1"/>
  <c r="AE38" i="1"/>
  <c r="S35" i="1"/>
  <c r="Y43" i="1"/>
  <c r="M42" i="1"/>
  <c r="W54" i="1"/>
  <c r="W59" i="1"/>
  <c r="V35" i="1"/>
  <c r="AI61" i="1"/>
  <c r="S41" i="1"/>
  <c r="P43" i="1"/>
  <c r="M33" i="1"/>
  <c r="Z55" i="1"/>
  <c r="V39" i="1"/>
  <c r="P37" i="1"/>
  <c r="Z59" i="1"/>
  <c r="W52" i="1"/>
  <c r="V34" i="1"/>
  <c r="AB33" i="1"/>
  <c r="S36" i="1"/>
  <c r="M32" i="1"/>
  <c r="M38" i="1"/>
  <c r="Z49" i="1"/>
  <c r="AE42" i="1"/>
  <c r="AF56" i="1"/>
  <c r="P34" i="1"/>
  <c r="S38" i="1"/>
  <c r="AE41" i="1"/>
  <c r="AC59" i="1"/>
  <c r="Q62" i="1"/>
  <c r="M41" i="1"/>
  <c r="AI56" i="1"/>
  <c r="I56" i="1"/>
  <c r="V32" i="1"/>
  <c r="AB36" i="1"/>
  <c r="AE32" i="1"/>
  <c r="V37" i="1"/>
  <c r="Z60" i="1"/>
  <c r="S43" i="1"/>
  <c r="AE33" i="1"/>
  <c r="S32" i="1"/>
  <c r="AE35" i="1"/>
  <c r="M39" i="1"/>
  <c r="V42" i="1"/>
  <c r="AF55" i="1"/>
  <c r="Z56" i="1"/>
  <c r="N58" i="1"/>
  <c r="Q55" i="1"/>
  <c r="S30" i="1"/>
  <c r="P32" i="1"/>
  <c r="W62" i="1"/>
  <c r="AF60" i="1"/>
  <c r="N59" i="1"/>
  <c r="AC54" i="1"/>
  <c r="W51" i="1"/>
  <c r="AB30" i="1"/>
  <c r="N54" i="1"/>
  <c r="P40" i="1"/>
  <c r="AE30" i="1"/>
  <c r="T61" i="1"/>
  <c r="M34" i="1"/>
  <c r="N63" i="1"/>
  <c r="Z53" i="1"/>
  <c r="Y35" i="1"/>
  <c r="AE34" i="1"/>
  <c r="S39" i="1"/>
  <c r="N57" i="1"/>
  <c r="J20" i="1"/>
  <c r="J22" i="1"/>
  <c r="J23" i="1" s="1"/>
  <c r="Q53" i="1"/>
  <c r="AF57" i="1"/>
  <c r="Y31" i="1"/>
  <c r="T63" i="1"/>
  <c r="AI54" i="1"/>
  <c r="AE43" i="1"/>
  <c r="I52" i="1"/>
  <c r="P39" i="1"/>
  <c r="I55" i="1"/>
  <c r="I54" i="1"/>
  <c r="S37" i="1"/>
  <c r="V31" i="1"/>
  <c r="AB32" i="1"/>
  <c r="N52" i="1"/>
  <c r="Y34" i="1"/>
  <c r="Y41" i="1"/>
  <c r="Y33" i="1"/>
  <c r="N50" i="1"/>
  <c r="N62" i="1"/>
  <c r="I51" i="1"/>
  <c r="I59" i="1"/>
  <c r="W63" i="1"/>
  <c r="P35" i="1"/>
  <c r="M35" i="1"/>
  <c r="Y38" i="1"/>
  <c r="Q60" i="1"/>
  <c r="AF52" i="1"/>
  <c r="I62" i="1"/>
  <c r="J18" i="1"/>
  <c r="J17" i="1"/>
  <c r="AC58" i="1"/>
  <c r="W64" i="1"/>
  <c r="Z50" i="1"/>
  <c r="W58" i="1"/>
  <c r="I66" i="1"/>
  <c r="Z64" i="1"/>
  <c r="V43" i="1"/>
  <c r="J15" i="1"/>
  <c r="W60" i="1"/>
  <c r="T53" i="1"/>
  <c r="Z54" i="1"/>
  <c r="S42" i="1"/>
  <c r="V33" i="1"/>
  <c r="T50" i="1"/>
  <c r="AB40" i="1"/>
  <c r="AE39" i="1"/>
  <c r="AB39" i="1"/>
  <c r="Y32" i="1"/>
  <c r="P30" i="1"/>
  <c r="AB37" i="1"/>
  <c r="Z58" i="1"/>
  <c r="Y30" i="1"/>
  <c r="P31" i="1"/>
  <c r="AC56" i="1"/>
  <c r="K24" i="1"/>
  <c r="L24" i="1" s="1"/>
  <c r="Y40" i="1"/>
  <c r="V36" i="1"/>
  <c r="S40" i="1"/>
  <c r="M37" i="1"/>
  <c r="AB41" i="1"/>
  <c r="Q56" i="1"/>
  <c r="AF59" i="1"/>
  <c r="Y37" i="1"/>
  <c r="V38" i="1"/>
  <c r="I49" i="1"/>
  <c r="P38" i="1"/>
  <c r="AF62" i="1"/>
  <c r="N53" i="1"/>
  <c r="AF61" i="1"/>
  <c r="N55" i="1"/>
  <c r="AC60" i="1"/>
  <c r="AB31" i="1"/>
  <c r="Z57" i="1"/>
  <c r="P33" i="1"/>
  <c r="T52" i="1"/>
  <c r="S31" i="1"/>
  <c r="AB43" i="1"/>
  <c r="Q52" i="1"/>
  <c r="Y36" i="1"/>
  <c r="AB35" i="1"/>
  <c r="AE40" i="1"/>
  <c r="AE37" i="1"/>
  <c r="M40" i="1"/>
  <c r="Y39" i="1"/>
  <c r="P36" i="1"/>
  <c r="W49" i="1"/>
  <c r="Q64" i="1"/>
  <c r="T60" i="1"/>
  <c r="K12" i="1"/>
  <c r="L12" i="1" s="1"/>
  <c r="I13" i="1"/>
  <c r="P42" i="1"/>
  <c r="Q54" i="1"/>
  <c r="I53" i="1"/>
  <c r="AF50" i="1"/>
  <c r="T59" i="1"/>
  <c r="AI63" i="1"/>
  <c r="Q63" i="1"/>
  <c r="Q59" i="1"/>
  <c r="AE36" i="1"/>
  <c r="Q51" i="1"/>
  <c r="AE31" i="1"/>
  <c r="AF58" i="1"/>
  <c r="I60" i="1"/>
  <c r="W56" i="1"/>
  <c r="Z62" i="1"/>
  <c r="T62" i="1"/>
  <c r="AI62" i="1"/>
  <c r="I65" i="1"/>
  <c r="AF54" i="1"/>
  <c r="AC57" i="1"/>
  <c r="N64" i="1"/>
  <c r="N61" i="1"/>
  <c r="AI55" i="1"/>
  <c r="M17" i="1"/>
  <c r="M18" i="1"/>
  <c r="M36" i="1"/>
  <c r="AI59" i="1"/>
  <c r="AB34" i="1"/>
  <c r="W53" i="1"/>
  <c r="Z61" i="1"/>
  <c r="Q50" i="1"/>
  <c r="I17" i="1"/>
  <c r="K16" i="1"/>
  <c r="L16" i="1" s="1"/>
  <c r="I18" i="1"/>
  <c r="AC53" i="1"/>
  <c r="I64" i="1"/>
  <c r="Z63" i="1"/>
  <c r="N60" i="1"/>
  <c r="T58" i="1"/>
  <c r="AI58" i="1"/>
  <c r="I67" i="1"/>
  <c r="AF64" i="1"/>
  <c r="M13" i="1"/>
  <c r="Q61" i="1"/>
  <c r="T51" i="1"/>
  <c r="I58" i="1"/>
  <c r="W57" i="1"/>
  <c r="I61" i="1"/>
  <c r="AF53" i="1"/>
  <c r="AI60" i="1"/>
  <c r="K11" i="1"/>
  <c r="L11" i="1" s="1"/>
  <c r="AC55" i="1"/>
  <c r="T49" i="1"/>
  <c r="I20" i="1"/>
  <c r="K19" i="1"/>
  <c r="L19" i="1" s="1"/>
  <c r="I22" i="1"/>
  <c r="M20" i="1"/>
  <c r="V40" i="1"/>
  <c r="Z52" i="1"/>
  <c r="T57" i="1"/>
  <c r="W50" i="1"/>
  <c r="W55" i="1"/>
  <c r="AI64" i="1"/>
  <c r="I50" i="1"/>
  <c r="Z51" i="1"/>
  <c r="M31" i="1"/>
  <c r="AC63" i="1"/>
  <c r="N56" i="1"/>
  <c r="T56" i="1"/>
  <c r="T55" i="1"/>
  <c r="AC64" i="1"/>
  <c r="Q49" i="1"/>
  <c r="T54" i="1"/>
  <c r="M15" i="1"/>
  <c r="J13" i="1"/>
  <c r="Q57" i="1"/>
  <c r="N51" i="1"/>
  <c r="AC52" i="1"/>
  <c r="AI52" i="1"/>
  <c r="Q58" i="1"/>
  <c r="AC50" i="1"/>
  <c r="AC61" i="1"/>
  <c r="I63" i="1"/>
  <c r="M22" i="1"/>
  <c r="M23" i="1" s="1"/>
  <c r="R79" i="1"/>
  <c r="O73" i="1"/>
  <c r="H121" i="1"/>
  <c r="W76" i="1"/>
  <c r="M81" i="1"/>
  <c r="H81" i="1"/>
  <c r="H72" i="1"/>
  <c r="W123" i="1"/>
  <c r="S78" i="1"/>
  <c r="W75" i="1"/>
  <c r="H73" i="1"/>
  <c r="S75" i="1"/>
  <c r="O75" i="1"/>
  <c r="W72" i="1"/>
  <c r="M76" i="1"/>
  <c r="O81" i="1"/>
  <c r="J72" i="1"/>
  <c r="T77" i="1"/>
  <c r="X74" i="1"/>
  <c r="O76" i="1"/>
  <c r="T80" i="1"/>
  <c r="Y78" i="1"/>
  <c r="X81" i="1"/>
  <c r="M74" i="1"/>
  <c r="T72" i="1"/>
  <c r="O72" i="1"/>
  <c r="Y77" i="1"/>
  <c r="H76" i="1"/>
  <c r="X82" i="1"/>
  <c r="I75" i="1"/>
  <c r="S77" i="1"/>
  <c r="H74" i="1"/>
  <c r="N83" i="1"/>
  <c r="W79" i="1"/>
  <c r="W80" i="1"/>
  <c r="Q121" i="1"/>
  <c r="K120" i="1"/>
  <c r="X72" i="1"/>
  <c r="S82" i="1"/>
  <c r="Y74" i="1"/>
  <c r="K122" i="1"/>
  <c r="N76" i="1"/>
  <c r="R80" i="1"/>
  <c r="W78" i="1"/>
  <c r="W81" i="1"/>
  <c r="O74" i="1"/>
  <c r="N78" i="1"/>
  <c r="N120" i="1"/>
  <c r="H120" i="1"/>
  <c r="M80" i="1"/>
  <c r="S72" i="1"/>
  <c r="M72" i="1"/>
  <c r="W77" i="1"/>
  <c r="I76" i="1"/>
  <c r="Y82" i="1"/>
  <c r="H75" i="1"/>
  <c r="T122" i="1"/>
  <c r="I74" i="1"/>
  <c r="T76" i="1"/>
  <c r="O83" i="1"/>
  <c r="H80" i="1"/>
  <c r="Q123" i="1"/>
  <c r="X79" i="1"/>
  <c r="I77" i="1"/>
  <c r="S73" i="1"/>
  <c r="K121" i="1"/>
  <c r="H123" i="1"/>
  <c r="J73" i="1"/>
  <c r="O82" i="1"/>
  <c r="N72" i="1"/>
  <c r="Y79" i="1"/>
  <c r="R82" i="1"/>
  <c r="W74" i="1"/>
  <c r="I78" i="1"/>
  <c r="S80" i="1"/>
  <c r="N79" i="1"/>
  <c r="X78" i="1"/>
  <c r="Y81" i="1"/>
  <c r="N74" i="1"/>
  <c r="O78" i="1"/>
  <c r="W121" i="1"/>
  <c r="O80" i="1"/>
  <c r="T120" i="1"/>
  <c r="X77" i="1"/>
  <c r="J76" i="1"/>
  <c r="W82" i="1"/>
  <c r="J75" i="1"/>
  <c r="W122" i="1"/>
  <c r="J74" i="1"/>
  <c r="H122" i="1"/>
  <c r="R76" i="1"/>
  <c r="I80" i="1"/>
  <c r="H77" i="1"/>
  <c r="R73" i="1"/>
  <c r="X75" i="1"/>
  <c r="S83" i="1"/>
  <c r="R75" i="1"/>
  <c r="I81" i="1"/>
  <c r="T82" i="1"/>
  <c r="X73" i="1"/>
  <c r="J78" i="1"/>
  <c r="Q122" i="1"/>
  <c r="M79" i="1"/>
  <c r="S74" i="1"/>
  <c r="M78" i="1"/>
  <c r="H83" i="1"/>
  <c r="T121" i="1"/>
  <c r="N80" i="1"/>
  <c r="W120" i="1"/>
  <c r="R81" i="1"/>
  <c r="S76" i="1"/>
  <c r="H82" i="1"/>
  <c r="J80" i="1"/>
  <c r="M77" i="1"/>
  <c r="M82" i="1"/>
  <c r="J77" i="1"/>
  <c r="T73" i="1"/>
  <c r="X80" i="1"/>
  <c r="Y83" i="1"/>
  <c r="O77" i="1"/>
  <c r="K123" i="1"/>
  <c r="R72" i="1"/>
  <c r="M83" i="1"/>
  <c r="Q120" i="1"/>
  <c r="Y73" i="1"/>
  <c r="H78" i="1"/>
  <c r="M73" i="1"/>
  <c r="O79" i="1"/>
  <c r="X76" i="1"/>
  <c r="T74" i="1"/>
  <c r="I83" i="1"/>
  <c r="S81" i="1"/>
  <c r="R78" i="1"/>
  <c r="J82" i="1"/>
  <c r="N123" i="1"/>
  <c r="S79" i="1"/>
  <c r="W73" i="1"/>
  <c r="N73" i="1"/>
  <c r="Y76" i="1"/>
  <c r="R74" i="1"/>
  <c r="N81" i="1"/>
  <c r="J83" i="1"/>
  <c r="J81" i="1"/>
  <c r="I72" i="1"/>
  <c r="T81" i="1"/>
  <c r="T78" i="1"/>
  <c r="X83" i="1"/>
  <c r="Y75" i="1"/>
  <c r="I73" i="1"/>
  <c r="T83" i="1"/>
  <c r="T75" i="1"/>
  <c r="N121" i="1"/>
  <c r="I82" i="1"/>
  <c r="M75" i="1"/>
  <c r="N77" i="1"/>
  <c r="N82" i="1"/>
  <c r="Y72" i="1"/>
  <c r="I79" i="1"/>
  <c r="Y80" i="1"/>
  <c r="W83" i="1"/>
  <c r="R77" i="1"/>
  <c r="N122" i="1"/>
  <c r="R83" i="1"/>
  <c r="H79" i="1"/>
  <c r="T79" i="1"/>
  <c r="T123" i="1"/>
  <c r="N75" i="1"/>
  <c r="J79" i="1"/>
  <c r="X12" i="1"/>
  <c r="X11" i="1"/>
  <c r="X16" i="1"/>
  <c r="X15" i="1"/>
  <c r="X17" i="1"/>
  <c r="X14" i="1"/>
  <c r="X18" i="1"/>
  <c r="X13" i="1"/>
  <c r="K18" i="1" l="1"/>
  <c r="L18" i="1" s="1"/>
  <c r="K17" i="1"/>
  <c r="L17" i="1" s="1"/>
  <c r="I21" i="1"/>
  <c r="K22" i="1"/>
  <c r="L22" i="1" s="1"/>
  <c r="I23" i="1"/>
  <c r="K23" i="1" s="1"/>
  <c r="L23" i="1" s="1"/>
  <c r="K20" i="1"/>
  <c r="L20" i="1" s="1"/>
  <c r="K13" i="1"/>
  <c r="L13" i="1" s="1"/>
  <c r="M21" i="1"/>
  <c r="J21" i="1"/>
  <c r="K15" i="1"/>
  <c r="L15" i="1" s="1"/>
  <c r="K21" i="1" l="1"/>
  <c r="L21" i="1" s="1"/>
</calcChain>
</file>

<file path=xl/sharedStrings.xml><?xml version="1.0" encoding="utf-8"?>
<sst xmlns="http://schemas.openxmlformats.org/spreadsheetml/2006/main" count="555" uniqueCount="274">
  <si>
    <t>Maturity</t>
  </si>
  <si>
    <t>Mid Yield</t>
  </si>
  <si>
    <t>US Treasuries</t>
  </si>
  <si>
    <t>Swaps</t>
  </si>
  <si>
    <t>Tenor</t>
  </si>
  <si>
    <t>Bid</t>
  </si>
  <si>
    <t>Ask</t>
  </si>
  <si>
    <t>Mid</t>
  </si>
  <si>
    <t>USD</t>
  </si>
  <si>
    <t>EUR</t>
  </si>
  <si>
    <t>GBP</t>
  </si>
  <si>
    <t>Broker</t>
  </si>
  <si>
    <t>JPY</t>
  </si>
  <si>
    <t>CAD</t>
  </si>
  <si>
    <t>CHF</t>
  </si>
  <si>
    <t>Overnight Index Swaps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</si>
  <si>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</si>
  <si>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</si>
  <si>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</si>
  <si>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</si>
  <si>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</si>
  <si>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</si>
  <si>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</si>
  <si>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</si>
  <si>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</si>
  <si>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</si>
  <si>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</si>
  <si>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</si>
  <si>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15M</t>
  </si>
  <si>
    <t>18M</t>
  </si>
  <si>
    <t>21M</t>
  </si>
  <si>
    <t>24M</t>
  </si>
  <si>
    <t>10M</t>
  </si>
  <si>
    <t>11M</t>
  </si>
  <si>
    <t>12M</t>
  </si>
  <si>
    <t xml:space="preserve">Ask </t>
  </si>
  <si>
    <t>1Y</t>
  </si>
  <si>
    <t>2Y</t>
  </si>
  <si>
    <t>3Y</t>
  </si>
  <si>
    <t>4Y</t>
  </si>
  <si>
    <t>5Y</t>
  </si>
  <si>
    <t>7Y</t>
  </si>
  <si>
    <t>10Y</t>
  </si>
  <si>
    <t>12Y</t>
  </si>
  <si>
    <t>15Y</t>
  </si>
  <si>
    <t>20Y</t>
  </si>
  <si>
    <t>25Y</t>
  </si>
  <si>
    <t>30Y</t>
  </si>
  <si>
    <t>Bid Price</t>
  </si>
  <si>
    <t>Ask Price</t>
  </si>
  <si>
    <t>1M LIBOR vs 3 M LIBOR</t>
  </si>
  <si>
    <t>3M LIBOR vs. 6M LIBOR</t>
  </si>
  <si>
    <t>1M LIBOR vs. 6M LIBOR</t>
  </si>
  <si>
    <t>3M LIBOR vs. 12M LIBOR</t>
  </si>
  <si>
    <t>Bid Yield</t>
  </si>
  <si>
    <t>Ask Yield</t>
  </si>
  <si>
    <t>Bid Swap Spread</t>
  </si>
  <si>
    <t>Ask Swap Spread</t>
  </si>
  <si>
    <t>Contract</t>
  </si>
  <si>
    <t>2 Year</t>
  </si>
  <si>
    <t>5 Year</t>
  </si>
  <si>
    <t>10  Year</t>
  </si>
  <si>
    <t>30 Year</t>
  </si>
  <si>
    <t>Price</t>
  </si>
  <si>
    <t>UST Futures</t>
  </si>
  <si>
    <t>CTD Gross Basis</t>
  </si>
  <si>
    <t>CTD Net Basis</t>
  </si>
  <si>
    <t>Basis Swaps</t>
  </si>
  <si>
    <t>AUD</t>
  </si>
  <si>
    <t>FX</t>
  </si>
  <si>
    <t>CTD Implied RP</t>
  </si>
  <si>
    <t>3M Eurodollar Futures</t>
  </si>
  <si>
    <t>Ticker</t>
  </si>
  <si>
    <t>Fed Funds Futures</t>
  </si>
  <si>
    <t>Exp</t>
  </si>
  <si>
    <t>Last</t>
  </si>
  <si>
    <t>1M Eurodollar Futures</t>
  </si>
  <si>
    <t>3M Euribor Futures</t>
  </si>
  <si>
    <t>O/N</t>
  </si>
  <si>
    <t>T/N</t>
  </si>
  <si>
    <t>1WK</t>
  </si>
  <si>
    <t>1MTH</t>
  </si>
  <si>
    <t>2MTH</t>
  </si>
  <si>
    <t>3MTH</t>
  </si>
  <si>
    <t>6MTH</t>
  </si>
  <si>
    <t>9MTH</t>
  </si>
  <si>
    <t>1YD</t>
  </si>
  <si>
    <t>Spot</t>
  </si>
  <si>
    <t>Swaption Volatilities (USD)</t>
  </si>
  <si>
    <t>1 Wk</t>
  </si>
  <si>
    <t>2 Wk</t>
  </si>
  <si>
    <t>1 M</t>
  </si>
  <si>
    <t>2 M</t>
  </si>
  <si>
    <t>5 M</t>
  </si>
  <si>
    <t>6 M</t>
  </si>
  <si>
    <t>7 M</t>
  </si>
  <si>
    <t>8 M</t>
  </si>
  <si>
    <t>9 M</t>
  </si>
  <si>
    <t>10 M</t>
  </si>
  <si>
    <t>11 M</t>
  </si>
  <si>
    <t>12 M</t>
  </si>
  <si>
    <t xml:space="preserve"> Libor</t>
  </si>
  <si>
    <t>Swaption Premiums (USD)</t>
  </si>
  <si>
    <t>CTD Issue</t>
  </si>
  <si>
    <t>Commodities</t>
  </si>
  <si>
    <t>Oil</t>
  </si>
  <si>
    <t>Gold</t>
  </si>
  <si>
    <t>Nat Gas</t>
  </si>
  <si>
    <t>Wheat</t>
  </si>
  <si>
    <t>Copper</t>
  </si>
  <si>
    <t>SPX</t>
  </si>
  <si>
    <t>NASD</t>
  </si>
  <si>
    <t>S&amp;P TSX</t>
  </si>
  <si>
    <t>MEXBOL</t>
  </si>
  <si>
    <t>BOVESPA</t>
  </si>
  <si>
    <t>FTSE</t>
  </si>
  <si>
    <t>CAC 40</t>
  </si>
  <si>
    <t>DAX</t>
  </si>
  <si>
    <t>NIKKEI</t>
  </si>
  <si>
    <t>HANG SENG</t>
  </si>
  <si>
    <t>S&amp;P ASX 200</t>
  </si>
  <si>
    <t>Rate Locator</t>
  </si>
  <si>
    <t>link cell for cboSwapBroker</t>
  </si>
  <si>
    <t>link cell for Rates/Spreads</t>
  </si>
  <si>
    <t>/</t>
  </si>
  <si>
    <t>link cell for Basis Swaps</t>
  </si>
  <si>
    <t>link cell for OIS</t>
  </si>
  <si>
    <t>link cell for Vols</t>
  </si>
  <si>
    <t>Chg (Pct)</t>
  </si>
  <si>
    <t>SHANGHAI</t>
  </si>
  <si>
    <t>DOW JONES</t>
  </si>
  <si>
    <t>CRB INDEX</t>
  </si>
  <si>
    <t>OIL</t>
  </si>
  <si>
    <t>FRA'S</t>
  </si>
  <si>
    <t>Term</t>
  </si>
  <si>
    <t>Rate</t>
  </si>
  <si>
    <t>0x3</t>
  </si>
  <si>
    <t>1x4</t>
  </si>
  <si>
    <t>2x5</t>
  </si>
  <si>
    <t>3x6</t>
  </si>
  <si>
    <t>4x7</t>
  </si>
  <si>
    <t>5x8</t>
  </si>
  <si>
    <t>6x9</t>
  </si>
  <si>
    <t>7x10</t>
  </si>
  <si>
    <t>8x11</t>
  </si>
  <si>
    <t>9x12</t>
  </si>
  <si>
    <t>10x13</t>
  </si>
  <si>
    <t>11x14</t>
  </si>
  <si>
    <t>12x15</t>
  </si>
  <si>
    <t>15x18</t>
  </si>
  <si>
    <t>18x21</t>
  </si>
  <si>
    <t>0x6</t>
  </si>
  <si>
    <t>1x7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</si>
  <si>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</si>
  <si>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</si>
  <si>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</si>
  <si>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</si>
  <si>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</si>
  <si>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</si>
  <si>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</si>
  <si>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</si>
  <si>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</si>
  <si>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12x18</t>
  </si>
  <si>
    <t>13x19</t>
  </si>
  <si>
    <t>18x24</t>
  </si>
  <si>
    <t>3 Month</t>
  </si>
  <si>
    <t>6 Month</t>
  </si>
  <si>
    <t>9 Month</t>
  </si>
  <si>
    <t>12 Month</t>
  </si>
  <si>
    <t>1x10</t>
  </si>
  <si>
    <t>2x11</t>
  </si>
  <si>
    <t>3x12</t>
  </si>
  <si>
    <t>4x13</t>
  </si>
  <si>
    <t>5x14</t>
  </si>
  <si>
    <t>6x15</t>
  </si>
  <si>
    <t>7x16</t>
  </si>
  <si>
    <t>0x12</t>
  </si>
  <si>
    <t>1x13</t>
  </si>
  <si>
    <t>2x14</t>
  </si>
  <si>
    <t>3x15</t>
  </si>
  <si>
    <t>4x16</t>
  </si>
  <si>
    <t>5x17</t>
  </si>
  <si>
    <t>6x18</t>
  </si>
  <si>
    <t>9x21</t>
  </si>
  <si>
    <t>12x24</t>
  </si>
  <si>
    <t>15x27</t>
  </si>
  <si>
    <t>18x30</t>
  </si>
  <si>
    <t>21x33</t>
  </si>
  <si>
    <t>24x36</t>
  </si>
  <si>
    <t>27x39</t>
  </si>
  <si>
    <t>30x42</t>
  </si>
  <si>
    <t>33x45</t>
  </si>
  <si>
    <t>36x48</t>
  </si>
  <si>
    <t>link cell for FRA's</t>
  </si>
  <si>
    <t>Equity Indicies and Other</t>
  </si>
  <si>
    <t>IMM Swaps</t>
  </si>
  <si>
    <t>Mar-Sep</t>
  </si>
  <si>
    <t>June-Dec</t>
  </si>
  <si>
    <t>Sep-Mar</t>
  </si>
  <si>
    <t>18 Month</t>
  </si>
  <si>
    <t>15 Month</t>
  </si>
  <si>
    <t>21 Month</t>
  </si>
  <si>
    <t>3 Year</t>
  </si>
  <si>
    <t>4 Year</t>
  </si>
  <si>
    <t>6 Year</t>
  </si>
  <si>
    <t>7 Year</t>
  </si>
  <si>
    <t>8 Year</t>
  </si>
  <si>
    <t>9 Year</t>
  </si>
  <si>
    <t>10 Year</t>
  </si>
  <si>
    <t>Dec-Jun</t>
  </si>
  <si>
    <t>Jun-Dec</t>
  </si>
  <si>
    <t>Sep Mar</t>
  </si>
  <si>
    <t>Dec Jun</t>
  </si>
  <si>
    <t>Mar-Dec</t>
  </si>
  <si>
    <t>Jun-Mar</t>
  </si>
  <si>
    <t>Sep-Jun</t>
  </si>
  <si>
    <t>Dec-Sep</t>
  </si>
  <si>
    <t>Mar-Mar</t>
  </si>
  <si>
    <t>Jun-Jun</t>
  </si>
  <si>
    <t>Sep-Sep</t>
  </si>
  <si>
    <t>Dec-Dec</t>
  </si>
  <si>
    <t>Mar-Jun</t>
  </si>
  <si>
    <t>Jun-Sep</t>
  </si>
  <si>
    <t>Sep-Dec</t>
  </si>
  <si>
    <t>Dec-Mar</t>
  </si>
  <si>
    <t>CMS Swaps</t>
  </si>
  <si>
    <t>1 Year</t>
  </si>
  <si>
    <t>6Y</t>
  </si>
  <si>
    <t>8Y</t>
  </si>
  <si>
    <t>9Y</t>
  </si>
  <si>
    <t>Corn</t>
  </si>
  <si>
    <t>Global Bond Yields</t>
  </si>
  <si>
    <t>Germany</t>
  </si>
  <si>
    <t>Japan</t>
  </si>
  <si>
    <t>England</t>
  </si>
  <si>
    <t>Canada</t>
  </si>
  <si>
    <t>Australia</t>
  </si>
  <si>
    <t>Brazil</t>
  </si>
  <si>
    <t>lind cell for GlobalMat</t>
  </si>
  <si>
    <t>CDS</t>
  </si>
  <si>
    <t>USSW</t>
  </si>
  <si>
    <t>single interface. Viewing this data comprehensively often requires numerous broker screens and Bloomberg applications; this spreadsheet, by displaying a large selection of this critical</t>
  </si>
  <si>
    <t>information in one place provides a solution to that problem</t>
  </si>
  <si>
    <t xml:space="preserve">   The US Rates Dashboard is designed to collect and display many of the important interest rates, market indicators, and related information used by rates desk traders and salespersons in a </t>
  </si>
  <si>
    <t xml:space="preserve">   This spreadsheet is self explanatory; the data selections are based on observation over time of the needs of rates traders and salespeople focusing on US markets.</t>
  </si>
  <si>
    <t>While comprehensive, it is certainly not exhaustive. As it is built with BDP links, users can feel free to add data that they view as critical to their business needs</t>
  </si>
  <si>
    <r>
      <t xml:space="preserve">   Given the large amount of information presented, the sheet contains a "</t>
    </r>
    <r>
      <rPr>
        <b/>
        <sz val="11"/>
        <rFont val="Calibri"/>
        <family val="2"/>
      </rPr>
      <t>Locator</t>
    </r>
    <r>
      <rPr>
        <sz val="11"/>
        <rFont val="Calibri"/>
        <family val="2"/>
      </rPr>
      <t>" feature in the upper left; selecting an option from the dropdown will take you to that</t>
    </r>
  </si>
  <si>
    <t>section of the sheet.  The header for that section will appear in blue.</t>
  </si>
  <si>
    <t xml:space="preserve">   Several sections of the sheet contain a dropdown for provider selection. The first choice is always Bloomberg Composite,which is derived from rates from several sources.</t>
  </si>
  <si>
    <t>The dropdowns also contain multiple popular broker choices, such as ICAP, Tullett, Cantor, etc.. It is important to note that all brokers do not provide quotes on all products.</t>
  </si>
  <si>
    <t>Therefore, certain broker selections for a given rate type may result in NA's values. It is also important to note that broker pricing requires permissioning from that broker to</t>
  </si>
  <si>
    <t>view that pricing source. Enablement is the responsibility of the user and must be done by contacting that broker.</t>
  </si>
  <si>
    <t xml:space="preserve"> </t>
  </si>
  <si>
    <t xml:space="preserve">  </t>
  </si>
  <si>
    <t>link cell for Libor Quote Type</t>
  </si>
  <si>
    <t>Quote Type</t>
  </si>
  <si>
    <t>PX_LAST</t>
  </si>
  <si>
    <t>Bid Swap Rate SA</t>
  </si>
  <si>
    <t>Ask Swap Rate SA</t>
  </si>
  <si>
    <t>Bid Swap Rate Ann</t>
  </si>
  <si>
    <t>Ask Swap Rate Ann</t>
  </si>
  <si>
    <t>Delivery Month</t>
  </si>
  <si>
    <t>Chg (Net)</t>
  </si>
  <si>
    <t>US</t>
  </si>
  <si>
    <t>Country</t>
  </si>
  <si>
    <t>FF vs. LIBOR BASIS SWAP</t>
  </si>
  <si>
    <t>CP vs. LIBOR BASIS SWAP</t>
  </si>
  <si>
    <t>PRIME vs LIBOR BASIS SWAP</t>
  </si>
  <si>
    <t>T-BILL vs. 3M LIBOR BASIS SWAP</t>
  </si>
  <si>
    <t xml:space="preserve">Rates / Spreads (USD only)  </t>
  </si>
  <si>
    <t>Chg Close</t>
  </si>
  <si>
    <t>Prev Close</t>
  </si>
  <si>
    <t>Bloomberg Templates</t>
  </si>
  <si>
    <t>Bloomberg 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</si>
</sst>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0"/>
    <numFmt numFmtId="177" formatCode="_(#,##0.000_);_(&quot;$&quot;* \(#,##0.00\);_(&quot;$&quot;* &quot;-&quot;??_);&quot;N/A&quot;"/>
    <numFmt numFmtId="178" formatCode="_(#,##0.00_);_ \(#,##0.00\);_(&quot;$&quot;* &quot;-&quot;??_);&quot;N/A&quot;"/>
    <numFmt numFmtId="179" formatCode="_(#,##0.0_);_ \(#,##0.0\);_(&quot;$&quot;* &quot;-&quot;??_);&quot;N/A&quot;"/>
    <numFmt numFmtId="180" formatCode="m/d;@"/>
    <numFmt numFmtId="181" formatCode="#,##0_);[Red]\(#,##0\);;&quot;N/A&quot;"/>
    <numFmt numFmtId="182" formatCode="0.0"/>
    <numFmt numFmtId="183" formatCode="_(#,##0.00_);_(\(#,##0.00\);_(&quot;$&quot;* &quot;-&quot;??_);&quot;N/A&quot;"/>
    <numFmt numFmtId="184" formatCode="_(#,##0.000_);_ \(#,##0.000\);_(&quot;$&quot;* &quot;-&quot;??_);&quot;N/A&quot;"/>
  </numFmts>
  <fonts count="28" x14ac:knownFonts="1">
    <font>
      <sz val="10"/>
      <name val="Arial"/>
    </font>
    <font>
      <sz val="8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宋体"/>
      <family val="2"/>
      <scheme val="minor"/>
    </font>
    <font>
      <sz val="10"/>
      <name val="宋体"/>
      <family val="2"/>
      <scheme val="minor"/>
    </font>
    <font>
      <i/>
      <sz val="11"/>
      <color rgb="FFFF0000"/>
      <name val="宋体"/>
      <family val="2"/>
      <scheme val="minor"/>
    </font>
    <font>
      <sz val="11"/>
      <name val="宋体"/>
      <family val="2"/>
      <scheme val="minor"/>
    </font>
    <font>
      <sz val="10.5"/>
      <name val="宋体"/>
      <family val="2"/>
      <scheme val="minor"/>
    </font>
    <font>
      <i/>
      <sz val="12"/>
      <color theme="3"/>
      <name val="宋体"/>
      <family val="2"/>
      <scheme val="minor"/>
    </font>
    <font>
      <sz val="10"/>
      <color rgb="FFFFFFFF"/>
      <name val="宋体"/>
      <family val="2"/>
      <scheme val="minor"/>
    </font>
    <font>
      <sz val="11"/>
      <color rgb="FF000000"/>
      <name val="宋体"/>
      <family val="2"/>
      <scheme val="minor"/>
    </font>
    <font>
      <sz val="10"/>
      <color rgb="FF000000"/>
      <name val="宋体"/>
      <family val="2"/>
      <scheme val="minor"/>
    </font>
    <font>
      <b/>
      <sz val="11"/>
      <color indexed="18"/>
      <name val="宋体"/>
      <family val="2"/>
      <scheme val="minor"/>
    </font>
    <font>
      <b/>
      <i/>
      <sz val="12"/>
      <color theme="3"/>
      <name val="宋体"/>
      <family val="2"/>
      <scheme val="minor"/>
    </font>
    <font>
      <sz val="11"/>
      <color indexed="18"/>
      <name val="宋体"/>
      <family val="2"/>
      <scheme val="minor"/>
    </font>
    <font>
      <sz val="10"/>
      <color theme="3"/>
      <name val="宋体"/>
      <family val="2"/>
      <scheme val="minor"/>
    </font>
    <font>
      <sz val="11"/>
      <color indexed="10"/>
      <name val="宋体"/>
      <family val="2"/>
      <scheme val="minor"/>
    </font>
    <font>
      <b/>
      <sz val="11"/>
      <color indexed="10"/>
      <name val="宋体"/>
      <family val="2"/>
      <scheme val="minor"/>
    </font>
    <font>
      <b/>
      <sz val="11"/>
      <color theme="0" tint="-0.34998626667073579"/>
      <name val="宋体"/>
      <family val="2"/>
      <scheme val="minor"/>
    </font>
    <font>
      <sz val="13"/>
      <name val="宋体"/>
      <family val="2"/>
      <scheme val="minor"/>
    </font>
    <font>
      <b/>
      <sz val="13"/>
      <color indexed="9"/>
      <name val="宋体"/>
      <family val="2"/>
      <scheme val="minor"/>
    </font>
    <font>
      <b/>
      <sz val="13"/>
      <color rgb="FFFFFFFF"/>
      <name val="宋体"/>
      <family val="2"/>
      <scheme val="minor"/>
    </font>
    <font>
      <b/>
      <sz val="13"/>
      <name val="宋体"/>
      <family val="2"/>
      <scheme val="minor"/>
    </font>
    <font>
      <b/>
      <sz val="13"/>
      <color indexed="16"/>
      <name val="宋体"/>
      <family val="2"/>
      <scheme val="minor"/>
    </font>
    <font>
      <b/>
      <sz val="13"/>
      <color theme="0"/>
      <name val="宋体"/>
      <family val="2"/>
      <scheme val="minor"/>
    </font>
    <font>
      <b/>
      <sz val="14"/>
      <color indexed="9"/>
      <name val="宋体"/>
      <family val="2"/>
      <scheme val="minor"/>
    </font>
    <font>
      <b/>
      <sz val="14"/>
      <color theme="0"/>
      <name val="宋体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 type="path" top="1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B8CCE4"/>
        </stop>
        <stop position="1">
          <color rgb="FFFFFFFF"/>
        </stop>
      </gradientFill>
    </fill>
    <fill>
      <gradientFill type="path" left="1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B8CCE4"/>
        </stop>
        <stop position="1">
          <color rgb="FFFFFFFF"/>
        </stop>
      </gradientFill>
    </fill>
    <fill>
      <gradientFill degree="180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B8CCE4"/>
        </stop>
        <stop position="1">
          <color rgb="FFFFFFFF"/>
        </stop>
      </gradientFill>
    </fill>
    <fill>
      <gradientFill type="path" left="1" right="1" top="1" bottom="1">
        <stop position="0">
          <color rgb="FFFFFFFF"/>
        </stop>
        <stop position="1">
          <color rgb="FFB8CCE4"/>
        </stop>
      </gradientFill>
    </fill>
  </fills>
  <borders count="43">
    <border>
      <left/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8"/>
      </right>
      <top style="thin">
        <color indexed="64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9"/>
      </bottom>
      <diagonal/>
    </border>
    <border>
      <left style="thin">
        <color indexed="8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/>
      <right style="thin">
        <color indexed="8"/>
      </right>
      <top style="thin">
        <color indexed="64"/>
      </top>
      <bottom style="thin">
        <color indexed="9"/>
      </bottom>
      <diagonal/>
    </border>
  </borders>
  <cellStyleXfs count="1">
    <xf numFmtId="0" fontId="0" fillId="0" borderId="0"/>
  </cellStyleXfs>
  <cellXfs count="26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9" borderId="1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7" fillId="0" borderId="0" xfId="0" applyFont="1"/>
    <xf numFmtId="0" fontId="8" fillId="0" borderId="0" xfId="0" applyFont="1" applyAlignment="1">
      <alignment horizontal="center" wrapText="1"/>
    </xf>
    <xf numFmtId="0" fontId="9" fillId="0" borderId="0" xfId="0" applyFont="1"/>
    <xf numFmtId="0" fontId="4" fillId="9" borderId="2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3" xfId="0" applyFont="1" applyFill="1" applyBorder="1" applyAlignment="1">
      <alignment horizontal="center" vertical="top" wrapText="1"/>
    </xf>
    <xf numFmtId="0" fontId="10" fillId="9" borderId="2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 wrapText="1"/>
    </xf>
    <xf numFmtId="0" fontId="4" fillId="9" borderId="4" xfId="0" applyFont="1" applyFill="1" applyBorder="1" applyAlignment="1">
      <alignment horizontal="center" vertical="top" wrapText="1"/>
    </xf>
    <xf numFmtId="0" fontId="10" fillId="9" borderId="5" xfId="0" applyFont="1" applyFill="1" applyBorder="1" applyAlignment="1">
      <alignment horizontal="center" vertical="top"/>
    </xf>
    <xf numFmtId="1" fontId="4" fillId="9" borderId="1" xfId="0" applyNumberFormat="1" applyFont="1" applyFill="1" applyBorder="1" applyAlignment="1">
      <alignment horizontal="center" vertical="center"/>
    </xf>
    <xf numFmtId="1" fontId="4" fillId="9" borderId="3" xfId="0" applyNumberFormat="1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176" fontId="11" fillId="10" borderId="8" xfId="0" applyNumberFormat="1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 wrapText="1"/>
    </xf>
    <xf numFmtId="0" fontId="11" fillId="10" borderId="10" xfId="0" applyFont="1" applyFill="1" applyBorder="1" applyAlignment="1">
      <alignment horizontal="center" vertical="center" wrapText="1"/>
    </xf>
    <xf numFmtId="0" fontId="11" fillId="10" borderId="4" xfId="0" applyFont="1" applyFill="1" applyBorder="1" applyAlignment="1">
      <alignment horizontal="center" vertical="center"/>
    </xf>
    <xf numFmtId="2" fontId="11" fillId="10" borderId="4" xfId="0" applyNumberFormat="1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left" vertical="center"/>
    </xf>
    <xf numFmtId="0" fontId="12" fillId="10" borderId="5" xfId="0" applyFont="1" applyFill="1" applyBorder="1" applyAlignment="1">
      <alignment horizontal="center" vertical="center"/>
    </xf>
    <xf numFmtId="2" fontId="4" fillId="9" borderId="6" xfId="0" applyNumberFormat="1" applyFont="1" applyFill="1" applyBorder="1" applyAlignment="1">
      <alignment horizontal="left" vertical="center"/>
    </xf>
    <xf numFmtId="178" fontId="11" fillId="10" borderId="7" xfId="0" applyNumberFormat="1" applyFont="1" applyFill="1" applyBorder="1" applyAlignment="1">
      <alignment vertical="top"/>
    </xf>
    <xf numFmtId="178" fontId="11" fillId="10" borderId="8" xfId="0" applyNumberFormat="1" applyFont="1" applyFill="1" applyBorder="1" applyAlignment="1">
      <alignment vertical="top"/>
    </xf>
    <xf numFmtId="178" fontId="11" fillId="10" borderId="9" xfId="0" applyNumberFormat="1" applyFont="1" applyFill="1" applyBorder="1" applyAlignment="1">
      <alignment vertical="top"/>
    </xf>
    <xf numFmtId="0" fontId="11" fillId="11" borderId="7" xfId="0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176" fontId="11" fillId="11" borderId="8" xfId="0" applyNumberFormat="1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 wrapText="1"/>
    </xf>
    <xf numFmtId="2" fontId="11" fillId="11" borderId="8" xfId="0" applyNumberFormat="1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left" vertical="center"/>
    </xf>
    <xf numFmtId="0" fontId="12" fillId="11" borderId="9" xfId="0" applyFont="1" applyFill="1" applyBorder="1" applyAlignment="1">
      <alignment horizontal="center" vertical="center"/>
    </xf>
    <xf numFmtId="178" fontId="11" fillId="11" borderId="7" xfId="0" applyNumberFormat="1" applyFont="1" applyFill="1" applyBorder="1" applyAlignment="1">
      <alignment vertical="top"/>
    </xf>
    <xf numFmtId="178" fontId="11" fillId="11" borderId="8" xfId="0" applyNumberFormat="1" applyFont="1" applyFill="1" applyBorder="1" applyAlignment="1">
      <alignment vertical="top"/>
    </xf>
    <xf numFmtId="178" fontId="11" fillId="11" borderId="9" xfId="0" applyNumberFormat="1" applyFont="1" applyFill="1" applyBorder="1" applyAlignment="1">
      <alignment vertical="top"/>
    </xf>
    <xf numFmtId="0" fontId="11" fillId="10" borderId="7" xfId="0" applyFont="1" applyFill="1" applyBorder="1" applyAlignment="1">
      <alignment horizontal="center" vertical="center" wrapText="1"/>
    </xf>
    <xf numFmtId="2" fontId="11" fillId="10" borderId="8" xfId="0" applyNumberFormat="1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left" vertical="center"/>
    </xf>
    <xf numFmtId="0" fontId="12" fillId="10" borderId="9" xfId="0" applyFont="1" applyFill="1" applyBorder="1" applyAlignment="1">
      <alignment horizontal="center" vertical="center"/>
    </xf>
    <xf numFmtId="2" fontId="4" fillId="9" borderId="11" xfId="0" applyNumberFormat="1" applyFont="1" applyFill="1" applyBorder="1" applyAlignment="1">
      <alignment horizontal="left" vertical="center"/>
    </xf>
    <xf numFmtId="178" fontId="11" fillId="10" borderId="12" xfId="0" applyNumberFormat="1" applyFont="1" applyFill="1" applyBorder="1" applyAlignment="1">
      <alignment vertical="top"/>
    </xf>
    <xf numFmtId="178" fontId="11" fillId="10" borderId="13" xfId="0" applyNumberFormat="1" applyFont="1" applyFill="1" applyBorder="1" applyAlignment="1">
      <alignment vertical="top"/>
    </xf>
    <xf numFmtId="178" fontId="11" fillId="10" borderId="14" xfId="0" applyNumberFormat="1" applyFont="1" applyFill="1" applyBorder="1" applyAlignment="1">
      <alignment vertical="top"/>
    </xf>
    <xf numFmtId="0" fontId="10" fillId="9" borderId="11" xfId="0" applyFont="1" applyFill="1" applyBorder="1" applyAlignment="1">
      <alignment horizontal="center" vertical="center"/>
    </xf>
    <xf numFmtId="0" fontId="11" fillId="11" borderId="12" xfId="0" applyFont="1" applyFill="1" applyBorder="1" applyAlignment="1">
      <alignment horizontal="center" vertical="center" wrapText="1"/>
    </xf>
    <xf numFmtId="0" fontId="11" fillId="11" borderId="13" xfId="0" applyFont="1" applyFill="1" applyBorder="1" applyAlignment="1">
      <alignment horizontal="center" vertical="center"/>
    </xf>
    <xf numFmtId="2" fontId="11" fillId="11" borderId="13" xfId="0" applyNumberFormat="1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left" vertical="center"/>
    </xf>
    <xf numFmtId="0" fontId="12" fillId="11" borderId="14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top"/>
    </xf>
    <xf numFmtId="1" fontId="4" fillId="9" borderId="1" xfId="0" applyNumberFormat="1" applyFont="1" applyFill="1" applyBorder="1" applyAlignment="1">
      <alignment horizontal="center" vertical="top"/>
    </xf>
    <xf numFmtId="0" fontId="10" fillId="9" borderId="1" xfId="0" applyFont="1" applyFill="1" applyBorder="1" applyAlignment="1">
      <alignment horizontal="center" vertical="top"/>
    </xf>
    <xf numFmtId="1" fontId="4" fillId="9" borderId="3" xfId="0" applyNumberFormat="1" applyFont="1" applyFill="1" applyBorder="1" applyAlignment="1">
      <alignment horizontal="center" vertical="top"/>
    </xf>
    <xf numFmtId="2" fontId="11" fillId="11" borderId="8" xfId="0" applyNumberFormat="1" applyFont="1" applyFill="1" applyBorder="1" applyAlignment="1">
      <alignment vertical="top"/>
    </xf>
    <xf numFmtId="2" fontId="11" fillId="10" borderId="8" xfId="0" applyNumberFormat="1" applyFont="1" applyFill="1" applyBorder="1" applyAlignment="1">
      <alignment vertical="top"/>
    </xf>
    <xf numFmtId="0" fontId="4" fillId="9" borderId="11" xfId="0" applyFont="1" applyFill="1" applyBorder="1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176" fontId="11" fillId="11" borderId="13" xfId="0" applyNumberFormat="1" applyFont="1" applyFill="1" applyBorder="1" applyAlignment="1">
      <alignment horizontal="center" vertical="center"/>
    </xf>
    <xf numFmtId="0" fontId="11" fillId="11" borderId="14" xfId="0" applyFont="1" applyFill="1" applyBorder="1" applyAlignment="1">
      <alignment horizontal="center" vertical="center"/>
    </xf>
    <xf numFmtId="0" fontId="13" fillId="0" borderId="0" xfId="0" applyFont="1" applyAlignment="1">
      <alignment horizontal="left"/>
    </xf>
    <xf numFmtId="178" fontId="11" fillId="11" borderId="12" xfId="0" applyNumberFormat="1" applyFont="1" applyFill="1" applyBorder="1" applyAlignment="1">
      <alignment vertical="top"/>
    </xf>
    <xf numFmtId="178" fontId="11" fillId="11" borderId="13" xfId="0" applyNumberFormat="1" applyFont="1" applyFill="1" applyBorder="1" applyAlignment="1">
      <alignment vertical="top"/>
    </xf>
    <xf numFmtId="2" fontId="11" fillId="11" borderId="13" xfId="0" applyNumberFormat="1" applyFont="1" applyFill="1" applyBorder="1" applyAlignment="1">
      <alignment vertical="top"/>
    </xf>
    <xf numFmtId="178" fontId="11" fillId="11" borderId="14" xfId="0" applyNumberFormat="1" applyFont="1" applyFill="1" applyBorder="1" applyAlignment="1">
      <alignment vertical="top"/>
    </xf>
    <xf numFmtId="0" fontId="4" fillId="9" borderId="6" xfId="0" applyFont="1" applyFill="1" applyBorder="1" applyAlignment="1">
      <alignment horizontal="center" vertical="top"/>
    </xf>
    <xf numFmtId="0" fontId="11" fillId="10" borderId="7" xfId="0" applyFont="1" applyFill="1" applyBorder="1" applyAlignment="1">
      <alignment vertical="top"/>
    </xf>
    <xf numFmtId="0" fontId="11" fillId="10" borderId="9" xfId="0" applyFont="1" applyFill="1" applyBorder="1" applyAlignment="1">
      <alignment vertical="top"/>
    </xf>
    <xf numFmtId="0" fontId="4" fillId="9" borderId="15" xfId="0" applyFont="1" applyFill="1" applyBorder="1" applyAlignment="1">
      <alignment horizontal="center" vertical="center"/>
    </xf>
    <xf numFmtId="0" fontId="4" fillId="9" borderId="16" xfId="0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vertical="top"/>
    </xf>
    <xf numFmtId="0" fontId="11" fillId="11" borderId="9" xfId="0" applyFont="1" applyFill="1" applyBorder="1" applyAlignment="1">
      <alignment vertical="top"/>
    </xf>
    <xf numFmtId="0" fontId="4" fillId="9" borderId="17" xfId="0" applyFont="1" applyFill="1" applyBorder="1" applyAlignment="1">
      <alignment horizontal="center" vertical="center"/>
    </xf>
    <xf numFmtId="184" fontId="11" fillId="11" borderId="8" xfId="0" applyNumberFormat="1" applyFont="1" applyFill="1" applyBorder="1" applyAlignment="1">
      <alignment vertical="top"/>
    </xf>
    <xf numFmtId="184" fontId="11" fillId="11" borderId="9" xfId="0" applyNumberFormat="1" applyFont="1" applyFill="1" applyBorder="1" applyAlignment="1">
      <alignment vertical="top"/>
    </xf>
    <xf numFmtId="184" fontId="11" fillId="10" borderId="8" xfId="0" applyNumberFormat="1" applyFont="1" applyFill="1" applyBorder="1" applyAlignment="1">
      <alignment vertical="top"/>
    </xf>
    <xf numFmtId="184" fontId="11" fillId="10" borderId="9" xfId="0" applyNumberFormat="1" applyFont="1" applyFill="1" applyBorder="1" applyAlignment="1">
      <alignment vertical="top"/>
    </xf>
    <xf numFmtId="176" fontId="11" fillId="11" borderId="7" xfId="0" applyNumberFormat="1" applyFont="1" applyFill="1" applyBorder="1" applyAlignment="1">
      <alignment vertical="top"/>
    </xf>
    <xf numFmtId="176" fontId="11" fillId="11" borderId="9" xfId="0" applyNumberFormat="1" applyFont="1" applyFill="1" applyBorder="1" applyAlignment="1">
      <alignment vertical="top"/>
    </xf>
    <xf numFmtId="0" fontId="4" fillId="9" borderId="11" xfId="0" applyFont="1" applyFill="1" applyBorder="1" applyAlignment="1">
      <alignment horizontal="center" vertical="top"/>
    </xf>
    <xf numFmtId="0" fontId="11" fillId="10" borderId="12" xfId="0" applyFont="1" applyFill="1" applyBorder="1" applyAlignment="1">
      <alignment vertical="top"/>
    </xf>
    <xf numFmtId="0" fontId="11" fillId="10" borderId="14" xfId="0" applyFont="1" applyFill="1" applyBorder="1" applyAlignment="1">
      <alignment vertical="top"/>
    </xf>
    <xf numFmtId="0" fontId="4" fillId="9" borderId="18" xfId="0" applyFont="1" applyFill="1" applyBorder="1" applyAlignment="1">
      <alignment horizontal="center" vertical="center"/>
    </xf>
    <xf numFmtId="184" fontId="11" fillId="10" borderId="13" xfId="0" applyNumberFormat="1" applyFont="1" applyFill="1" applyBorder="1" applyAlignment="1">
      <alignment vertical="top"/>
    </xf>
    <xf numFmtId="184" fontId="11" fillId="10" borderId="14" xfId="0" applyNumberFormat="1" applyFont="1" applyFill="1" applyBorder="1" applyAlignment="1">
      <alignment vertical="top"/>
    </xf>
    <xf numFmtId="0" fontId="4" fillId="9" borderId="8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177" fontId="11" fillId="11" borderId="4" xfId="0" applyNumberFormat="1" applyFont="1" applyFill="1" applyBorder="1" applyAlignment="1">
      <alignment vertical="top"/>
    </xf>
    <xf numFmtId="177" fontId="11" fillId="11" borderId="5" xfId="0" applyNumberFormat="1" applyFont="1" applyFill="1" applyBorder="1" applyAlignment="1">
      <alignment vertical="top"/>
    </xf>
    <xf numFmtId="183" fontId="11" fillId="11" borderId="4" xfId="0" applyNumberFormat="1" applyFont="1" applyFill="1" applyBorder="1" applyAlignment="1">
      <alignment vertical="top"/>
    </xf>
    <xf numFmtId="177" fontId="11" fillId="10" borderId="8" xfId="0" applyNumberFormat="1" applyFont="1" applyFill="1" applyBorder="1" applyAlignment="1">
      <alignment vertical="top"/>
    </xf>
    <xf numFmtId="177" fontId="11" fillId="10" borderId="9" xfId="0" applyNumberFormat="1" applyFont="1" applyFill="1" applyBorder="1" applyAlignment="1">
      <alignment vertical="top"/>
    </xf>
    <xf numFmtId="183" fontId="11" fillId="10" borderId="8" xfId="0" applyNumberFormat="1" applyFont="1" applyFill="1" applyBorder="1" applyAlignment="1">
      <alignment vertical="top"/>
    </xf>
    <xf numFmtId="177" fontId="11" fillId="11" borderId="8" xfId="0" applyNumberFormat="1" applyFont="1" applyFill="1" applyBorder="1" applyAlignment="1">
      <alignment vertical="top"/>
    </xf>
    <xf numFmtId="177" fontId="11" fillId="11" borderId="9" xfId="0" applyNumberFormat="1" applyFont="1" applyFill="1" applyBorder="1" applyAlignment="1">
      <alignment vertical="top"/>
    </xf>
    <xf numFmtId="183" fontId="11" fillId="11" borderId="8" xfId="0" applyNumberFormat="1" applyFont="1" applyFill="1" applyBorder="1" applyAlignment="1">
      <alignment vertical="top"/>
    </xf>
    <xf numFmtId="183" fontId="11" fillId="10" borderId="13" xfId="0" applyNumberFormat="1" applyFont="1" applyFill="1" applyBorder="1" applyAlignment="1">
      <alignment vertical="top"/>
    </xf>
    <xf numFmtId="177" fontId="11" fillId="10" borderId="13" xfId="0" applyNumberFormat="1" applyFont="1" applyFill="1" applyBorder="1" applyAlignment="1">
      <alignment vertical="top"/>
    </xf>
    <xf numFmtId="177" fontId="11" fillId="10" borderId="14" xfId="0" applyNumberFormat="1" applyFont="1" applyFill="1" applyBorder="1" applyAlignment="1">
      <alignment vertical="top"/>
    </xf>
    <xf numFmtId="177" fontId="11" fillId="11" borderId="13" xfId="0" applyNumberFormat="1" applyFont="1" applyFill="1" applyBorder="1" applyAlignment="1">
      <alignment vertical="top"/>
    </xf>
    <xf numFmtId="177" fontId="11" fillId="11" borderId="14" xfId="0" applyNumberFormat="1" applyFont="1" applyFill="1" applyBorder="1" applyAlignment="1">
      <alignment vertical="top"/>
    </xf>
    <xf numFmtId="0" fontId="4" fillId="9" borderId="19" xfId="0" applyFont="1" applyFill="1" applyBorder="1" applyAlignment="1">
      <alignment horizontal="center" vertical="center"/>
    </xf>
    <xf numFmtId="180" fontId="11" fillId="10" borderId="4" xfId="0" applyNumberFormat="1" applyFont="1" applyFill="1" applyBorder="1" applyAlignment="1">
      <alignment vertical="top"/>
    </xf>
    <xf numFmtId="178" fontId="11" fillId="10" borderId="4" xfId="0" applyNumberFormat="1" applyFont="1" applyFill="1" applyBorder="1" applyAlignment="1">
      <alignment vertical="top"/>
    </xf>
    <xf numFmtId="178" fontId="11" fillId="10" borderId="5" xfId="0" applyNumberFormat="1" applyFont="1" applyFill="1" applyBorder="1" applyAlignment="1">
      <alignment vertical="top"/>
    </xf>
    <xf numFmtId="180" fontId="11" fillId="11" borderId="8" xfId="0" applyNumberFormat="1" applyFont="1" applyFill="1" applyBorder="1" applyAlignment="1">
      <alignment vertical="top"/>
    </xf>
    <xf numFmtId="180" fontId="11" fillId="10" borderId="8" xfId="0" applyNumberFormat="1" applyFont="1" applyFill="1" applyBorder="1" applyAlignment="1">
      <alignment vertical="top"/>
    </xf>
    <xf numFmtId="180" fontId="11" fillId="11" borderId="13" xfId="0" applyNumberFormat="1" applyFont="1" applyFill="1" applyBorder="1" applyAlignment="1">
      <alignment vertical="top"/>
    </xf>
    <xf numFmtId="0" fontId="4" fillId="9" borderId="20" xfId="0" applyFont="1" applyFill="1" applyBorder="1" applyAlignment="1">
      <alignment horizontal="center" vertical="center"/>
    </xf>
    <xf numFmtId="2" fontId="4" fillId="9" borderId="17" xfId="0" applyNumberFormat="1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vertical="top"/>
    </xf>
    <xf numFmtId="0" fontId="11" fillId="11" borderId="5" xfId="0" applyFont="1" applyFill="1" applyBorder="1" applyAlignment="1">
      <alignment vertical="top"/>
    </xf>
    <xf numFmtId="2" fontId="11" fillId="10" borderId="9" xfId="0" applyNumberFormat="1" applyFont="1" applyFill="1" applyBorder="1" applyAlignment="1">
      <alignment vertical="top"/>
    </xf>
    <xf numFmtId="0" fontId="11" fillId="11" borderId="8" xfId="0" applyFont="1" applyFill="1" applyBorder="1" applyAlignment="1">
      <alignment vertical="top"/>
    </xf>
    <xf numFmtId="2" fontId="4" fillId="9" borderId="18" xfId="0" applyNumberFormat="1" applyFont="1" applyFill="1" applyBorder="1" applyAlignment="1">
      <alignment horizontal="center" vertical="center"/>
    </xf>
    <xf numFmtId="2" fontId="11" fillId="10" borderId="13" xfId="0" applyNumberFormat="1" applyFont="1" applyFill="1" applyBorder="1" applyAlignment="1">
      <alignment vertical="top"/>
    </xf>
    <xf numFmtId="2" fontId="11" fillId="10" borderId="14" xfId="0" applyNumberFormat="1" applyFont="1" applyFill="1" applyBorder="1" applyAlignment="1">
      <alignment vertical="top"/>
    </xf>
    <xf numFmtId="181" fontId="11" fillId="10" borderId="8" xfId="0" applyNumberFormat="1" applyFont="1" applyFill="1" applyBorder="1" applyAlignment="1">
      <alignment vertical="top"/>
    </xf>
    <xf numFmtId="181" fontId="11" fillId="10" borderId="9" xfId="0" applyNumberFormat="1" applyFont="1" applyFill="1" applyBorder="1" applyAlignment="1">
      <alignment vertical="top"/>
    </xf>
    <xf numFmtId="181" fontId="11" fillId="11" borderId="8" xfId="0" applyNumberFormat="1" applyFont="1" applyFill="1" applyBorder="1" applyAlignment="1">
      <alignment vertical="top"/>
    </xf>
    <xf numFmtId="181" fontId="11" fillId="11" borderId="9" xfId="0" applyNumberFormat="1" applyFont="1" applyFill="1" applyBorder="1" applyAlignment="1">
      <alignment vertical="top"/>
    </xf>
    <xf numFmtId="181" fontId="11" fillId="11" borderId="13" xfId="0" applyNumberFormat="1" applyFont="1" applyFill="1" applyBorder="1" applyAlignment="1">
      <alignment vertical="top"/>
    </xf>
    <xf numFmtId="181" fontId="11" fillId="11" borderId="14" xfId="0" applyNumberFormat="1" applyFont="1" applyFill="1" applyBorder="1" applyAlignment="1">
      <alignment vertical="top"/>
    </xf>
    <xf numFmtId="180" fontId="11" fillId="11" borderId="4" xfId="0" applyNumberFormat="1" applyFont="1" applyFill="1" applyBorder="1" applyAlignment="1">
      <alignment vertical="top"/>
    </xf>
    <xf numFmtId="2" fontId="11" fillId="11" borderId="4" xfId="0" applyNumberFormat="1" applyFont="1" applyFill="1" applyBorder="1" applyAlignment="1">
      <alignment vertical="top"/>
    </xf>
    <xf numFmtId="2" fontId="4" fillId="9" borderId="19" xfId="0" applyNumberFormat="1" applyFont="1" applyFill="1" applyBorder="1" applyAlignment="1">
      <alignment horizontal="center" vertical="center"/>
    </xf>
    <xf numFmtId="2" fontId="11" fillId="11" borderId="5" xfId="0" applyNumberFormat="1" applyFont="1" applyFill="1" applyBorder="1" applyAlignment="1">
      <alignment vertical="top"/>
    </xf>
    <xf numFmtId="2" fontId="11" fillId="11" borderId="9" xfId="0" applyNumberFormat="1" applyFont="1" applyFill="1" applyBorder="1" applyAlignment="1">
      <alignment vertical="top"/>
    </xf>
    <xf numFmtId="180" fontId="11" fillId="10" borderId="13" xfId="0" applyNumberFormat="1" applyFont="1" applyFill="1" applyBorder="1" applyAlignment="1">
      <alignment vertical="top"/>
    </xf>
    <xf numFmtId="2" fontId="4" fillId="9" borderId="20" xfId="0" applyNumberFormat="1" applyFont="1" applyFill="1" applyBorder="1" applyAlignment="1">
      <alignment horizontal="center" vertical="center"/>
    </xf>
    <xf numFmtId="2" fontId="11" fillId="10" borderId="6" xfId="0" applyNumberFormat="1" applyFont="1" applyFill="1" applyBorder="1" applyAlignment="1">
      <alignment vertical="top"/>
    </xf>
    <xf numFmtId="2" fontId="11" fillId="11" borderId="6" xfId="0" applyNumberFormat="1" applyFont="1" applyFill="1" applyBorder="1" applyAlignment="1">
      <alignment vertical="top"/>
    </xf>
    <xf numFmtId="0" fontId="12" fillId="10" borderId="8" xfId="0" applyFont="1" applyFill="1" applyBorder="1" applyAlignment="1">
      <alignment vertical="top"/>
    </xf>
    <xf numFmtId="0" fontId="12" fillId="10" borderId="9" xfId="0" applyFont="1" applyFill="1" applyBorder="1" applyAlignment="1">
      <alignment vertical="top"/>
    </xf>
    <xf numFmtId="0" fontId="12" fillId="11" borderId="8" xfId="0" applyFont="1" applyFill="1" applyBorder="1" applyAlignment="1">
      <alignment vertical="top"/>
    </xf>
    <xf numFmtId="0" fontId="12" fillId="11" borderId="9" xfId="0" applyFont="1" applyFill="1" applyBorder="1" applyAlignment="1">
      <alignment vertical="top"/>
    </xf>
    <xf numFmtId="2" fontId="11" fillId="10" borderId="21" xfId="0" applyNumberFormat="1" applyFont="1" applyFill="1" applyBorder="1" applyAlignment="1">
      <alignment vertical="top"/>
    </xf>
    <xf numFmtId="184" fontId="11" fillId="10" borderId="22" xfId="0" applyNumberFormat="1" applyFont="1" applyFill="1" applyBorder="1" applyAlignment="1">
      <alignment vertical="top"/>
    </xf>
    <xf numFmtId="2" fontId="11" fillId="10" borderId="22" xfId="0" applyNumberFormat="1" applyFont="1" applyFill="1" applyBorder="1" applyAlignment="1">
      <alignment vertical="top"/>
    </xf>
    <xf numFmtId="0" fontId="12" fillId="10" borderId="22" xfId="0" applyFont="1" applyFill="1" applyBorder="1" applyAlignment="1">
      <alignment vertical="top"/>
    </xf>
    <xf numFmtId="0" fontId="12" fillId="10" borderId="23" xfId="0" applyFont="1" applyFill="1" applyBorder="1" applyAlignment="1">
      <alignment vertical="top"/>
    </xf>
    <xf numFmtId="2" fontId="11" fillId="10" borderId="15" xfId="0" applyNumberFormat="1" applyFont="1" applyFill="1" applyBorder="1" applyAlignment="1">
      <alignment vertical="top"/>
    </xf>
    <xf numFmtId="184" fontId="11" fillId="10" borderId="4" xfId="0" applyNumberFormat="1" applyFont="1" applyFill="1" applyBorder="1" applyAlignment="1">
      <alignment vertical="top"/>
    </xf>
    <xf numFmtId="2" fontId="11" fillId="10" borderId="4" xfId="0" applyNumberFormat="1" applyFont="1" applyFill="1" applyBorder="1" applyAlignment="1">
      <alignment vertical="top"/>
    </xf>
    <xf numFmtId="184" fontId="11" fillId="10" borderId="5" xfId="0" applyNumberFormat="1" applyFont="1" applyFill="1" applyBorder="1" applyAlignment="1">
      <alignment vertical="top"/>
    </xf>
    <xf numFmtId="2" fontId="11" fillId="11" borderId="21" xfId="0" applyNumberFormat="1" applyFont="1" applyFill="1" applyBorder="1" applyAlignment="1">
      <alignment vertical="top"/>
    </xf>
    <xf numFmtId="184" fontId="11" fillId="11" borderId="22" xfId="0" applyNumberFormat="1" applyFont="1" applyFill="1" applyBorder="1" applyAlignment="1">
      <alignment vertical="top"/>
    </xf>
    <xf numFmtId="0" fontId="12" fillId="11" borderId="22" xfId="0" applyFont="1" applyFill="1" applyBorder="1" applyAlignment="1">
      <alignment vertical="top"/>
    </xf>
    <xf numFmtId="0" fontId="12" fillId="11" borderId="23" xfId="0" applyFont="1" applyFill="1" applyBorder="1" applyAlignment="1">
      <alignment vertical="top"/>
    </xf>
    <xf numFmtId="0" fontId="12" fillId="11" borderId="6" xfId="0" applyFont="1" applyFill="1" applyBorder="1" applyAlignment="1">
      <alignment vertical="top"/>
    </xf>
    <xf numFmtId="2" fontId="11" fillId="11" borderId="15" xfId="0" applyNumberFormat="1" applyFont="1" applyFill="1" applyBorder="1" applyAlignment="1">
      <alignment vertical="top"/>
    </xf>
    <xf numFmtId="184" fontId="11" fillId="11" borderId="4" xfId="0" applyNumberFormat="1" applyFont="1" applyFill="1" applyBorder="1" applyAlignment="1">
      <alignment vertical="top"/>
    </xf>
    <xf numFmtId="184" fontId="11" fillId="11" borderId="5" xfId="0" applyNumberFormat="1" applyFont="1" applyFill="1" applyBorder="1" applyAlignment="1">
      <alignment vertical="top"/>
    </xf>
    <xf numFmtId="0" fontId="12" fillId="10" borderId="6" xfId="0" applyFont="1" applyFill="1" applyBorder="1" applyAlignment="1">
      <alignment vertical="top"/>
    </xf>
    <xf numFmtId="0" fontId="12" fillId="11" borderId="11" xfId="0" applyFont="1" applyFill="1" applyBorder="1" applyAlignment="1">
      <alignment vertical="top"/>
    </xf>
    <xf numFmtId="0" fontId="12" fillId="11" borderId="13" xfId="0" applyFont="1" applyFill="1" applyBorder="1" applyAlignment="1">
      <alignment vertical="top"/>
    </xf>
    <xf numFmtId="0" fontId="12" fillId="11" borderId="14" xfId="0" applyFont="1" applyFill="1" applyBorder="1" applyAlignment="1">
      <alignment vertical="top"/>
    </xf>
    <xf numFmtId="2" fontId="11" fillId="11" borderId="11" xfId="0" applyNumberFormat="1" applyFont="1" applyFill="1" applyBorder="1" applyAlignment="1">
      <alignment vertical="top"/>
    </xf>
    <xf numFmtId="184" fontId="11" fillId="11" borderId="13" xfId="0" applyNumberFormat="1" applyFont="1" applyFill="1" applyBorder="1" applyAlignment="1">
      <alignment vertical="top"/>
    </xf>
    <xf numFmtId="184" fontId="11" fillId="11" borderId="14" xfId="0" applyNumberFormat="1" applyFont="1" applyFill="1" applyBorder="1" applyAlignment="1">
      <alignment vertical="top"/>
    </xf>
    <xf numFmtId="0" fontId="10" fillId="9" borderId="17" xfId="0" applyFont="1" applyFill="1" applyBorder="1" applyAlignment="1">
      <alignment horizontal="center" vertical="center"/>
    </xf>
    <xf numFmtId="2" fontId="4" fillId="9" borderId="24" xfId="0" applyNumberFormat="1" applyFont="1" applyFill="1" applyBorder="1" applyAlignment="1">
      <alignment horizontal="center" vertical="center"/>
    </xf>
    <xf numFmtId="179" fontId="11" fillId="10" borderId="4" xfId="0" applyNumberFormat="1" applyFont="1" applyFill="1" applyBorder="1" applyAlignment="1">
      <alignment vertical="top"/>
    </xf>
    <xf numFmtId="179" fontId="11" fillId="10" borderId="5" xfId="0" applyNumberFormat="1" applyFont="1" applyFill="1" applyBorder="1" applyAlignment="1">
      <alignment vertical="top"/>
    </xf>
    <xf numFmtId="179" fontId="11" fillId="11" borderId="8" xfId="0" applyNumberFormat="1" applyFont="1" applyFill="1" applyBorder="1" applyAlignment="1">
      <alignment vertical="top"/>
    </xf>
    <xf numFmtId="179" fontId="11" fillId="11" borderId="9" xfId="0" applyNumberFormat="1" applyFont="1" applyFill="1" applyBorder="1" applyAlignment="1">
      <alignment vertical="top"/>
    </xf>
    <xf numFmtId="179" fontId="11" fillId="10" borderId="8" xfId="0" applyNumberFormat="1" applyFont="1" applyFill="1" applyBorder="1" applyAlignment="1">
      <alignment vertical="top"/>
    </xf>
    <xf numFmtId="179" fontId="11" fillId="10" borderId="9" xfId="0" applyNumberFormat="1" applyFont="1" applyFill="1" applyBorder="1" applyAlignment="1">
      <alignment vertical="top"/>
    </xf>
    <xf numFmtId="179" fontId="11" fillId="11" borderId="13" xfId="0" applyNumberFormat="1" applyFont="1" applyFill="1" applyBorder="1" applyAlignment="1">
      <alignment vertical="top"/>
    </xf>
    <xf numFmtId="179" fontId="11" fillId="11" borderId="14" xfId="0" applyNumberFormat="1" applyFont="1" applyFill="1" applyBorder="1" applyAlignment="1">
      <alignment vertical="top"/>
    </xf>
    <xf numFmtId="0" fontId="3" fillId="0" borderId="0" xfId="0" applyFont="1" applyAlignment="1">
      <alignment vertical="center"/>
    </xf>
    <xf numFmtId="14" fontId="7" fillId="0" borderId="0" xfId="0" applyNumberFormat="1" applyFont="1"/>
    <xf numFmtId="0" fontId="2" fillId="0" borderId="0" xfId="0" applyFont="1" applyAlignment="1">
      <alignment vertical="center"/>
    </xf>
    <xf numFmtId="176" fontId="7" fillId="0" borderId="0" xfId="0" applyNumberFormat="1" applyFont="1" applyAlignment="1">
      <alignment horizontal="left"/>
    </xf>
    <xf numFmtId="0" fontId="14" fillId="0" borderId="0" xfId="0" applyFont="1"/>
    <xf numFmtId="2" fontId="15" fillId="0" borderId="0" xfId="0" applyNumberFormat="1" applyFont="1"/>
    <xf numFmtId="181" fontId="7" fillId="0" borderId="0" xfId="0" applyNumberFormat="1" applyFont="1" applyAlignment="1">
      <alignment horizontal="left"/>
    </xf>
    <xf numFmtId="182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76" fontId="7" fillId="0" borderId="0" xfId="0" applyNumberFormat="1" applyFont="1" applyAlignment="1">
      <alignment horizontal="center"/>
    </xf>
    <xf numFmtId="176" fontId="7" fillId="0" borderId="0" xfId="0" applyNumberFormat="1" applyFont="1" applyAlignment="1">
      <alignment horizontal="right"/>
    </xf>
    <xf numFmtId="0" fontId="16" fillId="0" borderId="0" xfId="0" applyFont="1"/>
    <xf numFmtId="0" fontId="14" fillId="0" borderId="0" xfId="0" applyFont="1" applyAlignment="1">
      <alignment horizontal="right"/>
    </xf>
    <xf numFmtId="0" fontId="17" fillId="0" borderId="0" xfId="0" applyFont="1"/>
    <xf numFmtId="177" fontId="7" fillId="0" borderId="0" xfId="0" applyNumberFormat="1" applyFont="1" applyAlignment="1">
      <alignment horizontal="left"/>
    </xf>
    <xf numFmtId="0" fontId="18" fillId="0" borderId="0" xfId="0" applyFont="1"/>
    <xf numFmtId="177" fontId="17" fillId="0" borderId="0" xfId="0" applyNumberFormat="1" applyFont="1" applyAlignment="1">
      <alignment horizontal="left"/>
    </xf>
    <xf numFmtId="181" fontId="11" fillId="10" borderId="4" xfId="0" applyNumberFormat="1" applyFont="1" applyFill="1" applyBorder="1" applyAlignment="1">
      <alignment vertical="top"/>
    </xf>
    <xf numFmtId="181" fontId="11" fillId="10" borderId="5" xfId="0" applyNumberFormat="1" applyFont="1" applyFill="1" applyBorder="1" applyAlignment="1">
      <alignment vertical="top"/>
    </xf>
    <xf numFmtId="1" fontId="4" fillId="9" borderId="8" xfId="0" applyNumberFormat="1" applyFont="1" applyFill="1" applyBorder="1" applyAlignment="1">
      <alignment horizontal="center" vertical="center"/>
    </xf>
    <xf numFmtId="1" fontId="4" fillId="9" borderId="25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9" borderId="26" xfId="0" applyFont="1" applyFill="1" applyBorder="1" applyAlignment="1">
      <alignment horizontal="center" vertical="center"/>
    </xf>
    <xf numFmtId="0" fontId="22" fillId="9" borderId="27" xfId="0" applyFont="1" applyFill="1" applyBorder="1" applyAlignment="1">
      <alignment horizontal="center" vertical="center"/>
    </xf>
    <xf numFmtId="0" fontId="22" fillId="9" borderId="28" xfId="0" applyFont="1" applyFill="1" applyBorder="1" applyAlignment="1">
      <alignment horizontal="center" vertical="center"/>
    </xf>
    <xf numFmtId="0" fontId="21" fillId="9" borderId="29" xfId="0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left"/>
    </xf>
    <xf numFmtId="0" fontId="21" fillId="9" borderId="30" xfId="0" applyFont="1" applyFill="1" applyBorder="1" applyAlignment="1">
      <alignment horizontal="center" vertical="center" wrapText="1"/>
    </xf>
    <xf numFmtId="0" fontId="23" fillId="0" borderId="0" xfId="0" applyFont="1"/>
    <xf numFmtId="0" fontId="22" fillId="9" borderId="30" xfId="0" applyFont="1" applyFill="1" applyBorder="1" applyAlignment="1">
      <alignment horizontal="center" vertical="center"/>
    </xf>
    <xf numFmtId="1" fontId="4" fillId="9" borderId="9" xfId="0" applyNumberFormat="1" applyFont="1" applyFill="1" applyBorder="1" applyAlignment="1">
      <alignment horizontal="center" vertical="center"/>
    </xf>
    <xf numFmtId="0" fontId="24" fillId="0" borderId="0" xfId="0" applyFont="1"/>
    <xf numFmtId="0" fontId="22" fillId="9" borderId="33" xfId="0" applyFont="1" applyFill="1" applyBorder="1" applyAlignment="1">
      <alignment horizontal="left" vertical="center"/>
    </xf>
    <xf numFmtId="0" fontId="22" fillId="9" borderId="34" xfId="0" applyFont="1" applyFill="1" applyBorder="1" applyAlignment="1">
      <alignment horizontal="left" vertical="center"/>
    </xf>
    <xf numFmtId="0" fontId="22" fillId="9" borderId="26" xfId="0" applyFont="1" applyFill="1" applyBorder="1" applyAlignment="1">
      <alignment horizontal="center" vertical="center"/>
    </xf>
    <xf numFmtId="0" fontId="22" fillId="9" borderId="35" xfId="0" applyFont="1" applyFill="1" applyBorder="1" applyAlignment="1">
      <alignment horizontal="center" vertical="center"/>
    </xf>
    <xf numFmtId="0" fontId="22" fillId="9" borderId="28" xfId="0" applyFont="1" applyFill="1" applyBorder="1" applyAlignment="1">
      <alignment horizontal="center" vertical="center"/>
    </xf>
    <xf numFmtId="0" fontId="21" fillId="9" borderId="26" xfId="0" applyFont="1" applyFill="1" applyBorder="1" applyAlignment="1">
      <alignment horizontal="center" vertical="center"/>
    </xf>
    <xf numFmtId="0" fontId="22" fillId="9" borderId="36" xfId="0" applyFont="1" applyFill="1" applyBorder="1" applyAlignment="1">
      <alignment horizontal="center" vertical="center"/>
    </xf>
    <xf numFmtId="0" fontId="21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22" fillId="9" borderId="37" xfId="0" applyFont="1" applyFill="1" applyBorder="1" applyAlignment="1">
      <alignment horizontal="center" vertical="center"/>
    </xf>
    <xf numFmtId="0" fontId="22" fillId="9" borderId="38" xfId="0" applyFont="1" applyFill="1" applyBorder="1" applyAlignment="1">
      <alignment horizontal="center" vertical="center"/>
    </xf>
    <xf numFmtId="0" fontId="22" fillId="9" borderId="41" xfId="0" applyFont="1" applyFill="1" applyBorder="1" applyAlignment="1">
      <alignment horizontal="center" vertical="center"/>
    </xf>
    <xf numFmtId="0" fontId="25" fillId="9" borderId="35" xfId="0" applyFont="1" applyFill="1" applyBorder="1" applyAlignment="1">
      <alignment horizontal="center" vertical="center"/>
    </xf>
    <xf numFmtId="0" fontId="25" fillId="9" borderId="36" xfId="0" applyFont="1" applyFill="1" applyBorder="1" applyAlignment="1">
      <alignment horizontal="center" vertical="center"/>
    </xf>
    <xf numFmtId="0" fontId="22" fillId="9" borderId="27" xfId="0" applyFont="1" applyFill="1" applyBorder="1" applyAlignment="1">
      <alignment horizontal="center" vertical="center"/>
    </xf>
    <xf numFmtId="0" fontId="22" fillId="9" borderId="42" xfId="0" applyFont="1" applyFill="1" applyBorder="1" applyAlignment="1">
      <alignment horizontal="center" vertical="center"/>
    </xf>
    <xf numFmtId="0" fontId="22" fillId="9" borderId="39" xfId="0" applyFont="1" applyFill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0" fontId="4" fillId="9" borderId="23" xfId="0" applyFont="1" applyFill="1" applyBorder="1" applyAlignment="1">
      <alignment horizontal="center" vertical="center"/>
    </xf>
    <xf numFmtId="0" fontId="25" fillId="9" borderId="32" xfId="0" applyFont="1" applyFill="1" applyBorder="1" applyAlignment="1">
      <alignment horizontal="center" vertical="center"/>
    </xf>
    <xf numFmtId="0" fontId="25" fillId="9" borderId="33" xfId="0" applyFont="1" applyFill="1" applyBorder="1" applyAlignment="1">
      <alignment horizontal="center" vertical="center"/>
    </xf>
    <xf numFmtId="0" fontId="25" fillId="9" borderId="34" xfId="0" applyFont="1" applyFill="1" applyBorder="1" applyAlignment="1">
      <alignment horizontal="center" vertical="center"/>
    </xf>
    <xf numFmtId="0" fontId="26" fillId="9" borderId="32" xfId="0" applyFont="1" applyFill="1" applyBorder="1" applyAlignment="1">
      <alignment horizontal="center" vertical="center"/>
    </xf>
    <xf numFmtId="0" fontId="27" fillId="9" borderId="33" xfId="0" applyFont="1" applyFill="1" applyBorder="1" applyAlignment="1">
      <alignment horizontal="center" vertical="center"/>
    </xf>
    <xf numFmtId="0" fontId="27" fillId="9" borderId="34" xfId="0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2" fontId="4" fillId="9" borderId="23" xfId="0" applyNumberFormat="1" applyFont="1" applyFill="1" applyBorder="1" applyAlignment="1">
      <alignment horizontal="center" vertical="center"/>
    </xf>
    <xf numFmtId="2" fontId="4" fillId="9" borderId="31" xfId="0" applyNumberFormat="1" applyFont="1" applyFill="1" applyBorder="1" applyAlignment="1">
      <alignment horizontal="center" vertical="center"/>
    </xf>
    <xf numFmtId="0" fontId="4" fillId="9" borderId="21" xfId="0" applyFont="1" applyFill="1" applyBorder="1" applyAlignment="1">
      <alignment horizontal="center" vertical="center"/>
    </xf>
    <xf numFmtId="2" fontId="4" fillId="9" borderId="21" xfId="0" applyNumberFormat="1" applyFont="1" applyFill="1" applyBorder="1" applyAlignment="1">
      <alignment horizontal="center" vertical="center"/>
    </xf>
    <xf numFmtId="0" fontId="4" fillId="9" borderId="40" xfId="0" applyFont="1" applyFill="1" applyBorder="1" applyAlignment="1">
      <alignment horizontal="center" vertical="center"/>
    </xf>
    <xf numFmtId="0" fontId="7" fillId="16" borderId="0" xfId="0" applyFont="1" applyFill="1"/>
    <xf numFmtId="0" fontId="0" fillId="0" borderId="0" xfId="0"/>
    <xf numFmtId="0" fontId="7" fillId="17" borderId="0" xfId="0" applyFont="1" applyFill="1"/>
    <xf numFmtId="0" fontId="7" fillId="18" borderId="0" xfId="0" applyFont="1" applyFill="1"/>
    <xf numFmtId="0" fontId="7" fillId="19" borderId="0" xfId="0" applyFont="1" applyFill="1"/>
    <xf numFmtId="0" fontId="2" fillId="0" borderId="0" xfId="0" applyFont="1" applyAlignment="1">
      <alignment vertical="center"/>
    </xf>
    <xf numFmtId="0" fontId="7" fillId="20" borderId="0" xfId="0" applyFont="1" applyFill="1"/>
    <xf numFmtId="0" fontId="7" fillId="12" borderId="0" xfId="0" applyFont="1" applyFill="1"/>
    <xf numFmtId="0" fontId="7" fillId="13" borderId="0" xfId="0" applyFont="1" applyFill="1"/>
    <xf numFmtId="0" fontId="7" fillId="14" borderId="0" xfId="0" applyFont="1" applyFill="1"/>
    <xf numFmtId="0" fontId="7" fillId="15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CCCC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20.emf"/><Relationship Id="rId21" Type="http://schemas.openxmlformats.org/officeDocument/2006/relationships/image" Target="../media/image2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6</xdr:row>
          <xdr:rowOff>12700</xdr:rowOff>
        </xdr:from>
        <xdr:to>
          <xdr:col>8</xdr:col>
          <xdr:colOff>603250</xdr:colOff>
          <xdr:row>7</xdr:row>
          <xdr:rowOff>95250</xdr:rowOff>
        </xdr:to>
        <xdr:sp macro="" textlink="">
          <xdr:nvSpPr>
            <xdr:cNvPr id="1030" name="cboLocato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12</xdr:col>
          <xdr:colOff>374650</xdr:colOff>
          <xdr:row>26</xdr:row>
          <xdr:rowOff>88900</xdr:rowOff>
        </xdr:to>
        <xdr:sp macro="" textlink="">
          <xdr:nvSpPr>
            <xdr:cNvPr id="1031" name="cboSwapBrok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374650</xdr:colOff>
          <xdr:row>26</xdr:row>
          <xdr:rowOff>88900</xdr:rowOff>
        </xdr:to>
        <xdr:sp macro="" textlink="">
          <xdr:nvSpPr>
            <xdr:cNvPr id="1032" name="cboDisplayTyp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8</xdr:col>
          <xdr:colOff>342900</xdr:colOff>
          <xdr:row>45</xdr:row>
          <xdr:rowOff>88900</xdr:rowOff>
        </xdr:to>
        <xdr:sp macro="" textlink="">
          <xdr:nvSpPr>
            <xdr:cNvPr id="1034" name="cboO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13</xdr:col>
          <xdr:colOff>374650</xdr:colOff>
          <xdr:row>45</xdr:row>
          <xdr:rowOff>88900</xdr:rowOff>
        </xdr:to>
        <xdr:sp macro="" textlink="">
          <xdr:nvSpPr>
            <xdr:cNvPr id="1037" name="cboBasisSwap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97</xdr:row>
          <xdr:rowOff>31750</xdr:rowOff>
        </xdr:from>
        <xdr:to>
          <xdr:col>8</xdr:col>
          <xdr:colOff>342900</xdr:colOff>
          <xdr:row>98</xdr:row>
          <xdr:rowOff>114300</xdr:rowOff>
        </xdr:to>
        <xdr:sp macro="" textlink="">
          <xdr:nvSpPr>
            <xdr:cNvPr id="1038" name="cboVol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123</xdr:row>
          <xdr:rowOff>171450</xdr:rowOff>
        </xdr:from>
        <xdr:to>
          <xdr:col>8</xdr:col>
          <xdr:colOff>355600</xdr:colOff>
          <xdr:row>125</xdr:row>
          <xdr:rowOff>69850</xdr:rowOff>
        </xdr:to>
        <xdr:sp macro="" textlink="">
          <xdr:nvSpPr>
            <xdr:cNvPr id="1039" name="cboFRA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171450</xdr:colOff>
          <xdr:row>8</xdr:row>
          <xdr:rowOff>50800</xdr:rowOff>
        </xdr:from>
        <xdr:to>
          <xdr:col>34</xdr:col>
          <xdr:colOff>514350</xdr:colOff>
          <xdr:row>8</xdr:row>
          <xdr:rowOff>342900</xdr:rowOff>
        </xdr:to>
        <xdr:sp macro="" textlink="">
          <xdr:nvSpPr>
            <xdr:cNvPr id="1040" name="cboGlobalMaturit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19050</xdr:rowOff>
        </xdr:from>
        <xdr:to>
          <xdr:col>2</xdr:col>
          <xdr:colOff>19050</xdr:colOff>
          <xdr:row>9</xdr:row>
          <xdr:rowOff>31750</xdr:rowOff>
        </xdr:to>
        <xdr:sp macro="" textlink="">
          <xdr:nvSpPr>
            <xdr:cNvPr id="1069" name="btnXRL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165100</xdr:rowOff>
        </xdr:from>
        <xdr:to>
          <xdr:col>2</xdr:col>
          <xdr:colOff>12700</xdr:colOff>
          <xdr:row>10</xdr:row>
          <xdr:rowOff>184150</xdr:rowOff>
        </xdr:to>
        <xdr:sp macro="" textlink="">
          <xdr:nvSpPr>
            <xdr:cNvPr id="1070" name="btnXBCY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133350</xdr:rowOff>
        </xdr:from>
        <xdr:to>
          <xdr:col>2</xdr:col>
          <xdr:colOff>12700</xdr:colOff>
          <xdr:row>14</xdr:row>
          <xdr:rowOff>19050</xdr:rowOff>
        </xdr:to>
        <xdr:sp macro="" textlink="">
          <xdr:nvSpPr>
            <xdr:cNvPr id="1071" name="btnXVLA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12700</xdr:rowOff>
        </xdr:from>
        <xdr:to>
          <xdr:col>2</xdr:col>
          <xdr:colOff>12700</xdr:colOff>
          <xdr:row>17</xdr:row>
          <xdr:rowOff>88900</xdr:rowOff>
        </xdr:to>
        <xdr:sp macro="" textlink="">
          <xdr:nvSpPr>
            <xdr:cNvPr id="1072" name="btnXOIP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57150</xdr:rowOff>
        </xdr:from>
        <xdr:to>
          <xdr:col>2</xdr:col>
          <xdr:colOff>12700</xdr:colOff>
          <xdr:row>20</xdr:row>
          <xdr:rowOff>133350</xdr:rowOff>
        </xdr:to>
        <xdr:sp macro="" textlink="">
          <xdr:nvSpPr>
            <xdr:cNvPr id="1087" name="btnXKRD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12700</xdr:colOff>
          <xdr:row>27</xdr:row>
          <xdr:rowOff>361950</xdr:rowOff>
        </xdr:to>
        <xdr:sp macro="" textlink="">
          <xdr:nvSpPr>
            <xdr:cNvPr id="1088" name="btnSWPM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50800</xdr:rowOff>
        </xdr:from>
        <xdr:to>
          <xdr:col>2</xdr:col>
          <xdr:colOff>19050</xdr:colOff>
          <xdr:row>30</xdr:row>
          <xdr:rowOff>31750</xdr:rowOff>
        </xdr:to>
        <xdr:sp macro="" textlink="">
          <xdr:nvSpPr>
            <xdr:cNvPr id="1089" name="btnBTMM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152400</xdr:rowOff>
        </xdr:from>
        <xdr:to>
          <xdr:col>2</xdr:col>
          <xdr:colOff>19050</xdr:colOff>
          <xdr:row>32</xdr:row>
          <xdr:rowOff>133350</xdr:rowOff>
        </xdr:to>
        <xdr:sp macro="" textlink="">
          <xdr:nvSpPr>
            <xdr:cNvPr id="1090" name="btnICVS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69850</xdr:rowOff>
        </xdr:from>
        <xdr:to>
          <xdr:col>2</xdr:col>
          <xdr:colOff>19050</xdr:colOff>
          <xdr:row>35</xdr:row>
          <xdr:rowOff>50800</xdr:rowOff>
        </xdr:to>
        <xdr:sp macro="" textlink="">
          <xdr:nvSpPr>
            <xdr:cNvPr id="1091" name="btnUSSW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184150</xdr:rowOff>
        </xdr:from>
        <xdr:to>
          <xdr:col>2</xdr:col>
          <xdr:colOff>19050</xdr:colOff>
          <xdr:row>37</xdr:row>
          <xdr:rowOff>165100</xdr:rowOff>
        </xdr:to>
        <xdr:sp macro="" textlink="">
          <xdr:nvSpPr>
            <xdr:cNvPr id="1092" name="btnIRSB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107950</xdr:rowOff>
        </xdr:from>
        <xdr:to>
          <xdr:col>2</xdr:col>
          <xdr:colOff>12700</xdr:colOff>
          <xdr:row>23</xdr:row>
          <xdr:rowOff>184150</xdr:rowOff>
        </xdr:to>
        <xdr:sp macro="" textlink="">
          <xdr:nvSpPr>
            <xdr:cNvPr id="1275" name="btnXHSSA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107950</xdr:rowOff>
        </xdr:from>
        <xdr:to>
          <xdr:col>2</xdr:col>
          <xdr:colOff>19050</xdr:colOff>
          <xdr:row>40</xdr:row>
          <xdr:rowOff>88900</xdr:rowOff>
        </xdr:to>
        <xdr:sp macro="" textlink="">
          <xdr:nvSpPr>
            <xdr:cNvPr id="1276" name="btnMARS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19050</xdr:rowOff>
        </xdr:from>
        <xdr:to>
          <xdr:col>2</xdr:col>
          <xdr:colOff>19050</xdr:colOff>
          <xdr:row>43</xdr:row>
          <xdr:rowOff>0</xdr:rowOff>
        </xdr:to>
        <xdr:sp macro="" textlink="">
          <xdr:nvSpPr>
            <xdr:cNvPr id="1303" name="btnIVSP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25</xdr:row>
          <xdr:rowOff>0</xdr:rowOff>
        </xdr:from>
        <xdr:to>
          <xdr:col>8</xdr:col>
          <xdr:colOff>0</xdr:colOff>
          <xdr:row>26</xdr:row>
          <xdr:rowOff>107950</xdr:rowOff>
        </xdr:to>
        <xdr:sp macro="" textlink="">
          <xdr:nvSpPr>
            <xdr:cNvPr id="1318" name="cboLiborQuoteType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114300</xdr:colOff>
      <xdr:row>0</xdr:row>
      <xdr:rowOff>57150</xdr:rowOff>
    </xdr:from>
    <xdr:to>
      <xdr:col>5</xdr:col>
      <xdr:colOff>371475</xdr:colOff>
      <xdr:row>3</xdr:row>
      <xdr:rowOff>47625</xdr:rowOff>
    </xdr:to>
    <xdr:pic>
      <xdr:nvPicPr>
        <xdr:cNvPr id="1609" name="Bloomberg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79070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357289</xdr:colOff>
      <xdr:row>0</xdr:row>
      <xdr:rowOff>59531</xdr:rowOff>
    </xdr:from>
    <xdr:to>
      <xdr:col>18</xdr:col>
      <xdr:colOff>231286</xdr:colOff>
      <xdr:row>3</xdr:row>
      <xdr:rowOff>54959</xdr:rowOff>
    </xdr:to>
    <xdr:sp macro="" textlink="">
      <xdr:nvSpPr>
        <xdr:cNvPr id="29" name="BannerTitle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65623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US Rates 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476250</xdr:colOff>
      <xdr:row>3</xdr:row>
      <xdr:rowOff>180975</xdr:rowOff>
    </xdr:to>
    <xdr:pic>
      <xdr:nvPicPr>
        <xdr:cNvPr id="2608" name="Bloomberg">
          <a:extLst>
            <a:ext uri="{FF2B5EF4-FFF2-40B4-BE49-F238E27FC236}">
              <a16:creationId xmlns:a16="http://schemas.microsoft.com/office/drawing/2014/main" id="{00000000-0008-0000-02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82880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447675</xdr:colOff>
      <xdr:row>1</xdr:row>
      <xdr:rowOff>0</xdr:rowOff>
    </xdr:from>
    <xdr:to>
      <xdr:col>19</xdr:col>
      <xdr:colOff>504825</xdr:colOff>
      <xdr:row>4</xdr:row>
      <xdr:rowOff>0</xdr:rowOff>
    </xdr:to>
    <xdr:pic>
      <xdr:nvPicPr>
        <xdr:cNvPr id="2609" name="BannerTitle">
          <a:extLst>
            <a:ext uri="{FF2B5EF4-FFF2-40B4-BE49-F238E27FC236}">
              <a16:creationId xmlns:a16="http://schemas.microsoft.com/office/drawing/2014/main" id="{00000000-0008-0000-02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57150"/>
          <a:ext cx="1037272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AN164"/>
  <sheetViews>
    <sheetView showFormulas="1" showGridLines="0" showRowColHeaders="0" tabSelected="1" topLeftCell="F1" zoomScale="85" zoomScaleNormal="85" workbookViewId="0">
      <pane ySplit="5" topLeftCell="A109" activePane="bottomLeft" state="frozen"/>
      <selection pane="bottomLeft" activeCell="G133" sqref="G133"/>
    </sheetView>
  </sheetViews>
  <sheetFormatPr defaultColWidth="9.1796875" defaultRowHeight="15" customHeight="1" x14ac:dyDescent="0.25"/>
  <cols>
    <col min="1" max="1" width="1.7265625" style="10" customWidth="1"/>
    <col min="2" max="2" width="18.7265625" style="10" customWidth="1"/>
    <col min="3" max="3" width="0.81640625" style="10" customWidth="1"/>
    <col min="4" max="4" width="1.7265625" style="10" customWidth="1"/>
    <col min="5" max="5" width="1.26953125" style="10" hidden="1" customWidth="1"/>
    <col min="6" max="6" width="10.54296875" style="10" customWidth="1"/>
    <col min="7" max="7" width="11" style="10" customWidth="1"/>
    <col min="8" max="19" width="10.54296875" style="10" customWidth="1"/>
    <col min="20" max="20" width="10.453125" style="10" customWidth="1"/>
    <col min="21" max="21" width="12.1796875" style="10" customWidth="1"/>
    <col min="22" max="22" width="10.81640625" style="10" customWidth="1"/>
    <col min="23" max="23" width="11.26953125" style="10" customWidth="1"/>
    <col min="24" max="24" width="11" style="10" customWidth="1"/>
    <col min="25" max="25" width="11.453125" style="10" customWidth="1"/>
    <col min="26" max="26" width="12.7265625" style="10" customWidth="1"/>
    <col min="27" max="27" width="10.453125" style="10" customWidth="1"/>
    <col min="28" max="28" width="9.54296875" style="10" customWidth="1"/>
    <col min="29" max="29" width="12.81640625" style="10" customWidth="1"/>
    <col min="30" max="30" width="12.1796875" style="10" customWidth="1"/>
    <col min="31" max="31" width="12.453125" style="10" customWidth="1"/>
    <col min="32" max="32" width="13" style="10" customWidth="1"/>
    <col min="33" max="33" width="11.54296875" style="10" customWidth="1"/>
    <col min="34" max="34" width="9.81640625" style="10" customWidth="1"/>
    <col min="35" max="36" width="9.7265625" style="10" customWidth="1"/>
    <col min="37" max="38" width="9.1796875" style="10"/>
    <col min="39" max="40" width="9.81640625" style="10" customWidth="1"/>
    <col min="41" max="16384" width="9.1796875" style="10"/>
  </cols>
  <sheetData>
    <row r="7" spans="1:35" ht="15" customHeight="1" x14ac:dyDescent="0.25">
      <c r="A7" s="13"/>
      <c r="B7" s="210" t="s">
        <v>272</v>
      </c>
      <c r="C7" s="12"/>
      <c r="D7" s="13"/>
      <c r="E7" s="13"/>
      <c r="F7" s="192" t="s">
        <v>121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</row>
    <row r="8" spans="1:35" ht="12" customHeight="1" x14ac:dyDescent="0.25">
      <c r="A8" s="13"/>
      <c r="B8" s="11"/>
      <c r="C8" s="12"/>
      <c r="D8" s="13"/>
      <c r="E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35" ht="35.15" customHeight="1" x14ac:dyDescent="0.25">
      <c r="A9" s="13"/>
      <c r="C9" s="14"/>
      <c r="D9" s="13"/>
      <c r="E9" s="13"/>
      <c r="F9" s="243" t="s">
        <v>2</v>
      </c>
      <c r="G9" s="244"/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5"/>
      <c r="T9" s="13"/>
      <c r="U9" s="246" t="s">
        <v>64</v>
      </c>
      <c r="V9" s="247"/>
      <c r="W9" s="247"/>
      <c r="X9" s="247"/>
      <c r="Y9" s="247"/>
      <c r="Z9" s="247"/>
      <c r="AA9" s="247"/>
      <c r="AB9" s="247"/>
      <c r="AC9" s="248"/>
      <c r="AE9" s="230" t="s">
        <v>231</v>
      </c>
      <c r="AF9" s="231"/>
      <c r="AG9" s="223" t="s">
        <v>0</v>
      </c>
      <c r="AH9" s="223"/>
      <c r="AI9" s="224"/>
    </row>
    <row r="10" spans="1:35" ht="35.15" customHeight="1" x14ac:dyDescent="0.25">
      <c r="A10" s="13"/>
      <c r="B10" s="15"/>
      <c r="C10" s="15"/>
      <c r="D10" s="13"/>
      <c r="E10" s="13"/>
      <c r="F10" s="16" t="s">
        <v>0</v>
      </c>
      <c r="G10" s="17" t="s">
        <v>48</v>
      </c>
      <c r="H10" s="17" t="s">
        <v>49</v>
      </c>
      <c r="I10" s="17" t="s">
        <v>54</v>
      </c>
      <c r="J10" s="17" t="s">
        <v>55</v>
      </c>
      <c r="K10" s="17" t="s">
        <v>1</v>
      </c>
      <c r="L10" s="18" t="s">
        <v>270</v>
      </c>
      <c r="M10" s="18" t="s">
        <v>271</v>
      </c>
      <c r="N10" s="18" t="s">
        <v>56</v>
      </c>
      <c r="O10" s="18" t="s">
        <v>57</v>
      </c>
      <c r="P10" s="18" t="s">
        <v>257</v>
      </c>
      <c r="Q10" s="18" t="s">
        <v>258</v>
      </c>
      <c r="R10" s="18" t="s">
        <v>259</v>
      </c>
      <c r="S10" s="19" t="s">
        <v>260</v>
      </c>
      <c r="T10" s="13"/>
      <c r="U10" s="20" t="s">
        <v>0</v>
      </c>
      <c r="V10" s="21" t="s">
        <v>58</v>
      </c>
      <c r="W10" s="22" t="s">
        <v>261</v>
      </c>
      <c r="X10" s="21" t="s">
        <v>63</v>
      </c>
      <c r="Y10" s="22" t="s">
        <v>65</v>
      </c>
      <c r="Z10" s="22" t="s">
        <v>66</v>
      </c>
      <c r="AA10" s="22" t="s">
        <v>70</v>
      </c>
      <c r="AB10" s="22" t="s">
        <v>103</v>
      </c>
      <c r="AC10" s="23"/>
      <c r="AE10" s="9" t="s">
        <v>264</v>
      </c>
      <c r="AF10" s="24" t="s">
        <v>75</v>
      </c>
      <c r="AG10" s="24" t="s">
        <v>262</v>
      </c>
      <c r="AH10" s="24" t="s">
        <v>239</v>
      </c>
      <c r="AI10" s="25" t="s">
        <v>262</v>
      </c>
    </row>
    <row r="11" spans="1:35" ht="15" customHeight="1" x14ac:dyDescent="0.25">
      <c r="A11" s="13"/>
      <c r="B11" s="15"/>
      <c r="C11" s="15"/>
      <c r="D11" s="13"/>
      <c r="E11" s="13"/>
      <c r="F11" s="26">
        <v>2</v>
      </c>
      <c r="G11" s="27" t="e">
        <f>format32(_xll.BDP("GT"&amp;F11&amp;" govt","bid"))</f>
        <v>#VALUE!</v>
      </c>
      <c r="H11" s="28" t="e">
        <f>format32(_xll.BDP("GT"&amp;F11&amp;" govt","ask"))</f>
        <v>#VALUE!</v>
      </c>
      <c r="I11" s="29" t="e">
        <f ca="1">TEXT(_xll.BDP("GT"&amp;F11&amp;" govt","bid yld"),"##.000")</f>
        <v>#NAME?</v>
      </c>
      <c r="J11" s="28" t="e">
        <f ca="1">TEXT(_xll.BDP("GT"&amp;F11&amp;" govt","ask yld"),"##.000")</f>
        <v>#NAME?</v>
      </c>
      <c r="K11" s="29" t="e">
        <f ca="1">(I11+J11)/2</f>
        <v>#NAME?</v>
      </c>
      <c r="L11" s="29" t="e">
        <f ca="1">K11-M11</f>
        <v>#NAME?</v>
      </c>
      <c r="M11" s="29" t="e">
        <f ca="1">_xll.BDP("GT"&amp;F11&amp;" govt","PRIOR_CLOSE_MID_YLD")</f>
        <v>#NAME?</v>
      </c>
      <c r="N11" s="28" t="e">
        <f ca="1">TEXT(_xll.BDP("ussp"&amp;$F11&amp;" curncy","bid"),"###.00")</f>
        <v>#NAME?</v>
      </c>
      <c r="O11" s="28" t="e">
        <f ca="1">TEXT(_xll.BDP("ussp"&amp;$F11&amp;" curncy","ask"),"###.00")</f>
        <v>#NAME?</v>
      </c>
      <c r="P11" s="28" t="e">
        <f ca="1">TEXT(_xll.BDP("ussw"&amp;$F11&amp;" curncy","bid"),"###.000")</f>
        <v>#NAME?</v>
      </c>
      <c r="Q11" s="28" t="e">
        <f ca="1">TEXT(_xll.BDP("ussw"&amp;$F11&amp;" curncy","ask"),"###.000")</f>
        <v>#NAME?</v>
      </c>
      <c r="R11" s="28" t="e">
        <f ca="1">TEXT(_xll.BDP("ussa"&amp;$F11&amp;" curncy","bid"),"###.000")</f>
        <v>#NAME?</v>
      </c>
      <c r="S11" s="30" t="e">
        <f ca="1">TEXT(_xll.BDP("ussa"&amp;$F11&amp;" curncy","ask"),"###.000")</f>
        <v>#NAME?</v>
      </c>
      <c r="T11" s="13"/>
      <c r="U11" s="31" t="s">
        <v>59</v>
      </c>
      <c r="V11" s="32" t="e">
        <f ca="1">_xll.BDP("TU1 comdty","fut cur gen ticker")</f>
        <v>#NAME?</v>
      </c>
      <c r="W11" s="33" t="e">
        <f ca="1">_xll.BDP(V11&amp;" COMDTY","FUT MONTH YR")</f>
        <v>#NAME?</v>
      </c>
      <c r="X11" s="33" t="e">
        <f>format32(_xll.BDP($V11&amp;" comdty","last price"))</f>
        <v>#VALUE!</v>
      </c>
      <c r="Y11" s="34" t="e">
        <f ca="1">_xll.BDP($V11&amp;" comdty","FUT_CTD_GROSS_BASIS")</f>
        <v>#NAME?</v>
      </c>
      <c r="Z11" s="34" t="e">
        <f ca="1">_xll.BDP($V11&amp;" comdty","FUT_CTD_NET_BASIS")</f>
        <v>#NAME?</v>
      </c>
      <c r="AA11" s="34" t="e">
        <f ca="1">_xll.BDP($V11&amp;" comdty"," FUT_IMPLIED_REPO_RT")</f>
        <v>#NAME?</v>
      </c>
      <c r="AB11" s="35" t="e">
        <f ca="1">_xll.BDP($V11&amp;" comdty","FUT_CTD")</f>
        <v>#NAME?</v>
      </c>
      <c r="AC11" s="36"/>
      <c r="AE11" s="37" t="s">
        <v>263</v>
      </c>
      <c r="AF11" s="38" t="e">
        <f ca="1">_xll.BDP("GTUSD"&amp;MaturityLink&amp;"Y GOVT","last YLD")</f>
        <v>#NAME?</v>
      </c>
      <c r="AG11" s="39" t="e">
        <f ca="1">_xll.BDP("GTUSD"&amp;MaturityLink&amp;"Y GOVT","RT_YLD_CHG_NET_1D")</f>
        <v>#NAME?</v>
      </c>
      <c r="AH11" s="39" t="e">
        <f ca="1">_xll.BDP("CT786896 CURNCY","BID")</f>
        <v>#NAME?</v>
      </c>
      <c r="AI11" s="40" t="e">
        <f ca="1">_xll.BDP("CT786896 CURNCY","RT_PX_CHG_NET_1D")</f>
        <v>#NAME?</v>
      </c>
    </row>
    <row r="12" spans="1:35" ht="15" customHeight="1" x14ac:dyDescent="0.25">
      <c r="A12" s="13"/>
      <c r="B12" s="15"/>
      <c r="C12" s="15"/>
      <c r="D12" s="13"/>
      <c r="E12" s="13"/>
      <c r="F12" s="26">
        <v>3</v>
      </c>
      <c r="G12" s="41" t="e">
        <f>format32(_xll.BDP("GT"&amp;F12&amp;" govt","bid"))</f>
        <v>#VALUE!</v>
      </c>
      <c r="H12" s="42" t="e">
        <f>format32(_xll.BDP("GT"&amp;F12&amp;" govt","ask"))</f>
        <v>#VALUE!</v>
      </c>
      <c r="I12" s="43" t="e">
        <f ca="1">TEXT(_xll.BDP("GT"&amp;F12&amp;" govt","bid yld"),"##.000")</f>
        <v>#NAME?</v>
      </c>
      <c r="J12" s="42" t="e">
        <f ca="1">TEXT(_xll.BDP("GT"&amp;F12&amp;" govt","ask yld"),"##.000")</f>
        <v>#NAME?</v>
      </c>
      <c r="K12" s="43" t="e">
        <f t="shared" ref="K12:K24" ca="1" si="0">(I12+J12)/2</f>
        <v>#NAME?</v>
      </c>
      <c r="L12" s="43" t="e">
        <f t="shared" ref="L12:L24" ca="1" si="1">K12-M12</f>
        <v>#NAME?</v>
      </c>
      <c r="M12" s="43" t="e">
        <f ca="1">_xll.BDP("GT"&amp;F12&amp;" govt","PRIOR_CLOSE_MID_YLD")</f>
        <v>#NAME?</v>
      </c>
      <c r="N12" s="42" t="e">
        <f ca="1">TEXT(_xll.BDP("ussp"&amp;$F12&amp;" curncy","bid"),"###.00")</f>
        <v>#NAME?</v>
      </c>
      <c r="O12" s="42" t="e">
        <f ca="1">TEXT(_xll.BDP("ussp"&amp;$F12&amp;" curncy","ask"),"###.00")</f>
        <v>#NAME?</v>
      </c>
      <c r="P12" s="42" t="e">
        <f ca="1">TEXT(_xll.BDP("ussw"&amp;$F12&amp;" curncy","bid"),"###.000")</f>
        <v>#NAME?</v>
      </c>
      <c r="Q12" s="42" t="e">
        <f ca="1">TEXT(_xll.BDP("ussw"&amp;$F12&amp;" curncy","ask"),"###.000")</f>
        <v>#NAME?</v>
      </c>
      <c r="R12" s="42" t="e">
        <f ca="1">TEXT(_xll.BDP("ussa"&amp;$F12&amp;" curncy","bid"),"###.000")</f>
        <v>#NAME?</v>
      </c>
      <c r="S12" s="44" t="e">
        <f ca="1">TEXT(_xll.BDP("ussa"&amp;$F12&amp;" curncy","ask"),"###.000")</f>
        <v>#NAME?</v>
      </c>
      <c r="T12" s="13"/>
      <c r="U12" s="45"/>
      <c r="V12" s="46" t="e">
        <f ca="1">_xll.BDP("TU2 comdty","fut cur gen ticker")</f>
        <v>#NAME?</v>
      </c>
      <c r="W12" s="42" t="e">
        <f ca="1">_xll.BDP(V12&amp;" COMDTY","FUT MONTH YR")</f>
        <v>#NAME?</v>
      </c>
      <c r="X12" s="42" t="e">
        <f>format32(_xll.BDP($V12&amp;" comdty","last price"))</f>
        <v>#VALUE!</v>
      </c>
      <c r="Y12" s="47" t="e">
        <f ca="1">_xll.BDP($V12&amp;" comdty","FUT_CTD_GROSS_BASIS")</f>
        <v>#NAME?</v>
      </c>
      <c r="Z12" s="47" t="e">
        <f ca="1">_xll.BDP($V12&amp;" comdty","FUT_CTD_NET_BASIS")</f>
        <v>#NAME?</v>
      </c>
      <c r="AA12" s="47" t="e">
        <f ca="1">_xll.BDP($V12&amp;" comdty"," FUT_IMPLIED_REPO_RT")</f>
        <v>#NAME?</v>
      </c>
      <c r="AB12" s="48" t="e">
        <f ca="1">_xll.BDP($V12&amp;" comdty","FUT_CTD")</f>
        <v>#NAME?</v>
      </c>
      <c r="AC12" s="49"/>
      <c r="AE12" s="37" t="s">
        <v>232</v>
      </c>
      <c r="AF12" s="50" t="e">
        <f ca="1">_xll.BDP("GTDEM"&amp;MaturityLink&amp;"Y CORP","last YLD")</f>
        <v>#NAME?</v>
      </c>
      <c r="AG12" s="51" t="e">
        <f ca="1">_xll.BDP("GTDEM"&amp;MaturityLink&amp;"Y CORP","RT_YLD_CHG_NET_1D")</f>
        <v>#NAME?</v>
      </c>
      <c r="AH12" s="51" t="e">
        <f ca="1">_xll.BDP("CDBR1U5 CURNCY","BID")</f>
        <v>#NAME?</v>
      </c>
      <c r="AI12" s="52" t="e">
        <f ca="1">_xll.BDP("CDBR1U5 CURNCY","RT_PX_CHG_NET_1D")</f>
        <v>#NAME?</v>
      </c>
    </row>
    <row r="13" spans="1:35" ht="15" customHeight="1" x14ac:dyDescent="0.25">
      <c r="A13" s="13"/>
      <c r="B13" s="15"/>
      <c r="C13" s="15"/>
      <c r="D13" s="13"/>
      <c r="E13" s="13"/>
      <c r="F13" s="26">
        <v>4</v>
      </c>
      <c r="G13" s="27"/>
      <c r="H13" s="28"/>
      <c r="I13" s="29" t="e">
        <f ca="1">(I12+I14)/2</f>
        <v>#NAME?</v>
      </c>
      <c r="J13" s="29" t="e">
        <f ca="1">(J12+J14)/2</f>
        <v>#NAME?</v>
      </c>
      <c r="K13" s="29" t="e">
        <f t="shared" ca="1" si="0"/>
        <v>#NAME?</v>
      </c>
      <c r="L13" s="29" t="e">
        <f t="shared" ca="1" si="1"/>
        <v>#NAME?</v>
      </c>
      <c r="M13" s="29" t="e">
        <f ca="1">(M12+M14)/2</f>
        <v>#NAME?</v>
      </c>
      <c r="N13" s="28" t="e">
        <f ca="1">TEXT(_xll.BDP("ussp"&amp;$F13&amp;" curncy","bid"),"###.00")</f>
        <v>#NAME?</v>
      </c>
      <c r="O13" s="28" t="e">
        <f ca="1">TEXT(_xll.BDP("ussp"&amp;$F13&amp;" curncy","ask"),"###.00")</f>
        <v>#NAME?</v>
      </c>
      <c r="P13" s="28" t="e">
        <f ca="1">TEXT(_xll.BDP("ussw"&amp;$F13&amp;" curncy","bid"),"###.000")</f>
        <v>#NAME?</v>
      </c>
      <c r="Q13" s="28" t="e">
        <f ca="1">TEXT(_xll.BDP("ussw"&amp;$F13&amp;" curncy","ask"),"###.000")</f>
        <v>#NAME?</v>
      </c>
      <c r="R13" s="28" t="e">
        <f ca="1">TEXT(_xll.BDP("ussa"&amp;$F13&amp;" curncy","bid"),"###.000")</f>
        <v>#NAME?</v>
      </c>
      <c r="S13" s="30" t="e">
        <f ca="1">TEXT(_xll.BDP("ussa"&amp;$F13&amp;" curncy","ask"),"###.000")</f>
        <v>#NAME?</v>
      </c>
      <c r="T13" s="13"/>
      <c r="U13" s="31" t="s">
        <v>60</v>
      </c>
      <c r="V13" s="53" t="e">
        <f ca="1">_xll.BDP("FV1 comdty","fut cur gen ticker")</f>
        <v>#NAME?</v>
      </c>
      <c r="W13" s="28" t="e">
        <f ca="1">_xll.BDP(V13&amp;" COMDTY","FUT MONTH YR")</f>
        <v>#NAME?</v>
      </c>
      <c r="X13" s="28" t="e">
        <f>format32(_xll.BDP($V13&amp;" comdty","last price"))</f>
        <v>#VALUE!</v>
      </c>
      <c r="Y13" s="54" t="e">
        <f ca="1">_xll.BDP($V13&amp;" comdty","FUT_CTD_GROSS_BASIS")</f>
        <v>#NAME?</v>
      </c>
      <c r="Z13" s="54" t="e">
        <f ca="1">_xll.BDP($V13&amp;" comdty","FUT_CTD_NET_BASIS")</f>
        <v>#NAME?</v>
      </c>
      <c r="AA13" s="54" t="e">
        <f ca="1">_xll.BDP($V13&amp;" comdty"," FUT_IMPLIED_REPO_RT")</f>
        <v>#NAME?</v>
      </c>
      <c r="AB13" s="55" t="e">
        <f ca="1">_xll.BDP($V13&amp;" comdty","FUT_CTD")</f>
        <v>#NAME?</v>
      </c>
      <c r="AC13" s="56"/>
      <c r="AE13" s="37" t="s">
        <v>233</v>
      </c>
      <c r="AF13" s="38" t="e">
        <f ca="1">_xll.BDP("GTJPY"&amp;MaturityLink&amp;"Y CORP","last YLD")</f>
        <v>#NAME?</v>
      </c>
      <c r="AG13" s="39" t="e">
        <f ca="1">_xll.BDP("GTJPY"&amp;MaturityLink&amp;"Y CORP","RT_YLD_CHG_NET_1D")</f>
        <v>#NAME?</v>
      </c>
      <c r="AH13" s="39" t="e">
        <f ca="1">_xll.BDP("CJGB1U5 CURNCY","BID")</f>
        <v>#NAME?</v>
      </c>
      <c r="AI13" s="40" t="e">
        <f ca="1">_xll.BDP("CJGB1U5 CURNCY","RT_PX_CHG_NET_1D")</f>
        <v>#NAME?</v>
      </c>
    </row>
    <row r="14" spans="1:35" ht="15" customHeight="1" x14ac:dyDescent="0.25">
      <c r="A14" s="13"/>
      <c r="B14" s="15"/>
      <c r="C14" s="15"/>
      <c r="D14" s="13"/>
      <c r="E14" s="13"/>
      <c r="F14" s="26">
        <v>5</v>
      </c>
      <c r="G14" s="41" t="e">
        <f>format32(_xll.BDP("GT"&amp;F14&amp;" govt","bid"))</f>
        <v>#VALUE!</v>
      </c>
      <c r="H14" s="42" t="e">
        <f>format32(_xll.BDP("GT"&amp;F14&amp;" govt","ask"))</f>
        <v>#VALUE!</v>
      </c>
      <c r="I14" s="43" t="e">
        <f ca="1">TEXT(_xll.BDP("GT"&amp;F14&amp;" govt","bid yld"),"##.000")</f>
        <v>#NAME?</v>
      </c>
      <c r="J14" s="42" t="e">
        <f ca="1">TEXT(_xll.BDP("GT"&amp;F14&amp;" govt","ask yld"),"##.000")</f>
        <v>#NAME?</v>
      </c>
      <c r="K14" s="43" t="e">
        <f t="shared" ca="1" si="0"/>
        <v>#NAME?</v>
      </c>
      <c r="L14" s="43" t="e">
        <f t="shared" ca="1" si="1"/>
        <v>#NAME?</v>
      </c>
      <c r="M14" s="43" t="e">
        <f ca="1">_xll.BDP("GT"&amp;F14&amp;" govt","PRIOR_CLOSE_MID_YLD")</f>
        <v>#NAME?</v>
      </c>
      <c r="N14" s="42" t="e">
        <f ca="1">TEXT(_xll.BDP("ussp"&amp;$F14&amp;" curncy","bid"),"###.00")</f>
        <v>#NAME?</v>
      </c>
      <c r="O14" s="42" t="e">
        <f ca="1">TEXT(_xll.BDP("ussp"&amp;$F14&amp;" curncy","ask"),"###.00")</f>
        <v>#NAME?</v>
      </c>
      <c r="P14" s="42" t="e">
        <f ca="1">TEXT(_xll.BDP("ussw"&amp;$F14&amp;" curncy","bid"),"###.000")</f>
        <v>#NAME?</v>
      </c>
      <c r="Q14" s="42" t="e">
        <f ca="1">TEXT(_xll.BDP("ussw"&amp;$F14&amp;" curncy","ask"),"###.000")</f>
        <v>#NAME?</v>
      </c>
      <c r="R14" s="42" t="e">
        <f ca="1">TEXT(_xll.BDP("ussa"&amp;$F14&amp;" curncy","bid"),"###.000")</f>
        <v>#NAME?</v>
      </c>
      <c r="S14" s="44" t="e">
        <f ca="1">TEXT(_xll.BDP("ussa"&amp;$F14&amp;" curncy","ask"),"###.000")</f>
        <v>#NAME?</v>
      </c>
      <c r="T14" s="13"/>
      <c r="U14" s="45"/>
      <c r="V14" s="46" t="e">
        <f ca="1">_xll.BDP("FV2 comdty","fut cur gen ticker")</f>
        <v>#NAME?</v>
      </c>
      <c r="W14" s="42" t="e">
        <f ca="1">_xll.BDP(V14&amp;" COMDTY","FUT MONTH YR")</f>
        <v>#NAME?</v>
      </c>
      <c r="X14" s="42" t="e">
        <f>format32(_xll.BDP($V14&amp;" comdty","last price"))</f>
        <v>#VALUE!</v>
      </c>
      <c r="Y14" s="47" t="e">
        <f ca="1">_xll.BDP($V14&amp;" comdty","FUT_CTD_GROSS_BASIS")</f>
        <v>#NAME?</v>
      </c>
      <c r="Z14" s="47" t="e">
        <f ca="1">_xll.BDP($V14&amp;" comdty","FUT_CTD_NET_BASIS")</f>
        <v>#NAME?</v>
      </c>
      <c r="AA14" s="47" t="e">
        <f ca="1">_xll.BDP($V14&amp;" comdty"," FUT_IMPLIED_REPO_RT")</f>
        <v>#NAME?</v>
      </c>
      <c r="AB14" s="48" t="e">
        <f ca="1">_xll.BDP($V14&amp;" comdty","FUT_CTD")</f>
        <v>#NAME?</v>
      </c>
      <c r="AC14" s="49"/>
      <c r="AE14" s="37" t="s">
        <v>234</v>
      </c>
      <c r="AF14" s="50" t="e">
        <f ca="1">_xll.BDP("GTGBP"&amp;MaturityLink&amp;"Y CORP","last YLD")</f>
        <v>#NAME?</v>
      </c>
      <c r="AG14" s="51" t="e">
        <f ca="1">_xll.BDP("GTGBP"&amp;MaturityLink&amp;"Y CORP","RT_YLD_CHG_NET_1D")</f>
        <v>#NAME?</v>
      </c>
      <c r="AH14" s="51" t="e">
        <f ca="1">_xll.BDP("CUKT1U5 CURNCY","BID")</f>
        <v>#NAME?</v>
      </c>
      <c r="AI14" s="52" t="e">
        <f ca="1">_xll.BDP("CUKT1U5 CURNCY","RT_PX_CHG_NET_1D")</f>
        <v>#NAME?</v>
      </c>
    </row>
    <row r="15" spans="1:35" ht="15" customHeight="1" x14ac:dyDescent="0.25">
      <c r="A15" s="13"/>
      <c r="B15" s="15"/>
      <c r="C15" s="15"/>
      <c r="D15" s="13"/>
      <c r="E15" s="13"/>
      <c r="F15" s="26">
        <v>6</v>
      </c>
      <c r="G15" s="27"/>
      <c r="H15" s="28"/>
      <c r="I15" s="29" t="e">
        <f ca="1">(I14+I16)/2</f>
        <v>#NAME?</v>
      </c>
      <c r="J15" s="29" t="e">
        <f ca="1">(J14+J16)/2</f>
        <v>#NAME?</v>
      </c>
      <c r="K15" s="29" t="e">
        <f t="shared" ca="1" si="0"/>
        <v>#NAME?</v>
      </c>
      <c r="L15" s="29" t="e">
        <f t="shared" ca="1" si="1"/>
        <v>#NAME?</v>
      </c>
      <c r="M15" s="29" t="e">
        <f ca="1">(M14+M16)/2</f>
        <v>#NAME?</v>
      </c>
      <c r="N15" s="28" t="e">
        <f ca="1">TEXT(_xll.BDP("ussp"&amp;$F15&amp;" curncy","bid"),"###.00")</f>
        <v>#NAME?</v>
      </c>
      <c r="O15" s="28" t="e">
        <f ca="1">TEXT(_xll.BDP("ussp"&amp;$F15&amp;" curncy","ask"),"###.00")</f>
        <v>#NAME?</v>
      </c>
      <c r="P15" s="28" t="e">
        <f ca="1">TEXT(_xll.BDP("ussw"&amp;$F15&amp;" curncy","bid"),"###.000")</f>
        <v>#NAME?</v>
      </c>
      <c r="Q15" s="28" t="e">
        <f ca="1">TEXT(_xll.BDP("ussw"&amp;$F15&amp;" curncy","ask"),"###.000")</f>
        <v>#NAME?</v>
      </c>
      <c r="R15" s="28" t="e">
        <f ca="1">TEXT(_xll.BDP("ussa"&amp;$F15&amp;" curncy","bid"),"###.000")</f>
        <v>#NAME?</v>
      </c>
      <c r="S15" s="30" t="e">
        <f ca="1">TEXT(_xll.BDP("ussa"&amp;$F15&amp;" curncy","ask"),"###.000")</f>
        <v>#NAME?</v>
      </c>
      <c r="T15" s="13"/>
      <c r="U15" s="31" t="s">
        <v>61</v>
      </c>
      <c r="V15" s="53" t="e">
        <f ca="1">_xll.BDP("TY1 comdty","fut cur gen ticker")</f>
        <v>#NAME?</v>
      </c>
      <c r="W15" s="28" t="e">
        <f ca="1">_xll.BDP(V15&amp;" COMDTY","FUT MONTH YR")</f>
        <v>#NAME?</v>
      </c>
      <c r="X15" s="28" t="e">
        <f>format32(_xll.BDP($V15&amp;" comdty","last price"))</f>
        <v>#VALUE!</v>
      </c>
      <c r="Y15" s="54" t="e">
        <f ca="1">_xll.BDP($V15&amp;" comdty","FUT_CTD_GROSS_BASIS")</f>
        <v>#NAME?</v>
      </c>
      <c r="Z15" s="54" t="e">
        <f ca="1">_xll.BDP($V15&amp;" comdty","FUT_CTD_NET_BASIS")</f>
        <v>#NAME?</v>
      </c>
      <c r="AA15" s="54" t="e">
        <f ca="1">_xll.BDP($V15&amp;" comdty"," FUT_IMPLIED_REPO_RT")</f>
        <v>#NAME?</v>
      </c>
      <c r="AB15" s="55" t="e">
        <f ca="1">_xll.BDP($V15&amp;" comdty","FUT_CTD")</f>
        <v>#NAME?</v>
      </c>
      <c r="AC15" s="56"/>
      <c r="AE15" s="37" t="s">
        <v>235</v>
      </c>
      <c r="AF15" s="38" t="e">
        <f ca="1">_xll.BDP("GTCAD"&amp;MaturityLink&amp;"Y CORP","last YLD")</f>
        <v>#NAME?</v>
      </c>
      <c r="AG15" s="39" t="e">
        <f ca="1">_xll.BDP("GTCAD"&amp;MaturityLink&amp;"Y CORP","RT_YLD_CHG_NET_1D")</f>
        <v>#NAME?</v>
      </c>
      <c r="AH15" s="39"/>
      <c r="AI15" s="40"/>
    </row>
    <row r="16" spans="1:35" ht="15" customHeight="1" x14ac:dyDescent="0.25">
      <c r="A16" s="13"/>
      <c r="B16" s="15"/>
      <c r="C16" s="15"/>
      <c r="D16" s="13"/>
      <c r="E16" s="13"/>
      <c r="F16" s="26">
        <v>7</v>
      </c>
      <c r="G16" s="41" t="e">
        <f>format32(_xll.BDP("GT"&amp;F16&amp;" govt","bid"))</f>
        <v>#VALUE!</v>
      </c>
      <c r="H16" s="42" t="e">
        <f>format32(_xll.BDP("GT"&amp;F16&amp;" govt","ask"))</f>
        <v>#VALUE!</v>
      </c>
      <c r="I16" s="43" t="e">
        <f ca="1">TEXT(_xll.BDP("GT"&amp;F16&amp;" govt","bid yld"),"##.000")</f>
        <v>#NAME?</v>
      </c>
      <c r="J16" s="42" t="e">
        <f ca="1">TEXT(_xll.BDP("GT"&amp;F16&amp;" govt","ask yld"),"##.000")</f>
        <v>#NAME?</v>
      </c>
      <c r="K16" s="43" t="e">
        <f t="shared" ca="1" si="0"/>
        <v>#NAME?</v>
      </c>
      <c r="L16" s="43" t="e">
        <f t="shared" ca="1" si="1"/>
        <v>#NAME?</v>
      </c>
      <c r="M16" s="43" t="e">
        <f ca="1">_xll.BDP("GT"&amp;F16&amp;" govt","PRIOR_CLOSE_MID_YLD")</f>
        <v>#NAME?</v>
      </c>
      <c r="N16" s="42" t="e">
        <f ca="1">TEXT(_xll.BDP("ussp"&amp;$F16&amp;" curncy","bid"),"###.00")</f>
        <v>#NAME?</v>
      </c>
      <c r="O16" s="42" t="e">
        <f ca="1">TEXT(_xll.BDP("ussp"&amp;$F16&amp;" curncy","ask"),"###.00")</f>
        <v>#NAME?</v>
      </c>
      <c r="P16" s="42" t="e">
        <f ca="1">TEXT(_xll.BDP("ussw"&amp;$F16&amp;" curncy","bid"),"###.000")</f>
        <v>#NAME?</v>
      </c>
      <c r="Q16" s="42" t="e">
        <f ca="1">TEXT(_xll.BDP("ussw"&amp;$F16&amp;" curncy","ask"),"###.000")</f>
        <v>#NAME?</v>
      </c>
      <c r="R16" s="42" t="e">
        <f ca="1">TEXT(_xll.BDP("ussa"&amp;$F16&amp;" curncy","bid"),"###.000")</f>
        <v>#NAME?</v>
      </c>
      <c r="S16" s="44" t="e">
        <f ca="1">TEXT(_xll.BDP("ussa"&amp;$F16&amp;" curncy","ask"),"###.000")</f>
        <v>#NAME?</v>
      </c>
      <c r="T16" s="13"/>
      <c r="U16" s="45"/>
      <c r="V16" s="46" t="e">
        <f ca="1">_xll.BDP("TY2 comdty","fut cur gen ticker")</f>
        <v>#NAME?</v>
      </c>
      <c r="W16" s="42" t="e">
        <f ca="1">_xll.BDP(V16&amp;" COMDTY","FUT MONTH YR")</f>
        <v>#NAME?</v>
      </c>
      <c r="X16" s="42" t="e">
        <f>format32(_xll.BDP($V16&amp;" comdty","last price"))</f>
        <v>#VALUE!</v>
      </c>
      <c r="Y16" s="47" t="e">
        <f ca="1">_xll.BDP($V16&amp;" comdty","FUT_CTD_GROSS_BASIS")</f>
        <v>#NAME?</v>
      </c>
      <c r="Z16" s="47" t="e">
        <f ca="1">_xll.BDP($V16&amp;" comdty","FUT_CTD_NET_BASIS")</f>
        <v>#NAME?</v>
      </c>
      <c r="AA16" s="47" t="e">
        <f ca="1">_xll.BDP($V16&amp;" comdty"," FUT_IMPLIED_REPO_RT")</f>
        <v>#NAME?</v>
      </c>
      <c r="AB16" s="48" t="e">
        <f ca="1">_xll.BDP($V16&amp;" comdty","FUT_CTD")</f>
        <v>#NAME?</v>
      </c>
      <c r="AC16" s="49"/>
      <c r="AE16" s="37" t="s">
        <v>236</v>
      </c>
      <c r="AF16" s="50" t="e">
        <f ca="1">_xll.BDP("GTAUD"&amp;MaturityLink&amp;"Y CORP","last YLD")</f>
        <v>#NAME?</v>
      </c>
      <c r="AG16" s="51" t="e">
        <f ca="1">_xll.BDP("GTAUD"&amp;MaturityLink&amp;"Y CORP","RT_YLD_CHG_NET_1D")</f>
        <v>#NAME?</v>
      </c>
      <c r="AH16" s="51" t="e">
        <f ca="1">_xll.BDP("CT855561 CURNCY","BID")</f>
        <v>#NAME?</v>
      </c>
      <c r="AI16" s="52" t="e">
        <f ca="1">_xll.BDP("CT855561 CURNCY","RT_PX_CHG_NET_1D")</f>
        <v>#NAME?</v>
      </c>
    </row>
    <row r="17" spans="1:39" ht="15" customHeight="1" x14ac:dyDescent="0.25">
      <c r="A17" s="13"/>
      <c r="B17" s="15"/>
      <c r="C17" s="15"/>
      <c r="D17" s="13"/>
      <c r="E17" s="13"/>
      <c r="F17" s="26">
        <v>8</v>
      </c>
      <c r="G17" s="27"/>
      <c r="H17" s="28"/>
      <c r="I17" s="29" t="e">
        <f ca="1">I16+(I19-I16)*0.33</f>
        <v>#NAME?</v>
      </c>
      <c r="J17" s="29" t="e">
        <f ca="1">J16+(J19-J16)*0.33</f>
        <v>#NAME?</v>
      </c>
      <c r="K17" s="29" t="e">
        <f t="shared" ca="1" si="0"/>
        <v>#NAME?</v>
      </c>
      <c r="L17" s="29" t="e">
        <f t="shared" ca="1" si="1"/>
        <v>#NAME?</v>
      </c>
      <c r="M17" s="29" t="e">
        <f ca="1">M16+(M19-M16)*0.333</f>
        <v>#NAME?</v>
      </c>
      <c r="N17" s="28" t="e">
        <f ca="1">TEXT(_xll.BDP("ussp"&amp;$F17&amp;" curncy","bid"),"###.00")</f>
        <v>#NAME?</v>
      </c>
      <c r="O17" s="28" t="e">
        <f ca="1">TEXT(_xll.BDP("ussp"&amp;$F17&amp;" curncy","ask"),"###.00")</f>
        <v>#NAME?</v>
      </c>
      <c r="P17" s="28" t="e">
        <f ca="1">TEXT(_xll.BDP("ussw"&amp;$F17&amp;" curncy","bid"),"###.000")</f>
        <v>#NAME?</v>
      </c>
      <c r="Q17" s="28" t="e">
        <f ca="1">TEXT(_xll.BDP("ussw"&amp;$F17&amp;" curncy","ask"),"###.000")</f>
        <v>#NAME?</v>
      </c>
      <c r="R17" s="28" t="e">
        <f ca="1">TEXT(_xll.BDP("ussa"&amp;$F17&amp;" curncy","bid"),"###.000")</f>
        <v>#NAME?</v>
      </c>
      <c r="S17" s="30" t="e">
        <f ca="1">TEXT(_xll.BDP("ussa"&amp;$F17&amp;" curncy","ask"),"###.000")</f>
        <v>#NAME?</v>
      </c>
      <c r="T17" s="13"/>
      <c r="U17" s="31" t="s">
        <v>62</v>
      </c>
      <c r="V17" s="53" t="e">
        <f ca="1">_xll.BDP("US1 comdty","fut cur gen ticker")</f>
        <v>#NAME?</v>
      </c>
      <c r="W17" s="28" t="e">
        <f ca="1">_xll.BDP(V17&amp;" COMDTY","FUT MONTH YR")</f>
        <v>#NAME?</v>
      </c>
      <c r="X17" s="28" t="e">
        <f>format32(_xll.BDP($V17&amp;" comdty","last price"))</f>
        <v>#VALUE!</v>
      </c>
      <c r="Y17" s="54" t="e">
        <f ca="1">_xll.BDP($V17&amp;" comdty","FUT_CTD_GROSS_BASIS")</f>
        <v>#NAME?</v>
      </c>
      <c r="Z17" s="54" t="e">
        <f ca="1">_xll.BDP($V17&amp;" comdty","FUT_CTD_NET_BASIS")</f>
        <v>#NAME?</v>
      </c>
      <c r="AA17" s="54" t="e">
        <f ca="1">_xll.BDP($V17&amp;" comdty"," FUT_IMPLIED_REPO_RT")</f>
        <v>#NAME?</v>
      </c>
      <c r="AB17" s="55" t="e">
        <f ca="1">_xll.BDP($V17&amp;" comdty","FUT_CTD")</f>
        <v>#NAME?</v>
      </c>
      <c r="AC17" s="56"/>
      <c r="AE17" s="57" t="s">
        <v>237</v>
      </c>
      <c r="AF17" s="58" t="e">
        <f ca="1">_xll.BDP("GTUSDBR"&amp;MaturityLink&amp;"Y CORP","last YLD")</f>
        <v>#NAME?</v>
      </c>
      <c r="AG17" s="59" t="e">
        <f ca="1">_xll.BDP("GTUSDBR"&amp;MaturityLink&amp;"Y CORP","RT_YLD_CHG_NET_1D")</f>
        <v>#NAME?</v>
      </c>
      <c r="AH17" s="59" t="e">
        <f ca="1">_xll.BDP("CBRZ1U5 CURNCY","BID")</f>
        <v>#NAME?</v>
      </c>
      <c r="AI17" s="60" t="e">
        <f ca="1">_xll.BDP("CBRZ1U5 CURNCY","RT_PX_CHG_NET_1D")</f>
        <v>#NAME?</v>
      </c>
    </row>
    <row r="18" spans="1:39" ht="15" customHeight="1" x14ac:dyDescent="0.25">
      <c r="A18" s="13"/>
      <c r="B18" s="15"/>
      <c r="C18" s="15"/>
      <c r="D18" s="13"/>
      <c r="E18" s="13"/>
      <c r="F18" s="26">
        <v>9</v>
      </c>
      <c r="G18" s="41"/>
      <c r="H18" s="42"/>
      <c r="I18" s="43" t="e">
        <f ca="1">I16+(I19-I16)*0.667</f>
        <v>#NAME?</v>
      </c>
      <c r="J18" s="43" t="e">
        <f ca="1">J16+(J19-J16)*0.667</f>
        <v>#NAME?</v>
      </c>
      <c r="K18" s="43" t="e">
        <f t="shared" ca="1" si="0"/>
        <v>#NAME?</v>
      </c>
      <c r="L18" s="43" t="e">
        <f t="shared" ca="1" si="1"/>
        <v>#NAME?</v>
      </c>
      <c r="M18" s="43" t="e">
        <f ca="1">M16+(M19-M16)*0.667</f>
        <v>#NAME?</v>
      </c>
      <c r="N18" s="42" t="e">
        <f ca="1">TEXT(_xll.BDP("ussp"&amp;$F18&amp;" curncy","bid"),"###.00")</f>
        <v>#NAME?</v>
      </c>
      <c r="O18" s="42" t="e">
        <f ca="1">TEXT(_xll.BDP("ussp"&amp;$F18&amp;" curncy","ask"),"###.00")</f>
        <v>#NAME?</v>
      </c>
      <c r="P18" s="42" t="e">
        <f ca="1">TEXT(_xll.BDP("ussw"&amp;$F18&amp;" curncy","bid"),"###.000")</f>
        <v>#NAME?</v>
      </c>
      <c r="Q18" s="42" t="e">
        <f ca="1">TEXT(_xll.BDP("ussw"&amp;$F18&amp;" curncy","ask"),"###.000")</f>
        <v>#NAME?</v>
      </c>
      <c r="R18" s="42" t="e">
        <f ca="1">TEXT(_xll.BDP("ussa"&amp;$F18&amp;" curncy","bid"),"###.000")</f>
        <v>#NAME?</v>
      </c>
      <c r="S18" s="44" t="e">
        <f ca="1">TEXT(_xll.BDP("ussa"&amp;$F18&amp;" curncy","ask"),"###.000")</f>
        <v>#NAME?</v>
      </c>
      <c r="T18" s="13"/>
      <c r="U18" s="61"/>
      <c r="V18" s="62" t="e">
        <f ca="1">_xll.BDP("US2 comdty","fut cur gen ticker")</f>
        <v>#NAME?</v>
      </c>
      <c r="W18" s="63" t="e">
        <f ca="1">_xll.BDP(V18&amp;" COMDTY","FUT MONTH YR")</f>
        <v>#NAME?</v>
      </c>
      <c r="X18" s="63" t="e">
        <f>format32(_xll.BDP($V18&amp;" comdty","last price"))</f>
        <v>#VALUE!</v>
      </c>
      <c r="Y18" s="64" t="e">
        <f ca="1">_xll.BDP($V18&amp;" comdty","FUT_CTD_GROSS_BASIS")</f>
        <v>#NAME?</v>
      </c>
      <c r="Z18" s="64" t="e">
        <f ca="1">_xll.BDP($V18&amp;" comdty","FUT_CTD_NET_BASIS")</f>
        <v>#NAME?</v>
      </c>
      <c r="AA18" s="64" t="e">
        <f ca="1">_xll.BDP($V18&amp;" comdty"," FUT_IMPLIED_REPO_RT")</f>
        <v>#NAME?</v>
      </c>
      <c r="AB18" s="65" t="e">
        <f ca="1">_xll.BDP($V18&amp;" comdty","FUT_CTD")</f>
        <v>#NAME?</v>
      </c>
      <c r="AC18" s="66"/>
    </row>
    <row r="19" spans="1:39" ht="15" customHeight="1" x14ac:dyDescent="0.25">
      <c r="A19" s="13"/>
      <c r="B19" s="15"/>
      <c r="C19" s="15"/>
      <c r="D19" s="13"/>
      <c r="E19" s="13"/>
      <c r="F19" s="26">
        <v>10</v>
      </c>
      <c r="G19" s="27" t="e">
        <f>format32(_xll.BDP("GT"&amp;F19&amp;" govt","bid"))</f>
        <v>#VALUE!</v>
      </c>
      <c r="H19" s="28" t="e">
        <f>format32(_xll.BDP("GT"&amp;F19&amp;" govt","ask"))</f>
        <v>#VALUE!</v>
      </c>
      <c r="I19" s="29" t="e">
        <f ca="1">TEXT(_xll.BDP("GT"&amp;F19&amp;" govt","bid yld"),"##.000")</f>
        <v>#NAME?</v>
      </c>
      <c r="J19" s="29" t="e">
        <f ca="1">TEXT(_xll.BDP("GT"&amp;F19&amp;" govt","ask yld"),"##.000")</f>
        <v>#NAME?</v>
      </c>
      <c r="K19" s="29" t="e">
        <f t="shared" ca="1" si="0"/>
        <v>#NAME?</v>
      </c>
      <c r="L19" s="29" t="e">
        <f t="shared" ca="1" si="1"/>
        <v>#NAME?</v>
      </c>
      <c r="M19" s="29" t="e">
        <f ca="1">_xll.BDP("GT"&amp;F19&amp;" govt","PRIOR_CLOSE_MID_YLD")</f>
        <v>#NAME?</v>
      </c>
      <c r="N19" s="28" t="e">
        <f ca="1">TEXT(_xll.BDP("ussp"&amp;$F19&amp;" curncy","bid"),"###.00")</f>
        <v>#NAME?</v>
      </c>
      <c r="O19" s="28" t="e">
        <f ca="1">TEXT(_xll.BDP("ussp"&amp;$F19&amp;" curncy","ask"),"###.00")</f>
        <v>#NAME?</v>
      </c>
      <c r="P19" s="28" t="e">
        <f ca="1">TEXT(_xll.BDP("ussw"&amp;$F19&amp;" curncy","bid"),"###.000")</f>
        <v>#NAME?</v>
      </c>
      <c r="Q19" s="28" t="e">
        <f ca="1">TEXT(_xll.BDP("ussw"&amp;$F19&amp;" curncy","ask"),"###.000")</f>
        <v>#NAME?</v>
      </c>
      <c r="R19" s="28" t="e">
        <f ca="1">TEXT(_xll.BDP("ussa"&amp;$F19&amp;" curncy","bid"),"###.000")</f>
        <v>#NAME?</v>
      </c>
      <c r="S19" s="30" t="e">
        <f ca="1">TEXT(_xll.BDP("ussa"&amp;$F19&amp;" curncy","ask"),"###.000")</f>
        <v>#NAME?</v>
      </c>
      <c r="T19" s="13"/>
    </row>
    <row r="20" spans="1:39" ht="15" customHeight="1" x14ac:dyDescent="0.25">
      <c r="A20" s="13"/>
      <c r="B20" s="15"/>
      <c r="C20" s="15"/>
      <c r="D20" s="13"/>
      <c r="E20" s="13"/>
      <c r="F20" s="26">
        <v>12</v>
      </c>
      <c r="G20" s="41"/>
      <c r="H20" s="42"/>
      <c r="I20" s="43" t="e">
        <f ca="1">I19</f>
        <v>#NAME?</v>
      </c>
      <c r="J20" s="43" t="e">
        <f ca="1">J19</f>
        <v>#NAME?</v>
      </c>
      <c r="K20" s="43" t="e">
        <f t="shared" ca="1" si="0"/>
        <v>#NAME?</v>
      </c>
      <c r="L20" s="43" t="e">
        <f t="shared" ca="1" si="1"/>
        <v>#NAME?</v>
      </c>
      <c r="M20" s="43" t="e">
        <f ca="1">M19</f>
        <v>#NAME?</v>
      </c>
      <c r="N20" s="42" t="e">
        <f ca="1">TEXT(_xll.BDP("ussp"&amp;$F20&amp;" curncy","bid"),"###.00")</f>
        <v>#NAME?</v>
      </c>
      <c r="O20" s="42" t="e">
        <f ca="1">TEXT(_xll.BDP("ussp"&amp;$F20&amp;" curncy","ask"),"###.00")</f>
        <v>#NAME?</v>
      </c>
      <c r="P20" s="42" t="e">
        <f ca="1">TEXT(_xll.BDP("ussw"&amp;$F20&amp;" curncy","bid"),"###.000")</f>
        <v>#NAME?</v>
      </c>
      <c r="Q20" s="42" t="e">
        <f ca="1">TEXT(_xll.BDP("ussw"&amp;$F20&amp;" curncy","ask"),"###.000")</f>
        <v>#NAME?</v>
      </c>
      <c r="R20" s="42" t="e">
        <f ca="1">TEXT(_xll.BDP("ussa"&amp;$F20&amp;" curncy","bid"),"###.000")</f>
        <v>#NAME?</v>
      </c>
      <c r="S20" s="44" t="e">
        <f ca="1">TEXT(_xll.BDP("ussa"&amp;$F20&amp;" curncy","ask"),"###.000")</f>
        <v>#NAME?</v>
      </c>
      <c r="T20" s="13"/>
      <c r="U20" s="230" t="s">
        <v>194</v>
      </c>
      <c r="V20" s="244"/>
      <c r="W20" s="244"/>
      <c r="X20" s="244"/>
      <c r="Y20" s="244"/>
      <c r="Z20" s="244"/>
      <c r="AA20" s="244"/>
      <c r="AB20" s="244"/>
      <c r="AC20" s="244"/>
      <c r="AD20" s="244"/>
      <c r="AE20" s="244"/>
      <c r="AF20" s="245"/>
    </row>
    <row r="21" spans="1:39" ht="15" customHeight="1" x14ac:dyDescent="0.25">
      <c r="A21" s="13"/>
      <c r="B21" s="15"/>
      <c r="C21" s="15"/>
      <c r="D21" s="13"/>
      <c r="E21" s="13"/>
      <c r="F21" s="26">
        <v>15</v>
      </c>
      <c r="G21" s="27"/>
      <c r="H21" s="28"/>
      <c r="I21" s="29" t="e">
        <f ca="1">(I19+I22)/2</f>
        <v>#NAME?</v>
      </c>
      <c r="J21" s="29" t="e">
        <f ca="1">(J19+J22)/2</f>
        <v>#NAME?</v>
      </c>
      <c r="K21" s="29" t="e">
        <f t="shared" ca="1" si="0"/>
        <v>#NAME?</v>
      </c>
      <c r="L21" s="29" t="e">
        <f t="shared" ca="1" si="1"/>
        <v>#NAME?</v>
      </c>
      <c r="M21" s="29" t="e">
        <f ca="1">(M20+M22)/2</f>
        <v>#NAME?</v>
      </c>
      <c r="N21" s="28" t="e">
        <f ca="1">TEXT(_xll.BDP("ussp"&amp;$F21&amp;" curncy","bid"),"###.00")</f>
        <v>#NAME?</v>
      </c>
      <c r="O21" s="28" t="e">
        <f ca="1">TEXT(_xll.BDP("ussp"&amp;$F21&amp;" curncy","ask"),"###.00")</f>
        <v>#NAME?</v>
      </c>
      <c r="P21" s="28" t="e">
        <f ca="1">TEXT(_xll.BDP("ussw"&amp;$F21&amp;" curncy","bid"),"###.000")</f>
        <v>#NAME?</v>
      </c>
      <c r="Q21" s="28" t="e">
        <f ca="1">TEXT(_xll.BDP("ussw"&amp;$F21&amp;" curncy","ask"),"###.000")</f>
        <v>#NAME?</v>
      </c>
      <c r="R21" s="28" t="e">
        <f ca="1">TEXT(_xll.BDP("ussa"&amp;$F21&amp;" curncy","bid"),"###.000")</f>
        <v>#NAME?</v>
      </c>
      <c r="S21" s="30" t="e">
        <f ca="1">TEXT(_xll.BDP("ussa"&amp;$F21&amp;" curncy","ask"),"###.000")</f>
        <v>#NAME?</v>
      </c>
      <c r="T21" s="13"/>
      <c r="U21" s="67"/>
      <c r="V21" s="68" t="s">
        <v>75</v>
      </c>
      <c r="W21" s="68" t="s">
        <v>262</v>
      </c>
      <c r="X21" s="68" t="s">
        <v>128</v>
      </c>
      <c r="Y21" s="69"/>
      <c r="Z21" s="68" t="s">
        <v>75</v>
      </c>
      <c r="AA21" s="68" t="s">
        <v>262</v>
      </c>
      <c r="AB21" s="68" t="s">
        <v>128</v>
      </c>
      <c r="AC21" s="69"/>
      <c r="AD21" s="68" t="s">
        <v>75</v>
      </c>
      <c r="AE21" s="68" t="s">
        <v>262</v>
      </c>
      <c r="AF21" s="70" t="s">
        <v>128</v>
      </c>
    </row>
    <row r="22" spans="1:39" ht="15" customHeight="1" x14ac:dyDescent="0.25">
      <c r="A22" s="13"/>
      <c r="B22" s="13"/>
      <c r="C22" s="13"/>
      <c r="D22" s="13"/>
      <c r="E22" s="13"/>
      <c r="F22" s="26">
        <v>20</v>
      </c>
      <c r="G22" s="41"/>
      <c r="H22" s="42"/>
      <c r="I22" s="43" t="e">
        <f ca="1">(I19+I24)/2</f>
        <v>#NAME?</v>
      </c>
      <c r="J22" s="43" t="e">
        <f ca="1">(J19+J24)/2</f>
        <v>#NAME?</v>
      </c>
      <c r="K22" s="43" t="e">
        <f t="shared" ca="1" si="0"/>
        <v>#NAME?</v>
      </c>
      <c r="L22" s="43" t="e">
        <f t="shared" ca="1" si="1"/>
        <v>#NAME?</v>
      </c>
      <c r="M22" s="43" t="e">
        <f ca="1">(M24+M19)/2</f>
        <v>#NAME?</v>
      </c>
      <c r="N22" s="42" t="e">
        <f ca="1">TEXT(_xll.BDP("ussp"&amp;$F22&amp;" curncy","bid"),"###.00")</f>
        <v>#NAME?</v>
      </c>
      <c r="O22" s="42" t="e">
        <f ca="1">TEXT(_xll.BDP("ussp"&amp;$F22&amp;" curncy","ask"),"###.00")</f>
        <v>#NAME?</v>
      </c>
      <c r="P22" s="42" t="e">
        <f ca="1">TEXT(_xll.BDP("ussw"&amp;$F22&amp;" curncy","bid"),"###.000")</f>
        <v>#NAME?</v>
      </c>
      <c r="Q22" s="42" t="e">
        <f ca="1">TEXT(_xll.BDP("ussw"&amp;$F22&amp;" curncy","ask"),"###.000")</f>
        <v>#NAME?</v>
      </c>
      <c r="R22" s="42" t="e">
        <f ca="1">TEXT(_xll.BDP("ussa"&amp;$F22&amp;" curncy","bid"),"###.000")</f>
        <v>#NAME?</v>
      </c>
      <c r="S22" s="44" t="e">
        <f ca="1">TEXT(_xll.BDP("ussa"&amp;$F22&amp;" curncy","ask"),"###.000")</f>
        <v>#NAME?</v>
      </c>
      <c r="T22" s="13"/>
      <c r="U22" s="37" t="s">
        <v>110</v>
      </c>
      <c r="V22" s="50" t="e">
        <f ca="1">_xll.BDP("SPX index","last price")</f>
        <v>#NAME?</v>
      </c>
      <c r="W22" s="51" t="e">
        <f ca="1">_xll.BDP("SPX index","RT_PX_CHG_NET_1D")</f>
        <v>#NAME?</v>
      </c>
      <c r="X22" s="51" t="e">
        <f ca="1">_xll.BDP("SPX index","RT_PX_CHG_PCT_1D")</f>
        <v>#NAME?</v>
      </c>
      <c r="Y22" s="71" t="s">
        <v>114</v>
      </c>
      <c r="Z22" s="51" t="e">
        <f ca="1">_xll.BDP("IBOV index","last price")</f>
        <v>#NAME?</v>
      </c>
      <c r="AA22" s="51" t="e">
        <f ca="1">_xll.BDP("IBOV index","RT_PX_CHG_NET_1D")</f>
        <v>#NAME?</v>
      </c>
      <c r="AB22" s="51" t="e">
        <f ca="1">_xll.BDP("IBOV index","RT_PX_CHG_PCT_1D")</f>
        <v>#NAME?</v>
      </c>
      <c r="AC22" s="71" t="s">
        <v>119</v>
      </c>
      <c r="AD22" s="51" t="e">
        <f ca="1">_xll.BDP("HSI index","last price")</f>
        <v>#NAME?</v>
      </c>
      <c r="AE22" s="51" t="e">
        <f ca="1">_xll.BDP("HSI index","RT_PX_CHG_NET_1D")</f>
        <v>#NAME?</v>
      </c>
      <c r="AF22" s="52" t="e">
        <f ca="1">_xll.BDP("HSI index","RT_PX_CHG_PCT_1D")</f>
        <v>#NAME?</v>
      </c>
    </row>
    <row r="23" spans="1:39" ht="15" customHeight="1" x14ac:dyDescent="0.25">
      <c r="A23" s="13"/>
      <c r="B23" s="13"/>
      <c r="C23" s="13"/>
      <c r="D23" s="13"/>
      <c r="E23" s="13"/>
      <c r="F23" s="26">
        <v>25</v>
      </c>
      <c r="G23" s="27"/>
      <c r="H23" s="28"/>
      <c r="I23" s="29" t="e">
        <f ca="1">(I22+I24)/2</f>
        <v>#NAME?</v>
      </c>
      <c r="J23" s="29" t="e">
        <f ca="1">(J22+J24)/2</f>
        <v>#NAME?</v>
      </c>
      <c r="K23" s="29" t="e">
        <f t="shared" ca="1" si="0"/>
        <v>#NAME?</v>
      </c>
      <c r="L23" s="29" t="e">
        <f t="shared" ca="1" si="1"/>
        <v>#NAME?</v>
      </c>
      <c r="M23" s="29" t="e">
        <f ca="1">(M22+M24)/2</f>
        <v>#NAME?</v>
      </c>
      <c r="N23" s="28" t="e">
        <f ca="1">TEXT(_xll.BDP("ussp"&amp;$F23&amp;" curncy","bid"),"###.00")</f>
        <v>#NAME?</v>
      </c>
      <c r="O23" s="28" t="e">
        <f ca="1">TEXT(_xll.BDP("ussp"&amp;$F23&amp;" curncy","ask"),"###.00")</f>
        <v>#NAME?</v>
      </c>
      <c r="P23" s="28" t="e">
        <f ca="1">TEXT(_xll.BDP("ussw"&amp;$F23&amp;" curncy","bid"),"###.000")</f>
        <v>#NAME?</v>
      </c>
      <c r="Q23" s="28" t="e">
        <f ca="1">TEXT(_xll.BDP("ussw"&amp;$F23&amp;" curncy","ask"),"###.000")</f>
        <v>#NAME?</v>
      </c>
      <c r="R23" s="28" t="e">
        <f ca="1">TEXT(_xll.BDP("ussa"&amp;$F23&amp;" curncy","bid"),"###.000")</f>
        <v>#NAME?</v>
      </c>
      <c r="S23" s="30" t="e">
        <f ca="1">TEXT(_xll.BDP("ussa"&amp;$F23&amp;" curncy","ask"),"###.000")</f>
        <v>#NAME?</v>
      </c>
      <c r="T23" s="13"/>
      <c r="U23" s="37" t="s">
        <v>130</v>
      </c>
      <c r="V23" s="38" t="e">
        <f ca="1">_xll.BDP("INDU index","last price")</f>
        <v>#NAME?</v>
      </c>
      <c r="W23" s="39" t="e">
        <f ca="1">_xll.BDP("INDU index","RT_PX_CHG_NET_1D")</f>
        <v>#NAME?</v>
      </c>
      <c r="X23" s="39" t="e">
        <f ca="1">_xll.BDP("INDU index","RT_PX_CHG_PCT_1D")</f>
        <v>#NAME?</v>
      </c>
      <c r="Y23" s="72" t="s">
        <v>115</v>
      </c>
      <c r="Z23" s="39" t="e">
        <f ca="1">_xll.BDP("UKX index","last price")</f>
        <v>#NAME?</v>
      </c>
      <c r="AA23" s="39" t="e">
        <f ca="1">_xll.BDP("UKX index","RT_PX_CHG_NET_1D")</f>
        <v>#NAME?</v>
      </c>
      <c r="AB23" s="39" t="e">
        <f ca="1">_xll.BDP("UKX index","RT_PX_CHG_PCT_1D")</f>
        <v>#NAME?</v>
      </c>
      <c r="AC23" s="72" t="s">
        <v>129</v>
      </c>
      <c r="AD23" s="39" t="e">
        <f ca="1">_xll.BDP("SHCOMP index","last price")</f>
        <v>#NAME?</v>
      </c>
      <c r="AE23" s="39" t="e">
        <f ca="1">_xll.BDP("SHCOMP index","RT_PX_CHG_NET_1D")</f>
        <v>#NAME?</v>
      </c>
      <c r="AF23" s="40" t="e">
        <f ca="1">_xll.BDP("SHCOMP index","RT_PX_CHG_PCT_1D")</f>
        <v>#NAME?</v>
      </c>
    </row>
    <row r="24" spans="1:39" ht="15" customHeight="1" x14ac:dyDescent="0.25">
      <c r="A24" s="13"/>
      <c r="B24" s="13"/>
      <c r="C24" s="13"/>
      <c r="D24" s="13"/>
      <c r="E24" s="13"/>
      <c r="F24" s="73">
        <v>30</v>
      </c>
      <c r="G24" s="74" t="e">
        <f>format32(_xll.BDP("GT"&amp;F24&amp;" govt","bid"))</f>
        <v>#VALUE!</v>
      </c>
      <c r="H24" s="63" t="e">
        <f>format32(_xll.BDP("GT"&amp;F24&amp;" govt","ask"))</f>
        <v>#VALUE!</v>
      </c>
      <c r="I24" s="63" t="e">
        <f ca="1">TEXT(_xll.BDP("GT"&amp;F24&amp;" govt","bid yld"),"##.000")</f>
        <v>#NAME?</v>
      </c>
      <c r="J24" s="63" t="e">
        <f ca="1">TEXT(_xll.BDP("GT"&amp;F24&amp;" govt","ask yld"),"##.000")</f>
        <v>#NAME?</v>
      </c>
      <c r="K24" s="75" t="e">
        <f t="shared" ca="1" si="0"/>
        <v>#NAME?</v>
      </c>
      <c r="L24" s="75" t="e">
        <f t="shared" ca="1" si="1"/>
        <v>#NAME?</v>
      </c>
      <c r="M24" s="75" t="e">
        <f ca="1">_xll.BDP("GT"&amp;F24&amp;" govt","PRIOR_CLOSE_MID_YLD")</f>
        <v>#NAME?</v>
      </c>
      <c r="N24" s="63" t="e">
        <f ca="1">TEXT(_xll.BDP("ussp"&amp;$F24&amp;" curncy","bid"),"###.00")</f>
        <v>#NAME?</v>
      </c>
      <c r="O24" s="63" t="e">
        <f ca="1">TEXT(_xll.BDP("ussp"&amp;$F24&amp;" curncy","ask"),"###.00")</f>
        <v>#NAME?</v>
      </c>
      <c r="P24" s="63" t="e">
        <f ca="1">TEXT(_xll.BDP("ussw"&amp;$F24&amp;" curncy","bid"),"###.000")</f>
        <v>#NAME?</v>
      </c>
      <c r="Q24" s="63" t="e">
        <f ca="1">TEXT(_xll.BDP("ussw"&amp;$F24&amp;" curncy","ask"),"###.000")</f>
        <v>#NAME?</v>
      </c>
      <c r="R24" s="63" t="e">
        <f ca="1">TEXT(_xll.BDP("ussa"&amp;$F24&amp;" curncy","bid"),"###.000")</f>
        <v>#NAME?</v>
      </c>
      <c r="S24" s="76" t="e">
        <f ca="1">TEXT(_xll.BDP("ussa"&amp;$F24&amp;" curncy","ask"),"###.000")</f>
        <v>#NAME?</v>
      </c>
      <c r="T24" s="13"/>
      <c r="U24" s="37" t="s">
        <v>111</v>
      </c>
      <c r="V24" s="50" t="e">
        <f ca="1">_xll.BDP("CCMP index","last price")</f>
        <v>#NAME?</v>
      </c>
      <c r="W24" s="51" t="e">
        <f ca="1">_xll.BDP("CCMP index","RT_PX_CHG_NET_1D")</f>
        <v>#NAME?</v>
      </c>
      <c r="X24" s="51" t="e">
        <f ca="1">_xll.BDP("CCMP index","RT_PX_CHG_PCT_1D")</f>
        <v>#NAME?</v>
      </c>
      <c r="Y24" s="71" t="s">
        <v>116</v>
      </c>
      <c r="Z24" s="51" t="e">
        <f ca="1">_xll.BDP("CAC index","last price")</f>
        <v>#NAME?</v>
      </c>
      <c r="AA24" s="51" t="e">
        <f ca="1">_xll.BDP("CAC index","RT_PX_CHG_NET_1D")</f>
        <v>#NAME?</v>
      </c>
      <c r="AB24" s="51" t="e">
        <f ca="1">_xll.BDP("CAC index","RT_PX_CHG_PCT_1D")</f>
        <v>#NAME?</v>
      </c>
      <c r="AC24" s="71" t="s">
        <v>120</v>
      </c>
      <c r="AD24" s="51" t="e">
        <f ca="1">_xll.BDP("AS51 index","last price")</f>
        <v>#NAME?</v>
      </c>
      <c r="AE24" s="51" t="e">
        <f ca="1">_xll.BDP("AS51 index","RT_PX_CHG_NET_1D")</f>
        <v>#NAME?</v>
      </c>
      <c r="AF24" s="52" t="e">
        <f ca="1">_xll.BDP("AS51 index","RT_PX_CHG_PCT_1D")</f>
        <v>#NAME?</v>
      </c>
    </row>
    <row r="25" spans="1:39" ht="15" customHeight="1" x14ac:dyDescent="0.25">
      <c r="A25" s="13"/>
      <c r="B25" s="13"/>
      <c r="C25" s="13"/>
      <c r="D25" s="13"/>
      <c r="E25" s="77"/>
      <c r="F25" s="77"/>
      <c r="G25" s="196"/>
      <c r="H25" s="196"/>
      <c r="I25" s="197"/>
      <c r="J25" s="197"/>
      <c r="K25" s="198"/>
      <c r="L25" s="199"/>
      <c r="M25" s="199"/>
      <c r="N25" s="197"/>
      <c r="O25" s="197"/>
      <c r="P25" s="197"/>
      <c r="Q25" s="197"/>
      <c r="R25" s="197"/>
      <c r="S25" s="197"/>
      <c r="T25" s="13"/>
      <c r="U25" s="37" t="s">
        <v>112</v>
      </c>
      <c r="V25" s="38" t="e">
        <f ca="1">_xll.BDP("SPTSX index","last price")</f>
        <v>#NAME?</v>
      </c>
      <c r="W25" s="39" t="e">
        <f ca="1">_xll.BDP("SPTSX index","RT_PX_CHG_NET_1D")</f>
        <v>#NAME?</v>
      </c>
      <c r="X25" s="39" t="e">
        <f ca="1">_xll.BDP("SPTSX index","RT_PX_CHG_PCT_1D")</f>
        <v>#NAME?</v>
      </c>
      <c r="Y25" s="72" t="s">
        <v>117</v>
      </c>
      <c r="Z25" s="39" t="e">
        <f ca="1">_xll.BDP("DAX index","last price")</f>
        <v>#NAME?</v>
      </c>
      <c r="AA25" s="39" t="e">
        <f ca="1">_xll.BDP("DAX index","RT_PX_CHG_NET_1D")</f>
        <v>#NAME?</v>
      </c>
      <c r="AB25" s="39" t="e">
        <f ca="1">_xll.BDP("DAX index","RT_PX_CHG_PCT_1D")</f>
        <v>#NAME?</v>
      </c>
      <c r="AC25" s="72" t="s">
        <v>131</v>
      </c>
      <c r="AD25" s="39" t="e">
        <f ca="1">_xll.BDP("CRY index","last price")</f>
        <v>#NAME?</v>
      </c>
      <c r="AE25" s="39" t="e">
        <f ca="1">_xll.BDP("CRY index","RT_PX_CHG_NET_1D")</f>
        <v>#NAME?</v>
      </c>
      <c r="AF25" s="40" t="e">
        <f ca="1">_xll.BDP("CRY index","RT_PX_CHG_PCT_1D")</f>
        <v>#NAME?</v>
      </c>
      <c r="AG25" s="191"/>
      <c r="AH25" s="191"/>
      <c r="AI25" s="191"/>
      <c r="AJ25" s="191"/>
      <c r="AK25" s="191"/>
      <c r="AL25" s="191"/>
      <c r="AM25" s="191"/>
    </row>
    <row r="26" spans="1:39" ht="15" customHeight="1" x14ac:dyDescent="0.25">
      <c r="A26" s="13"/>
      <c r="B26" s="210" t="s">
        <v>273</v>
      </c>
      <c r="C26" s="13"/>
      <c r="D26" s="13"/>
      <c r="E26" s="13"/>
      <c r="F26" s="192" t="s">
        <v>255</v>
      </c>
      <c r="G26" s="196"/>
      <c r="H26" s="196"/>
      <c r="I26" s="197"/>
      <c r="J26" s="192" t="s">
        <v>11</v>
      </c>
      <c r="K26" s="198"/>
      <c r="L26" s="199"/>
      <c r="M26" s="199"/>
      <c r="O26" s="197"/>
      <c r="P26" s="201" t="s">
        <v>269</v>
      </c>
      <c r="Q26" s="197"/>
      <c r="T26" s="13"/>
      <c r="U26" s="57" t="s">
        <v>113</v>
      </c>
      <c r="V26" s="78" t="e">
        <f ca="1">_xll.BDP("MEXBOL index","last price")</f>
        <v>#NAME?</v>
      </c>
      <c r="W26" s="79" t="e">
        <f ca="1">_xll.BDP("MEXBOL index","RT_PX_CHG_NET_1D")</f>
        <v>#NAME?</v>
      </c>
      <c r="X26" s="79" t="e">
        <f ca="1">_xll.BDP("MEXBOL index","RT_PX_CHG_PCT_1D")</f>
        <v>#NAME?</v>
      </c>
      <c r="Y26" s="80" t="s">
        <v>118</v>
      </c>
      <c r="Z26" s="79" t="e">
        <f ca="1">_xll.BDP("NKY index","last price")</f>
        <v>#NAME?</v>
      </c>
      <c r="AA26" s="79" t="e">
        <f ca="1">_xll.BDP("NKY index","RT_PX_CHG_NET_1D")</f>
        <v>#NAME?</v>
      </c>
      <c r="AB26" s="79" t="e">
        <f ca="1">_xll.BDP("NKY index","RT_PX_CHG_PCT_1D")</f>
        <v>#NAME?</v>
      </c>
      <c r="AC26" s="80" t="s">
        <v>132</v>
      </c>
      <c r="AD26" s="79" t="e">
        <f ca="1">_xll.BDP("CL1 COMDTY","last price")</f>
        <v>#NAME?</v>
      </c>
      <c r="AE26" s="79" t="e">
        <f ca="1">_xll.BDP("CL1 COMDTY","RT_PX_CHG_NET_1D")</f>
        <v>#NAME?</v>
      </c>
      <c r="AF26" s="81" t="e">
        <f ca="1">_xll.BDP("CL1 COMDTY","RT_PX_CHG_PCT_1D")</f>
        <v>#NAME?</v>
      </c>
      <c r="AG26" s="191"/>
      <c r="AH26" s="191"/>
      <c r="AI26" s="191"/>
      <c r="AJ26" s="191"/>
      <c r="AK26" s="191"/>
      <c r="AL26" s="191"/>
      <c r="AM26" s="191"/>
    </row>
    <row r="27" spans="1:39" ht="12" customHeight="1" x14ac:dyDescent="0.25">
      <c r="A27" s="13"/>
      <c r="C27" s="13"/>
      <c r="D27" s="13"/>
      <c r="E27" s="13"/>
      <c r="G27" s="196"/>
      <c r="H27" s="196"/>
      <c r="I27" s="197"/>
      <c r="L27" s="13"/>
      <c r="O27" s="200"/>
      <c r="Q27" s="13"/>
      <c r="S27" s="197"/>
      <c r="T27" s="13"/>
      <c r="U27" s="77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</row>
    <row r="28" spans="1:39" s="211" customFormat="1" ht="35.15" customHeight="1" x14ac:dyDescent="0.3">
      <c r="C28" s="212"/>
      <c r="D28" s="13"/>
      <c r="F28" s="213" t="s">
        <v>101</v>
      </c>
      <c r="G28" s="214" t="s">
        <v>8</v>
      </c>
      <c r="H28" s="215" t="s">
        <v>9</v>
      </c>
      <c r="J28" s="216" t="s">
        <v>3</v>
      </c>
      <c r="K28" s="238" t="s">
        <v>8</v>
      </c>
      <c r="L28" s="233"/>
      <c r="M28" s="239"/>
      <c r="N28" s="232" t="s">
        <v>9</v>
      </c>
      <c r="O28" s="233"/>
      <c r="P28" s="239"/>
      <c r="Q28" s="232" t="s">
        <v>10</v>
      </c>
      <c r="R28" s="233"/>
      <c r="S28" s="239"/>
      <c r="T28" s="232" t="s">
        <v>12</v>
      </c>
      <c r="U28" s="233"/>
      <c r="V28" s="239"/>
      <c r="W28" s="232" t="s">
        <v>13</v>
      </c>
      <c r="X28" s="233"/>
      <c r="Y28" s="239"/>
      <c r="Z28" s="232" t="s">
        <v>14</v>
      </c>
      <c r="AA28" s="233"/>
      <c r="AB28" s="239"/>
      <c r="AC28" s="232" t="s">
        <v>68</v>
      </c>
      <c r="AD28" s="233"/>
      <c r="AE28" s="234"/>
      <c r="AF28" s="217"/>
      <c r="AG28" s="217"/>
      <c r="AH28" s="217"/>
      <c r="AI28" s="217"/>
      <c r="AJ28" s="217"/>
      <c r="AK28" s="217"/>
      <c r="AL28" s="217"/>
      <c r="AM28" s="217"/>
    </row>
    <row r="29" spans="1:39" ht="15" customHeight="1" x14ac:dyDescent="0.25">
      <c r="A29" s="13"/>
      <c r="B29" s="15"/>
      <c r="C29" s="15"/>
      <c r="D29" s="13"/>
      <c r="E29" s="13"/>
      <c r="F29" s="82" t="s">
        <v>78</v>
      </c>
      <c r="G29" s="83" t="e">
        <f ca="1">_xll.BDP("US00O/N index",LiborPriceLink)</f>
        <v>#NAME?</v>
      </c>
      <c r="H29" s="84" t="e">
        <f ca="1">_xll.BDP("EE00O/N index",LiborPriceLink)</f>
        <v>#NAME?</v>
      </c>
      <c r="J29" s="85" t="s">
        <v>4</v>
      </c>
      <c r="K29" s="86" t="s">
        <v>5</v>
      </c>
      <c r="L29" s="8" t="s">
        <v>6</v>
      </c>
      <c r="M29" s="8" t="s">
        <v>7</v>
      </c>
      <c r="N29" s="8" t="s">
        <v>5</v>
      </c>
      <c r="O29" s="8" t="s">
        <v>6</v>
      </c>
      <c r="P29" s="8" t="s">
        <v>7</v>
      </c>
      <c r="Q29" s="8" t="s">
        <v>5</v>
      </c>
      <c r="R29" s="8" t="s">
        <v>6</v>
      </c>
      <c r="S29" s="8" t="s">
        <v>7</v>
      </c>
      <c r="T29" s="8" t="s">
        <v>5</v>
      </c>
      <c r="U29" s="8" t="s">
        <v>6</v>
      </c>
      <c r="V29" s="8" t="s">
        <v>7</v>
      </c>
      <c r="W29" s="8" t="s">
        <v>5</v>
      </c>
      <c r="X29" s="8" t="s">
        <v>6</v>
      </c>
      <c r="Y29" s="8" t="s">
        <v>7</v>
      </c>
      <c r="Z29" s="8" t="s">
        <v>5</v>
      </c>
      <c r="AA29" s="8" t="s">
        <v>6</v>
      </c>
      <c r="AB29" s="8" t="s">
        <v>7</v>
      </c>
      <c r="AC29" s="8" t="s">
        <v>5</v>
      </c>
      <c r="AD29" s="8" t="s">
        <v>6</v>
      </c>
      <c r="AE29" s="87" t="s">
        <v>7</v>
      </c>
      <c r="AF29" s="191"/>
      <c r="AG29" s="191"/>
      <c r="AH29" s="191"/>
      <c r="AI29" s="191"/>
      <c r="AJ29" s="191"/>
      <c r="AK29" s="191"/>
      <c r="AL29" s="191"/>
      <c r="AM29" s="191"/>
    </row>
    <row r="30" spans="1:39" ht="15" customHeight="1" x14ac:dyDescent="0.25">
      <c r="A30" s="13"/>
      <c r="B30" s="15"/>
      <c r="C30" s="15"/>
      <c r="D30" s="13"/>
      <c r="E30" s="13"/>
      <c r="F30" s="82" t="s">
        <v>89</v>
      </c>
      <c r="G30" s="88" t="e">
        <f ca="1">_xll.BDP("US0001W index",LiborPriceLink)</f>
        <v>#NAME?</v>
      </c>
      <c r="H30" s="89" t="e">
        <f ca="1">_xll.BDP("EE0001W index",LiborPriceLink)</f>
        <v>#NAME?</v>
      </c>
      <c r="J30" s="90">
        <v>2</v>
      </c>
      <c r="K30" s="91" t="e">
        <f ca="1">_xll.BDP(rateSpreadLink&amp;$J30&amp;" "&amp;LEFT(swapLink,LEN(swapLink)-FIND("/",swapLink))&amp;" curncy","bid")</f>
        <v>#NAME?</v>
      </c>
      <c r="L30" s="91" t="e">
        <f ca="1">_xll.BDP(rateSpreadLink&amp;$J30&amp;" "&amp;LEFT(swapLink,LEN(swapLink)-FIND("/",swapLink))&amp;" curncy","ask")</f>
        <v>#NAME?</v>
      </c>
      <c r="M30" s="91" t="e">
        <f t="shared" ref="M30:M43" ca="1" si="2">(K30+L30)/2</f>
        <v>#NAME?</v>
      </c>
      <c r="N30" s="91" t="e">
        <f ca="1">_xll.BDP("EUSA"&amp;$J30&amp;" "&amp;RIGHT(swapLink,LEN(swapLink)-FIND("/",swapLink))&amp;" curncy","bid")</f>
        <v>#NAME?</v>
      </c>
      <c r="O30" s="91" t="e">
        <f ca="1">_xll.BDP("EUSA"&amp;$J31&amp;" "&amp;RIGHT(swapLink,LEN(swapLink)-FIND("/",swapLink))&amp;" curncy","ask")</f>
        <v>#NAME?</v>
      </c>
      <c r="P30" s="91" t="str">
        <f ca="1">IF(ISERR((N30+O30)/2),"N/A",(N30+O30)/2)</f>
        <v>N/A</v>
      </c>
      <c r="Q30" s="91" t="e">
        <f ca="1">_xll.BDP("BPSW"&amp;$J30&amp;" "&amp;RIGHT(swapLink,LEN(swapLink)-FIND("/",swapLink))&amp;" curncy","bid")</f>
        <v>#NAME?</v>
      </c>
      <c r="R30" s="91" t="e">
        <f ca="1">_xll.BDP("BPSW"&amp;$J30&amp;" "&amp;RIGHT(swapLink,LEN(swapLink)-FIND("/",swapLink))&amp;" curncy","ask")</f>
        <v>#NAME?</v>
      </c>
      <c r="S30" s="91" t="str">
        <f ca="1">IF(ISERR((Q30+R30)/2),"N/A",(Q30+R30)/2)</f>
        <v>N/A</v>
      </c>
      <c r="T30" s="91" t="e">
        <f ca="1">_xll.BDP("JYSW"&amp;$J30&amp;" "&amp;RIGHT(swapLink,LEN(swapLink)-FIND("/",swapLink))&amp;" curncy","bid")</f>
        <v>#NAME?</v>
      </c>
      <c r="U30" s="91" t="e">
        <f ca="1">_xll.BDP("JYSW"&amp;$J30&amp;" "&amp;RIGHT(swapLink,LEN(swapLink)-FIND("/",swapLink))&amp;" curncy","ask")</f>
        <v>#NAME?</v>
      </c>
      <c r="V30" s="91" t="str">
        <f ca="1">IF(ISERR((T30+U30)/2),"N/A",(T30+U30)/2)</f>
        <v>N/A</v>
      </c>
      <c r="W30" s="91" t="e">
        <f ca="1">_xll.BDP("CDSW"&amp;$J30&amp;" "&amp;RIGHT(swapLink,LEN(swapLink)-FIND("/",swapLink))&amp;" curncy","bid")</f>
        <v>#NAME?</v>
      </c>
      <c r="X30" s="91" t="e">
        <f ca="1">_xll.BDP("CDSW"&amp;$J30&amp;" "&amp;RIGHT(swapLink,LEN(swapLink)-FIND("/",swapLink))&amp;" curncy","ask")</f>
        <v>#NAME?</v>
      </c>
      <c r="Y30" s="91" t="str">
        <f ca="1">IF(ISERR((W30+X30)/2),"N/A",(W30+X30)/2)</f>
        <v>N/A</v>
      </c>
      <c r="Z30" s="91" t="e">
        <f ca="1">_xll.BDP("SFSW"&amp;$J30&amp;" "&amp;RIGHT(swapLink,LEN(swapLink)-FIND("/",swapLink))&amp;" curncy","bid")</f>
        <v>#NAME?</v>
      </c>
      <c r="AA30" s="91" t="e">
        <f ca="1">_xll.BDP("SFSW"&amp;$J30&amp;" "&amp;RIGHT(swapLink,LEN(swapLink)-FIND("/",swapLink))&amp;" curncy","ask")</f>
        <v>#NAME?</v>
      </c>
      <c r="AB30" s="91" t="str">
        <f ca="1">IF(ISERR((Z30+AA30)/2),"N/A",(Z30+AA30)/2)</f>
        <v>N/A</v>
      </c>
      <c r="AC30" s="91" t="e">
        <f ca="1">_xll.BDP("ADSW"&amp;$J30&amp;" "&amp;RIGHT(swapLink,LEN(swapLink)-FIND("/",swapLink))&amp;" curncy","bid")</f>
        <v>#NAME?</v>
      </c>
      <c r="AD30" s="91" t="e">
        <f ca="1">_xll.BDP("ADSW"&amp;$J30&amp;" "&amp;RIGHT(swapLink,LEN(swapLink)-FIND("/",swapLink))&amp;" curncy","ask")</f>
        <v>#NAME?</v>
      </c>
      <c r="AE30" s="92" t="str">
        <f ca="1">IF(ISERR((AC30+AD30)/2),"N/A",(AC30+AD30)/2)</f>
        <v>N/A</v>
      </c>
      <c r="AF30" s="191"/>
      <c r="AG30" s="191"/>
      <c r="AH30" s="191"/>
      <c r="AI30" s="191"/>
      <c r="AJ30" s="191"/>
      <c r="AK30" s="191"/>
      <c r="AL30" s="191"/>
      <c r="AM30" s="191"/>
    </row>
    <row r="31" spans="1:39" ht="15" customHeight="1" x14ac:dyDescent="0.25">
      <c r="A31" s="13"/>
      <c r="B31" s="15"/>
      <c r="C31" s="15"/>
      <c r="D31" s="13"/>
      <c r="E31" s="13"/>
      <c r="F31" s="82" t="s">
        <v>90</v>
      </c>
      <c r="G31" s="83" t="s">
        <v>252</v>
      </c>
      <c r="H31" s="84" t="s">
        <v>252</v>
      </c>
      <c r="J31" s="90">
        <v>3</v>
      </c>
      <c r="K31" s="93" t="e">
        <f ca="1">_xll.BDP(rateSpreadLink&amp;$J31&amp;" "&amp;LEFT(swapLink,LEN(swapLink)-FIND("/",swapLink))&amp;" curncy","bid")</f>
        <v>#NAME?</v>
      </c>
      <c r="L31" s="93" t="e">
        <f ca="1">_xll.BDP(rateSpreadLink&amp;$J31&amp;" "&amp;LEFT(swapLink,LEN(swapLink)-FIND("/",swapLink))&amp;" curncy","ask")</f>
        <v>#NAME?</v>
      </c>
      <c r="M31" s="93" t="e">
        <f t="shared" ca="1" si="2"/>
        <v>#NAME?</v>
      </c>
      <c r="N31" s="93" t="e">
        <f ca="1">_xll.BDP("EUSA"&amp;$J31&amp;" "&amp;RIGHT(swapLink,LEN(swapLink)-FIND("/",swapLink))&amp;" curncy","bid")</f>
        <v>#NAME?</v>
      </c>
      <c r="O31" s="93" t="e">
        <f ca="1">_xll.BDP("EUSA"&amp;$J32&amp;" "&amp;RIGHT(swapLink,LEN(swapLink)-FIND("/",swapLink))&amp;" curncy","ask")</f>
        <v>#NAME?</v>
      </c>
      <c r="P31" s="93" t="str">
        <f t="shared" ref="P31:P43" ca="1" si="3">IF(ISERR((N31+O31)/2),"N/A",(N31+O31)/2)</f>
        <v>N/A</v>
      </c>
      <c r="Q31" s="93" t="e">
        <f ca="1">_xll.BDP("BPSW"&amp;$J31&amp;" "&amp;RIGHT(swapLink,LEN(swapLink)-FIND("/",swapLink))&amp;" curncy","bid")</f>
        <v>#NAME?</v>
      </c>
      <c r="R31" s="93" t="e">
        <f ca="1">_xll.BDP("BPSW"&amp;$J31&amp;" "&amp;RIGHT(swapLink,LEN(swapLink)-FIND("/",swapLink))&amp;" curncy","ask")</f>
        <v>#NAME?</v>
      </c>
      <c r="S31" s="93" t="str">
        <f t="shared" ref="S31:S43" ca="1" si="4">IF(ISERR((Q31+R31)/2),"N/A",(Q31+R31)/2)</f>
        <v>N/A</v>
      </c>
      <c r="T31" s="93" t="e">
        <f ca="1">_xll.BDP("JYSW"&amp;$J31&amp;" "&amp;RIGHT(swapLink,LEN(swapLink)-FIND("/",swapLink))&amp;" curncy","bid")</f>
        <v>#NAME?</v>
      </c>
      <c r="U31" s="93" t="e">
        <f ca="1">_xll.BDP("JYSW"&amp;$J31&amp;" "&amp;RIGHT(swapLink,LEN(swapLink)-FIND("/",swapLink))&amp;" curncy","ask")</f>
        <v>#NAME?</v>
      </c>
      <c r="V31" s="93" t="str">
        <f t="shared" ref="V31:V43" ca="1" si="5">IF(ISERR((T31+U31)/2),"N/A",(T31+U31)/2)</f>
        <v>N/A</v>
      </c>
      <c r="W31" s="93" t="e">
        <f ca="1">_xll.BDP("CDSW"&amp;$J31&amp;" "&amp;RIGHT(swapLink,LEN(swapLink)-FIND("/",swapLink))&amp;" curncy","bid")</f>
        <v>#NAME?</v>
      </c>
      <c r="X31" s="93" t="e">
        <f ca="1">_xll.BDP("CDSW"&amp;$J31&amp;" "&amp;RIGHT(swapLink,LEN(swapLink)-FIND("/",swapLink))&amp;" curncy","ask")</f>
        <v>#NAME?</v>
      </c>
      <c r="Y31" s="93" t="str">
        <f t="shared" ref="Y31:Y43" ca="1" si="6">IF(ISERR((W31+X31)/2),"N/A",(W31+X31)/2)</f>
        <v>N/A</v>
      </c>
      <c r="Z31" s="93" t="e">
        <f ca="1">_xll.BDP("SFSW"&amp;$J31&amp;" "&amp;RIGHT(swapLink,LEN(swapLink)-FIND("/",swapLink))&amp;" curncy","bid")</f>
        <v>#NAME?</v>
      </c>
      <c r="AA31" s="93" t="e">
        <f ca="1">_xll.BDP("SFSW"&amp;$J31&amp;" "&amp;RIGHT(swapLink,LEN(swapLink)-FIND("/",swapLink))&amp;" curncy","ask")</f>
        <v>#NAME?</v>
      </c>
      <c r="AB31" s="93" t="str">
        <f t="shared" ref="AB31:AB43" ca="1" si="7">IF(ISERR((Z31+AA31)/2),"N/A",(Z31+AA31)/2)</f>
        <v>N/A</v>
      </c>
      <c r="AC31" s="93" t="e">
        <f ca="1">_xll.BDP("ADSW"&amp;$J31&amp;" "&amp;RIGHT(swapLink,LEN(swapLink)-FIND("/",swapLink))&amp;" curncy","bid")</f>
        <v>#NAME?</v>
      </c>
      <c r="AD31" s="93" t="e">
        <f ca="1">_xll.BDP("ADSW"&amp;$J31&amp;" "&amp;RIGHT(swapLink,LEN(swapLink)-FIND("/",swapLink))&amp;" curncy","ask")</f>
        <v>#NAME?</v>
      </c>
      <c r="AE31" s="94" t="str">
        <f t="shared" ref="AE31:AE43" ca="1" si="8">IF(ISERR((AC31+AD31)/2),"N/A",(AC31+AD31)/2)</f>
        <v>N/A</v>
      </c>
      <c r="AF31" s="191"/>
      <c r="AG31" s="191"/>
      <c r="AH31" s="191"/>
      <c r="AI31" s="191"/>
      <c r="AJ31" s="191"/>
      <c r="AK31" s="191"/>
      <c r="AL31" s="191"/>
      <c r="AM31" s="191"/>
    </row>
    <row r="32" spans="1:39" ht="15" customHeight="1" x14ac:dyDescent="0.25">
      <c r="A32" s="13"/>
      <c r="B32" s="15"/>
      <c r="C32" s="15"/>
      <c r="D32" s="13"/>
      <c r="E32" s="13"/>
      <c r="F32" s="82" t="s">
        <v>91</v>
      </c>
      <c r="G32" s="88" t="e">
        <f ca="1">_xll.BDP("US0001M index",LiborPriceLink)</f>
        <v>#NAME?</v>
      </c>
      <c r="H32" s="89" t="e">
        <f ca="1">_xll.BDP("EE0001M index",LiborPriceLink)</f>
        <v>#NAME?</v>
      </c>
      <c r="J32" s="90">
        <v>4</v>
      </c>
      <c r="K32" s="91" t="e">
        <f ca="1">_xll.BDP(rateSpreadLink&amp;$J32&amp;" "&amp;LEFT(swapLink,LEN(swapLink)-FIND("/",swapLink))&amp;" curncy","bid")</f>
        <v>#NAME?</v>
      </c>
      <c r="L32" s="91" t="e">
        <f ca="1">_xll.BDP(rateSpreadLink&amp;$J32&amp;" "&amp;LEFT(swapLink,LEN(swapLink)-FIND("/",swapLink))&amp;" curncy","ask")</f>
        <v>#NAME?</v>
      </c>
      <c r="M32" s="91" t="e">
        <f t="shared" ca="1" si="2"/>
        <v>#NAME?</v>
      </c>
      <c r="N32" s="91" t="e">
        <f ca="1">_xll.BDP("EUSA"&amp;$J32&amp;" "&amp;RIGHT(swapLink,LEN(swapLink)-FIND("/",swapLink))&amp;" curncy","bid")</f>
        <v>#NAME?</v>
      </c>
      <c r="O32" s="91" t="e">
        <f ca="1">_xll.BDP("EUSA"&amp;$J33&amp;" "&amp;RIGHT(swapLink,LEN(swapLink)-FIND("/",swapLink))&amp;" curncy","ask")</f>
        <v>#NAME?</v>
      </c>
      <c r="P32" s="91" t="str">
        <f t="shared" ca="1" si="3"/>
        <v>N/A</v>
      </c>
      <c r="Q32" s="91" t="e">
        <f ca="1">_xll.BDP("BPSW"&amp;$J32&amp;" "&amp;RIGHT(swapLink,LEN(swapLink)-FIND("/",swapLink))&amp;" curncy","bid")</f>
        <v>#NAME?</v>
      </c>
      <c r="R32" s="91" t="e">
        <f ca="1">_xll.BDP("BPSW"&amp;$J32&amp;" "&amp;RIGHT(swapLink,LEN(swapLink)-FIND("/",swapLink))&amp;" curncy","ask")</f>
        <v>#NAME?</v>
      </c>
      <c r="S32" s="91" t="str">
        <f t="shared" ca="1" si="4"/>
        <v>N/A</v>
      </c>
      <c r="T32" s="91" t="e">
        <f ca="1">_xll.BDP("JYSW"&amp;$J32&amp;" "&amp;RIGHT(swapLink,LEN(swapLink)-FIND("/",swapLink))&amp;" curncy","bid")</f>
        <v>#NAME?</v>
      </c>
      <c r="U32" s="91" t="e">
        <f ca="1">_xll.BDP("JYSW"&amp;$J32&amp;" "&amp;RIGHT(swapLink,LEN(swapLink)-FIND("/",swapLink))&amp;" curncy","ask")</f>
        <v>#NAME?</v>
      </c>
      <c r="V32" s="91" t="str">
        <f t="shared" ca="1" si="5"/>
        <v>N/A</v>
      </c>
      <c r="W32" s="91" t="e">
        <f ca="1">_xll.BDP("CDSW"&amp;$J32&amp;" "&amp;RIGHT(swapLink,LEN(swapLink)-FIND("/",swapLink))&amp;" curncy","bid")</f>
        <v>#NAME?</v>
      </c>
      <c r="X32" s="91" t="e">
        <f ca="1">_xll.BDP("CDSW"&amp;$J32&amp;" "&amp;RIGHT(swapLink,LEN(swapLink)-FIND("/",swapLink))&amp;" curncy","ask")</f>
        <v>#NAME?</v>
      </c>
      <c r="Y32" s="91" t="str">
        <f t="shared" ca="1" si="6"/>
        <v>N/A</v>
      </c>
      <c r="Z32" s="91" t="e">
        <f ca="1">_xll.BDP("SFSW"&amp;$J32&amp;" "&amp;RIGHT(swapLink,LEN(swapLink)-FIND("/",swapLink))&amp;" curncy","bid")</f>
        <v>#NAME?</v>
      </c>
      <c r="AA32" s="91" t="e">
        <f ca="1">_xll.BDP("SFSW"&amp;$J32&amp;" "&amp;RIGHT(swapLink,LEN(swapLink)-FIND("/",swapLink))&amp;" curncy","ask")</f>
        <v>#NAME?</v>
      </c>
      <c r="AB32" s="91" t="str">
        <f t="shared" ca="1" si="7"/>
        <v>N/A</v>
      </c>
      <c r="AC32" s="91" t="e">
        <f ca="1">_xll.BDP("ADSW"&amp;$J32&amp;" "&amp;RIGHT(swapLink,LEN(swapLink)-FIND("/",swapLink))&amp;" curncy","bid")</f>
        <v>#NAME?</v>
      </c>
      <c r="AD32" s="91" t="e">
        <f ca="1">_xll.BDP("ADSW"&amp;$J32&amp;" "&amp;RIGHT(swapLink,LEN(swapLink)-FIND("/",swapLink))&amp;" curncy","ask")</f>
        <v>#NAME?</v>
      </c>
      <c r="AE32" s="92" t="str">
        <f t="shared" ca="1" si="8"/>
        <v>N/A</v>
      </c>
      <c r="AF32" s="191"/>
      <c r="AG32" s="191"/>
      <c r="AH32" s="191"/>
      <c r="AI32" s="191"/>
      <c r="AJ32" s="191"/>
      <c r="AK32" s="191"/>
      <c r="AL32" s="191"/>
      <c r="AM32" s="191"/>
    </row>
    <row r="33" spans="1:39" ht="15" customHeight="1" x14ac:dyDescent="0.25">
      <c r="A33" s="13"/>
      <c r="B33" s="15"/>
      <c r="C33" s="15"/>
      <c r="D33" s="13"/>
      <c r="E33" s="13"/>
      <c r="F33" s="82" t="s">
        <v>92</v>
      </c>
      <c r="G33" s="83" t="e">
        <f ca="1">_xll.BDP("US0002M index",LiborPriceLink)</f>
        <v>#NAME?</v>
      </c>
      <c r="H33" s="84" t="e">
        <f ca="1">_xll.BDP("EE0002M index",LiborPriceLink)</f>
        <v>#NAME?</v>
      </c>
      <c r="J33" s="90">
        <v>5</v>
      </c>
      <c r="K33" s="93" t="e">
        <f ca="1">_xll.BDP(rateSpreadLink&amp;$J33&amp;" "&amp;LEFT(swapLink,LEN(swapLink)-FIND("/",swapLink))&amp;" curncy","bid")</f>
        <v>#NAME?</v>
      </c>
      <c r="L33" s="93" t="e">
        <f ca="1">_xll.BDP(rateSpreadLink&amp;$J33&amp;" "&amp;LEFT(swapLink,LEN(swapLink)-FIND("/",swapLink))&amp;" curncy","ask")</f>
        <v>#NAME?</v>
      </c>
      <c r="M33" s="93" t="e">
        <f t="shared" ca="1" si="2"/>
        <v>#NAME?</v>
      </c>
      <c r="N33" s="93" t="e">
        <f ca="1">_xll.BDP("EUSA"&amp;$J33&amp;" "&amp;RIGHT(swapLink,LEN(swapLink)-FIND("/",swapLink))&amp;" curncy","bid")</f>
        <v>#NAME?</v>
      </c>
      <c r="O33" s="93" t="e">
        <f ca="1">_xll.BDP("EUSA"&amp;$J34&amp;" "&amp;RIGHT(swapLink,LEN(swapLink)-FIND("/",swapLink))&amp;" curncy","ask")</f>
        <v>#NAME?</v>
      </c>
      <c r="P33" s="93" t="str">
        <f t="shared" ca="1" si="3"/>
        <v>N/A</v>
      </c>
      <c r="Q33" s="93" t="e">
        <f ca="1">_xll.BDP("BPSW"&amp;$J33&amp;" "&amp;RIGHT(swapLink,LEN(swapLink)-FIND("/",swapLink))&amp;" curncy","bid")</f>
        <v>#NAME?</v>
      </c>
      <c r="R33" s="93" t="e">
        <f ca="1">_xll.BDP("BPSW"&amp;$J33&amp;" "&amp;RIGHT(swapLink,LEN(swapLink)-FIND("/",swapLink))&amp;" curncy","ask")</f>
        <v>#NAME?</v>
      </c>
      <c r="S33" s="93" t="str">
        <f t="shared" ca="1" si="4"/>
        <v>N/A</v>
      </c>
      <c r="T33" s="93" t="e">
        <f ca="1">_xll.BDP("JYSW"&amp;$J33&amp;" "&amp;RIGHT(swapLink,LEN(swapLink)-FIND("/",swapLink))&amp;" curncy","bid")</f>
        <v>#NAME?</v>
      </c>
      <c r="U33" s="93" t="e">
        <f ca="1">_xll.BDP("JYSW"&amp;$J33&amp;" "&amp;RIGHT(swapLink,LEN(swapLink)-FIND("/",swapLink))&amp;" curncy","ask")</f>
        <v>#NAME?</v>
      </c>
      <c r="V33" s="93" t="str">
        <f t="shared" ca="1" si="5"/>
        <v>N/A</v>
      </c>
      <c r="W33" s="93" t="e">
        <f ca="1">_xll.BDP("CDSW"&amp;$J33&amp;" "&amp;RIGHT(swapLink,LEN(swapLink)-FIND("/",swapLink))&amp;" curncy","bid")</f>
        <v>#NAME?</v>
      </c>
      <c r="X33" s="93" t="e">
        <f ca="1">_xll.BDP("CDSW"&amp;$J33&amp;" "&amp;RIGHT(swapLink,LEN(swapLink)-FIND("/",swapLink))&amp;" curncy","ask")</f>
        <v>#NAME?</v>
      </c>
      <c r="Y33" s="93" t="str">
        <f t="shared" ca="1" si="6"/>
        <v>N/A</v>
      </c>
      <c r="Z33" s="93" t="e">
        <f ca="1">_xll.BDP("SFSW"&amp;$J33&amp;" "&amp;RIGHT(swapLink,LEN(swapLink)-FIND("/",swapLink))&amp;" curncy","bid")</f>
        <v>#NAME?</v>
      </c>
      <c r="AA33" s="93" t="e">
        <f ca="1">_xll.BDP("SFSW"&amp;$J33&amp;" "&amp;RIGHT(swapLink,LEN(swapLink)-FIND("/",swapLink))&amp;" curncy","ask")</f>
        <v>#NAME?</v>
      </c>
      <c r="AB33" s="93" t="str">
        <f t="shared" ca="1" si="7"/>
        <v>N/A</v>
      </c>
      <c r="AC33" s="93" t="e">
        <f ca="1">_xll.BDP("ADSW"&amp;$J33&amp;" "&amp;RIGHT(swapLink,LEN(swapLink)-FIND("/",swapLink))&amp;" curncy","bid")</f>
        <v>#NAME?</v>
      </c>
      <c r="AD33" s="93" t="e">
        <f ca="1">_xll.BDP("ADSW"&amp;$J33&amp;" "&amp;RIGHT(swapLink,LEN(swapLink)-FIND("/",swapLink))&amp;" curncy","ask")</f>
        <v>#NAME?</v>
      </c>
      <c r="AE33" s="94" t="str">
        <f t="shared" ca="1" si="8"/>
        <v>N/A</v>
      </c>
      <c r="AF33" s="191"/>
      <c r="AG33" s="191"/>
      <c r="AH33" s="191"/>
      <c r="AI33" s="191"/>
      <c r="AJ33" s="191"/>
      <c r="AK33" s="191"/>
      <c r="AL33" s="191"/>
      <c r="AM33" s="191"/>
    </row>
    <row r="34" spans="1:39" ht="15" customHeight="1" x14ac:dyDescent="0.25">
      <c r="A34" s="13"/>
      <c r="B34" s="15"/>
      <c r="C34" s="15"/>
      <c r="D34" s="13"/>
      <c r="E34" s="13"/>
      <c r="F34" s="82" t="s">
        <v>21</v>
      </c>
      <c r="G34" s="88" t="e">
        <f ca="1">_xll.BDP("US0003M index",LiborPriceLink)</f>
        <v>#NAME?</v>
      </c>
      <c r="H34" s="89" t="e">
        <f ca="1">_xll.BDP("EE0003M index",LiborPriceLink)</f>
        <v>#NAME?</v>
      </c>
      <c r="J34" s="90">
        <v>6</v>
      </c>
      <c r="K34" s="91" t="e">
        <f ca="1">_xll.BDP(rateSpreadLink&amp;$J34&amp;" "&amp;LEFT(swapLink,LEN(swapLink)-FIND("/",swapLink))&amp;" curncy","bid")</f>
        <v>#NAME?</v>
      </c>
      <c r="L34" s="91" t="e">
        <f ca="1">_xll.BDP(rateSpreadLink&amp;$J34&amp;" "&amp;LEFT(swapLink,LEN(swapLink)-FIND("/",swapLink))&amp;" curncy","ask")</f>
        <v>#NAME?</v>
      </c>
      <c r="M34" s="91" t="e">
        <f t="shared" ca="1" si="2"/>
        <v>#NAME?</v>
      </c>
      <c r="N34" s="91" t="e">
        <f ca="1">_xll.BDP("EUSA"&amp;$J34&amp;" "&amp;RIGHT(swapLink,LEN(swapLink)-FIND("/",swapLink))&amp;" curncy","bid")</f>
        <v>#NAME?</v>
      </c>
      <c r="O34" s="91" t="e">
        <f ca="1">_xll.BDP("EUSA"&amp;$J35&amp;" "&amp;RIGHT(swapLink,LEN(swapLink)-FIND("/",swapLink))&amp;" curncy","ask")</f>
        <v>#NAME?</v>
      </c>
      <c r="P34" s="91" t="str">
        <f t="shared" ca="1" si="3"/>
        <v>N/A</v>
      </c>
      <c r="Q34" s="91" t="e">
        <f ca="1">_xll.BDP("BPSW"&amp;$J34&amp;" "&amp;RIGHT(swapLink,LEN(swapLink)-FIND("/",swapLink))&amp;" curncy","bid")</f>
        <v>#NAME?</v>
      </c>
      <c r="R34" s="91" t="e">
        <f ca="1">_xll.BDP("BPSW"&amp;$J34&amp;" "&amp;RIGHT(swapLink,LEN(swapLink)-FIND("/",swapLink))&amp;" curncy","ask")</f>
        <v>#NAME?</v>
      </c>
      <c r="S34" s="91" t="str">
        <f t="shared" ca="1" si="4"/>
        <v>N/A</v>
      </c>
      <c r="T34" s="91" t="e">
        <f ca="1">_xll.BDP("JYSW"&amp;$J34&amp;" "&amp;RIGHT(swapLink,LEN(swapLink)-FIND("/",swapLink))&amp;" curncy","bid")</f>
        <v>#NAME?</v>
      </c>
      <c r="U34" s="91" t="e">
        <f ca="1">_xll.BDP("JYSW"&amp;$J34&amp;" "&amp;RIGHT(swapLink,LEN(swapLink)-FIND("/",swapLink))&amp;" curncy","ask")</f>
        <v>#NAME?</v>
      </c>
      <c r="V34" s="91" t="str">
        <f t="shared" ca="1" si="5"/>
        <v>N/A</v>
      </c>
      <c r="W34" s="91" t="e">
        <f ca="1">_xll.BDP("CDSW"&amp;$J34&amp;" "&amp;RIGHT(swapLink,LEN(swapLink)-FIND("/",swapLink))&amp;" curncy","bid")</f>
        <v>#NAME?</v>
      </c>
      <c r="X34" s="91" t="e">
        <f ca="1">_xll.BDP("CDSW"&amp;$J34&amp;" "&amp;RIGHT(swapLink,LEN(swapLink)-FIND("/",swapLink))&amp;" curncy","ask")</f>
        <v>#NAME?</v>
      </c>
      <c r="Y34" s="91" t="str">
        <f t="shared" ca="1" si="6"/>
        <v>N/A</v>
      </c>
      <c r="Z34" s="91" t="e">
        <f ca="1">_xll.BDP("SFSW"&amp;$J34&amp;" "&amp;RIGHT(swapLink,LEN(swapLink)-FIND("/",swapLink))&amp;" curncy","bid")</f>
        <v>#NAME?</v>
      </c>
      <c r="AA34" s="91" t="e">
        <f ca="1">_xll.BDP("SFSW"&amp;$J34&amp;" "&amp;RIGHT(swapLink,LEN(swapLink)-FIND("/",swapLink))&amp;" curncy","ask")</f>
        <v>#NAME?</v>
      </c>
      <c r="AB34" s="91" t="str">
        <f t="shared" ca="1" si="7"/>
        <v>N/A</v>
      </c>
      <c r="AC34" s="91" t="e">
        <f ca="1">_xll.BDP("ADSW"&amp;$J34&amp;" "&amp;RIGHT(swapLink,LEN(swapLink)-FIND("/",swapLink))&amp;" curncy","bid")</f>
        <v>#NAME?</v>
      </c>
      <c r="AD34" s="91" t="e">
        <f ca="1">_xll.BDP("ADSW"&amp;$J34&amp;" "&amp;RIGHT(swapLink,LEN(swapLink)-FIND("/",swapLink))&amp;" curncy","ask")</f>
        <v>#NAME?</v>
      </c>
      <c r="AE34" s="92" t="str">
        <f t="shared" ca="1" si="8"/>
        <v>N/A</v>
      </c>
      <c r="AF34" s="191"/>
      <c r="AG34" s="191"/>
      <c r="AH34" s="191"/>
      <c r="AI34" s="191"/>
      <c r="AJ34" s="191"/>
      <c r="AK34" s="191"/>
      <c r="AL34" s="191"/>
      <c r="AM34" s="191"/>
    </row>
    <row r="35" spans="1:39" ht="15" customHeight="1" x14ac:dyDescent="0.25">
      <c r="A35" s="13"/>
      <c r="B35" s="15"/>
      <c r="C35" s="15"/>
      <c r="D35" s="13"/>
      <c r="E35" s="13"/>
      <c r="F35" s="82" t="s">
        <v>22</v>
      </c>
      <c r="G35" s="83" t="s">
        <v>252</v>
      </c>
      <c r="H35" s="84" t="s">
        <v>252</v>
      </c>
      <c r="J35" s="90">
        <v>7</v>
      </c>
      <c r="K35" s="93" t="e">
        <f ca="1">_xll.BDP(rateSpreadLink&amp;$J35&amp;" "&amp;LEFT(swapLink,LEN(swapLink)-FIND("/",swapLink))&amp;" curncy","bid")</f>
        <v>#NAME?</v>
      </c>
      <c r="L35" s="93" t="e">
        <f ca="1">_xll.BDP(rateSpreadLink&amp;$J35&amp;" "&amp;LEFT(swapLink,LEN(swapLink)-FIND("/",swapLink))&amp;" curncy","ask")</f>
        <v>#NAME?</v>
      </c>
      <c r="M35" s="93" t="e">
        <f t="shared" ca="1" si="2"/>
        <v>#NAME?</v>
      </c>
      <c r="N35" s="93" t="e">
        <f ca="1">_xll.BDP("EUSA"&amp;$J35&amp;" "&amp;RIGHT(swapLink,LEN(swapLink)-FIND("/",swapLink))&amp;" curncy","bid")</f>
        <v>#NAME?</v>
      </c>
      <c r="O35" s="93" t="e">
        <f ca="1">_xll.BDP("EUSA"&amp;$J36&amp;" "&amp;RIGHT(swapLink,LEN(swapLink)-FIND("/",swapLink))&amp;" curncy","ask")</f>
        <v>#NAME?</v>
      </c>
      <c r="P35" s="93" t="str">
        <f t="shared" ca="1" si="3"/>
        <v>N/A</v>
      </c>
      <c r="Q35" s="93" t="e">
        <f ca="1">_xll.BDP("BPSW"&amp;$J35&amp;" "&amp;RIGHT(swapLink,LEN(swapLink)-FIND("/",swapLink))&amp;" curncy","bid")</f>
        <v>#NAME?</v>
      </c>
      <c r="R35" s="93" t="e">
        <f ca="1">_xll.BDP("BPSW"&amp;$J35&amp;" "&amp;RIGHT(swapLink,LEN(swapLink)-FIND("/",swapLink))&amp;" curncy","ask")</f>
        <v>#NAME?</v>
      </c>
      <c r="S35" s="93" t="str">
        <f t="shared" ca="1" si="4"/>
        <v>N/A</v>
      </c>
      <c r="T35" s="93" t="e">
        <f ca="1">_xll.BDP("JYSW"&amp;$J35&amp;" "&amp;RIGHT(swapLink,LEN(swapLink)-FIND("/",swapLink))&amp;" curncy","bid")</f>
        <v>#NAME?</v>
      </c>
      <c r="U35" s="93" t="e">
        <f ca="1">_xll.BDP("JYSW"&amp;$J35&amp;" "&amp;RIGHT(swapLink,LEN(swapLink)-FIND("/",swapLink))&amp;" curncy","ask")</f>
        <v>#NAME?</v>
      </c>
      <c r="V35" s="93" t="str">
        <f t="shared" ca="1" si="5"/>
        <v>N/A</v>
      </c>
      <c r="W35" s="93" t="e">
        <f ca="1">_xll.BDP("CDSW"&amp;$J35&amp;" "&amp;RIGHT(swapLink,LEN(swapLink)-FIND("/",swapLink))&amp;" curncy","bid")</f>
        <v>#NAME?</v>
      </c>
      <c r="X35" s="93" t="e">
        <f ca="1">_xll.BDP("CDSW"&amp;$J35&amp;" "&amp;RIGHT(swapLink,LEN(swapLink)-FIND("/",swapLink))&amp;" curncy","ask")</f>
        <v>#NAME?</v>
      </c>
      <c r="Y35" s="93" t="str">
        <f t="shared" ca="1" si="6"/>
        <v>N/A</v>
      </c>
      <c r="Z35" s="93" t="e">
        <f ca="1">_xll.BDP("SFSW"&amp;$J35&amp;" "&amp;RIGHT(swapLink,LEN(swapLink)-FIND("/",swapLink))&amp;" curncy","bid")</f>
        <v>#NAME?</v>
      </c>
      <c r="AA35" s="93" t="e">
        <f ca="1">_xll.BDP("SFSW"&amp;$J35&amp;" "&amp;RIGHT(swapLink,LEN(swapLink)-FIND("/",swapLink))&amp;" curncy","ask")</f>
        <v>#NAME?</v>
      </c>
      <c r="AB35" s="93" t="str">
        <f t="shared" ca="1" si="7"/>
        <v>N/A</v>
      </c>
      <c r="AC35" s="93" t="e">
        <f ca="1">_xll.BDP("ADSW"&amp;$J35&amp;" "&amp;RIGHT(swapLink,LEN(swapLink)-FIND("/",swapLink))&amp;" curncy","bid")</f>
        <v>#NAME?</v>
      </c>
      <c r="AD35" s="93" t="e">
        <f ca="1">_xll.BDP("ADSW"&amp;$J35&amp;" "&amp;RIGHT(swapLink,LEN(swapLink)-FIND("/",swapLink))&amp;" curncy","ask")</f>
        <v>#NAME?</v>
      </c>
      <c r="AE35" s="94" t="str">
        <f t="shared" ca="1" si="8"/>
        <v>N/A</v>
      </c>
      <c r="AF35" s="191"/>
      <c r="AG35" s="191"/>
      <c r="AH35" s="191"/>
      <c r="AI35" s="191"/>
      <c r="AJ35" s="191"/>
      <c r="AK35" s="191"/>
      <c r="AL35" s="191"/>
      <c r="AM35" s="191"/>
    </row>
    <row r="36" spans="1:39" ht="15" customHeight="1" x14ac:dyDescent="0.25">
      <c r="A36" s="13"/>
      <c r="B36" s="15"/>
      <c r="C36" s="15"/>
      <c r="D36" s="13"/>
      <c r="E36" s="13"/>
      <c r="F36" s="82" t="s">
        <v>93</v>
      </c>
      <c r="G36" s="95" t="s">
        <v>252</v>
      </c>
      <c r="H36" s="96" t="s">
        <v>252</v>
      </c>
      <c r="J36" s="90">
        <v>8</v>
      </c>
      <c r="K36" s="91" t="e">
        <f ca="1">_xll.BDP(rateSpreadLink&amp;$J36&amp;" "&amp;LEFT(swapLink,LEN(swapLink)-FIND("/",swapLink))&amp;" curncy","bid")</f>
        <v>#NAME?</v>
      </c>
      <c r="L36" s="91" t="e">
        <f ca="1">_xll.BDP(rateSpreadLink&amp;$J36&amp;" "&amp;LEFT(swapLink,LEN(swapLink)-FIND("/",swapLink))&amp;" curncy","ask")</f>
        <v>#NAME?</v>
      </c>
      <c r="M36" s="91" t="e">
        <f t="shared" ca="1" si="2"/>
        <v>#NAME?</v>
      </c>
      <c r="N36" s="91" t="e">
        <f ca="1">_xll.BDP("EUSA"&amp;$J36&amp;" "&amp;RIGHT(swapLink,LEN(swapLink)-FIND("/",swapLink))&amp;" curncy","bid")</f>
        <v>#NAME?</v>
      </c>
      <c r="O36" s="91" t="e">
        <f ca="1">_xll.BDP("EUSA"&amp;$J37&amp;" "&amp;RIGHT(swapLink,LEN(swapLink)-FIND("/",swapLink))&amp;" curncy","ask")</f>
        <v>#NAME?</v>
      </c>
      <c r="P36" s="91" t="str">
        <f t="shared" ca="1" si="3"/>
        <v>N/A</v>
      </c>
      <c r="Q36" s="91" t="e">
        <f ca="1">_xll.BDP("BPSW"&amp;$J36&amp;" "&amp;RIGHT(swapLink,LEN(swapLink)-FIND("/",swapLink))&amp;" curncy","bid")</f>
        <v>#NAME?</v>
      </c>
      <c r="R36" s="91" t="e">
        <f ca="1">_xll.BDP("BPSW"&amp;$J36&amp;" "&amp;RIGHT(swapLink,LEN(swapLink)-FIND("/",swapLink))&amp;" curncy","ask")</f>
        <v>#NAME?</v>
      </c>
      <c r="S36" s="91" t="str">
        <f t="shared" ca="1" si="4"/>
        <v>N/A</v>
      </c>
      <c r="T36" s="91" t="e">
        <f ca="1">_xll.BDP("JYSW"&amp;$J36&amp;" "&amp;RIGHT(swapLink,LEN(swapLink)-FIND("/",swapLink))&amp;" curncy","bid")</f>
        <v>#NAME?</v>
      </c>
      <c r="U36" s="91" t="e">
        <f ca="1">_xll.BDP("JYSW"&amp;$J36&amp;" "&amp;RIGHT(swapLink,LEN(swapLink)-FIND("/",swapLink))&amp;" curncy","ask")</f>
        <v>#NAME?</v>
      </c>
      <c r="V36" s="91" t="str">
        <f t="shared" ca="1" si="5"/>
        <v>N/A</v>
      </c>
      <c r="W36" s="91" t="e">
        <f ca="1">_xll.BDP("CDSW"&amp;$J36&amp;" "&amp;RIGHT(swapLink,LEN(swapLink)-FIND("/",swapLink))&amp;" curncy","bid")</f>
        <v>#NAME?</v>
      </c>
      <c r="X36" s="91" t="e">
        <f ca="1">_xll.BDP("CDSW"&amp;$J36&amp;" "&amp;RIGHT(swapLink,LEN(swapLink)-FIND("/",swapLink))&amp;" curncy","ask")</f>
        <v>#NAME?</v>
      </c>
      <c r="Y36" s="91" t="str">
        <f t="shared" ca="1" si="6"/>
        <v>N/A</v>
      </c>
      <c r="Z36" s="91" t="e">
        <f ca="1">_xll.BDP("SFSW"&amp;$J36&amp;" "&amp;RIGHT(swapLink,LEN(swapLink)-FIND("/",swapLink))&amp;" curncy","bid")</f>
        <v>#NAME?</v>
      </c>
      <c r="AA36" s="91" t="e">
        <f ca="1">_xll.BDP("SFSW"&amp;$J36&amp;" "&amp;RIGHT(swapLink,LEN(swapLink)-FIND("/",swapLink))&amp;" curncy","ask")</f>
        <v>#NAME?</v>
      </c>
      <c r="AB36" s="91" t="str">
        <f t="shared" ca="1" si="7"/>
        <v>N/A</v>
      </c>
      <c r="AC36" s="91" t="e">
        <f ca="1">_xll.BDP("ADSW"&amp;$J36&amp;" "&amp;RIGHT(swapLink,LEN(swapLink)-FIND("/",swapLink))&amp;" curncy","bid")</f>
        <v>#NAME?</v>
      </c>
      <c r="AD36" s="91" t="e">
        <f ca="1">_xll.BDP("ADSW"&amp;$J36&amp;" "&amp;RIGHT(swapLink,LEN(swapLink)-FIND("/",swapLink))&amp;" curncy","ask")</f>
        <v>#NAME?</v>
      </c>
      <c r="AE36" s="92" t="str">
        <f t="shared" ca="1" si="8"/>
        <v>N/A</v>
      </c>
      <c r="AF36" s="191"/>
      <c r="AG36" s="191"/>
      <c r="AH36" s="191"/>
      <c r="AI36" s="191"/>
      <c r="AJ36" s="191"/>
      <c r="AK36" s="191"/>
      <c r="AL36" s="191"/>
      <c r="AM36" s="191"/>
    </row>
    <row r="37" spans="1:39" ht="15" customHeight="1" x14ac:dyDescent="0.25">
      <c r="A37" s="13"/>
      <c r="B37" s="15"/>
      <c r="C37" s="15"/>
      <c r="D37" s="13"/>
      <c r="E37" s="13"/>
      <c r="F37" s="82" t="s">
        <v>94</v>
      </c>
      <c r="G37" s="83" t="e">
        <f ca="1">_xll.BDP("US0006M index",LiborPriceLink)</f>
        <v>#NAME?</v>
      </c>
      <c r="H37" s="84" t="e">
        <f ca="1">_xll.BDP("EE0006M index",LiborPriceLink)</f>
        <v>#NAME?</v>
      </c>
      <c r="J37" s="90">
        <v>9</v>
      </c>
      <c r="K37" s="93" t="e">
        <f ca="1">_xll.BDP(rateSpreadLink&amp;$J37&amp;" "&amp;LEFT(swapLink,LEN(swapLink)-FIND("/",swapLink))&amp;" curncy","bid")</f>
        <v>#NAME?</v>
      </c>
      <c r="L37" s="93" t="e">
        <f ca="1">_xll.BDP(rateSpreadLink&amp;$J37&amp;" "&amp;LEFT(swapLink,LEN(swapLink)-FIND("/",swapLink))&amp;" curncy","ask")</f>
        <v>#NAME?</v>
      </c>
      <c r="M37" s="93" t="e">
        <f t="shared" ca="1" si="2"/>
        <v>#NAME?</v>
      </c>
      <c r="N37" s="93" t="e">
        <f ca="1">_xll.BDP("EUSA"&amp;$J37&amp;" "&amp;RIGHT(swapLink,LEN(swapLink)-FIND("/",swapLink))&amp;" curncy","bid")</f>
        <v>#NAME?</v>
      </c>
      <c r="O37" s="93" t="e">
        <f ca="1">_xll.BDP("EUSA"&amp;$J38&amp;" "&amp;RIGHT(swapLink,LEN(swapLink)-FIND("/",swapLink))&amp;" curncy","ask")</f>
        <v>#NAME?</v>
      </c>
      <c r="P37" s="93" t="str">
        <f t="shared" ca="1" si="3"/>
        <v>N/A</v>
      </c>
      <c r="Q37" s="93" t="e">
        <f ca="1">_xll.BDP("BPSW"&amp;$J37&amp;" "&amp;RIGHT(swapLink,LEN(swapLink)-FIND("/",swapLink))&amp;" curncy","bid")</f>
        <v>#NAME?</v>
      </c>
      <c r="R37" s="93" t="e">
        <f ca="1">_xll.BDP("BPSW"&amp;$J37&amp;" "&amp;RIGHT(swapLink,LEN(swapLink)-FIND("/",swapLink))&amp;" curncy","ask")</f>
        <v>#NAME?</v>
      </c>
      <c r="S37" s="93" t="str">
        <f t="shared" ca="1" si="4"/>
        <v>N/A</v>
      </c>
      <c r="T37" s="93" t="e">
        <f ca="1">_xll.BDP("JYSW"&amp;$J37&amp;" "&amp;RIGHT(swapLink,LEN(swapLink)-FIND("/",swapLink))&amp;" curncy","bid")</f>
        <v>#NAME?</v>
      </c>
      <c r="U37" s="93" t="e">
        <f ca="1">_xll.BDP("JYSW"&amp;$J37&amp;" "&amp;RIGHT(swapLink,LEN(swapLink)-FIND("/",swapLink))&amp;" curncy","ask")</f>
        <v>#NAME?</v>
      </c>
      <c r="V37" s="93" t="str">
        <f t="shared" ca="1" si="5"/>
        <v>N/A</v>
      </c>
      <c r="W37" s="93" t="e">
        <f ca="1">_xll.BDP("CDSW"&amp;$J37&amp;" "&amp;RIGHT(swapLink,LEN(swapLink)-FIND("/",swapLink))&amp;" curncy","bid")</f>
        <v>#NAME?</v>
      </c>
      <c r="X37" s="93" t="e">
        <f ca="1">_xll.BDP("CDSW"&amp;$J37&amp;" "&amp;RIGHT(swapLink,LEN(swapLink)-FIND("/",swapLink))&amp;" curncy","ask")</f>
        <v>#NAME?</v>
      </c>
      <c r="Y37" s="93" t="str">
        <f t="shared" ca="1" si="6"/>
        <v>N/A</v>
      </c>
      <c r="Z37" s="93" t="e">
        <f ca="1">_xll.BDP("SFSW"&amp;$J37&amp;" "&amp;RIGHT(swapLink,LEN(swapLink)-FIND("/",swapLink))&amp;" curncy","bid")</f>
        <v>#NAME?</v>
      </c>
      <c r="AA37" s="93" t="e">
        <f ca="1">_xll.BDP("SFSW"&amp;$J37&amp;" "&amp;RIGHT(swapLink,LEN(swapLink)-FIND("/",swapLink))&amp;" curncy","ask")</f>
        <v>#NAME?</v>
      </c>
      <c r="AB37" s="93" t="str">
        <f t="shared" ca="1" si="7"/>
        <v>N/A</v>
      </c>
      <c r="AC37" s="93" t="e">
        <f ca="1">_xll.BDP("ADSW"&amp;$J37&amp;" "&amp;RIGHT(swapLink,LEN(swapLink)-FIND("/",swapLink))&amp;" curncy","bid")</f>
        <v>#NAME?</v>
      </c>
      <c r="AD37" s="93" t="e">
        <f ca="1">_xll.BDP("ADSW"&amp;$J37&amp;" "&amp;RIGHT(swapLink,LEN(swapLink)-FIND("/",swapLink))&amp;" curncy","ask")</f>
        <v>#NAME?</v>
      </c>
      <c r="AE37" s="94" t="str">
        <f t="shared" ca="1" si="8"/>
        <v>N/A</v>
      </c>
      <c r="AF37" s="191"/>
      <c r="AG37" s="191"/>
      <c r="AH37" s="191"/>
      <c r="AI37" s="191"/>
      <c r="AJ37" s="191"/>
      <c r="AK37" s="191"/>
      <c r="AL37" s="191"/>
      <c r="AM37" s="191"/>
    </row>
    <row r="38" spans="1:39" ht="15" customHeight="1" x14ac:dyDescent="0.25">
      <c r="A38" s="13"/>
      <c r="B38" s="15"/>
      <c r="C38" s="15"/>
      <c r="D38" s="13"/>
      <c r="E38" s="13"/>
      <c r="F38" s="82" t="s">
        <v>95</v>
      </c>
      <c r="G38" s="95" t="s">
        <v>252</v>
      </c>
      <c r="H38" s="96" t="s">
        <v>252</v>
      </c>
      <c r="J38" s="90">
        <v>10</v>
      </c>
      <c r="K38" s="91" t="e">
        <f ca="1">_xll.BDP(rateSpreadLink&amp;$J38&amp;" "&amp;LEFT(swapLink,LEN(swapLink)-FIND("/",swapLink))&amp;" curncy","bid")</f>
        <v>#NAME?</v>
      </c>
      <c r="L38" s="91" t="e">
        <f ca="1">_xll.BDP(rateSpreadLink&amp;$J38&amp;" "&amp;LEFT(swapLink,LEN(swapLink)-FIND("/",swapLink))&amp;" curncy","ask")</f>
        <v>#NAME?</v>
      </c>
      <c r="M38" s="91" t="e">
        <f t="shared" ca="1" si="2"/>
        <v>#NAME?</v>
      </c>
      <c r="N38" s="91" t="e">
        <f ca="1">_xll.BDP("EUSA"&amp;$J38&amp;" "&amp;RIGHT(swapLink,LEN(swapLink)-FIND("/",swapLink))&amp;" curncy","bid")</f>
        <v>#NAME?</v>
      </c>
      <c r="O38" s="91" t="e">
        <f ca="1">_xll.BDP("EUSA"&amp;$J39&amp;" "&amp;RIGHT(swapLink,LEN(swapLink)-FIND("/",swapLink))&amp;" curncy","ask")</f>
        <v>#NAME?</v>
      </c>
      <c r="P38" s="91" t="str">
        <f t="shared" ca="1" si="3"/>
        <v>N/A</v>
      </c>
      <c r="Q38" s="91" t="e">
        <f ca="1">_xll.BDP("BPSW"&amp;$J38&amp;" "&amp;RIGHT(swapLink,LEN(swapLink)-FIND("/",swapLink))&amp;" curncy","bid")</f>
        <v>#NAME?</v>
      </c>
      <c r="R38" s="91" t="e">
        <f ca="1">_xll.BDP("BPSW"&amp;$J38&amp;" "&amp;RIGHT(swapLink,LEN(swapLink)-FIND("/",swapLink))&amp;" curncy","ask")</f>
        <v>#NAME?</v>
      </c>
      <c r="S38" s="91" t="str">
        <f t="shared" ca="1" si="4"/>
        <v>N/A</v>
      </c>
      <c r="T38" s="91" t="e">
        <f ca="1">_xll.BDP("JYSW"&amp;$J38&amp;" "&amp;RIGHT(swapLink,LEN(swapLink)-FIND("/",swapLink))&amp;" curncy","bid")</f>
        <v>#NAME?</v>
      </c>
      <c r="U38" s="91" t="e">
        <f ca="1">_xll.BDP("JYSW"&amp;$J38&amp;" "&amp;RIGHT(swapLink,LEN(swapLink)-FIND("/",swapLink))&amp;" curncy","ask")</f>
        <v>#NAME?</v>
      </c>
      <c r="V38" s="91" t="str">
        <f t="shared" ca="1" si="5"/>
        <v>N/A</v>
      </c>
      <c r="W38" s="91" t="e">
        <f ca="1">_xll.BDP("CDSW"&amp;$J38&amp;" "&amp;RIGHT(swapLink,LEN(swapLink)-FIND("/",swapLink))&amp;" curncy","bid")</f>
        <v>#NAME?</v>
      </c>
      <c r="X38" s="91" t="e">
        <f ca="1">_xll.BDP("CDSW"&amp;$J38&amp;" "&amp;RIGHT(swapLink,LEN(swapLink)-FIND("/",swapLink))&amp;" curncy","ask")</f>
        <v>#NAME?</v>
      </c>
      <c r="Y38" s="91" t="str">
        <f t="shared" ca="1" si="6"/>
        <v>N/A</v>
      </c>
      <c r="Z38" s="91" t="e">
        <f ca="1">_xll.BDP("SFSW"&amp;$J38&amp;" "&amp;RIGHT(swapLink,LEN(swapLink)-FIND("/",swapLink))&amp;" curncy","bid")</f>
        <v>#NAME?</v>
      </c>
      <c r="AA38" s="91" t="e">
        <f ca="1">_xll.BDP("SFSW"&amp;$J38&amp;" "&amp;RIGHT(swapLink,LEN(swapLink)-FIND("/",swapLink))&amp;" curncy","ask")</f>
        <v>#NAME?</v>
      </c>
      <c r="AB38" s="91" t="str">
        <f t="shared" ca="1" si="7"/>
        <v>N/A</v>
      </c>
      <c r="AC38" s="91" t="e">
        <f ca="1">_xll.BDP("ADSW"&amp;$J38&amp;" "&amp;RIGHT(swapLink,LEN(swapLink)-FIND("/",swapLink))&amp;" curncy","bid")</f>
        <v>#NAME?</v>
      </c>
      <c r="AD38" s="91" t="e">
        <f ca="1">_xll.BDP("ADSW"&amp;$J38&amp;" "&amp;RIGHT(swapLink,LEN(swapLink)-FIND("/",swapLink))&amp;" curncy","ask")</f>
        <v>#NAME?</v>
      </c>
      <c r="AE38" s="92" t="str">
        <f t="shared" ca="1" si="8"/>
        <v>N/A</v>
      </c>
      <c r="AF38" s="191"/>
      <c r="AG38" s="191"/>
      <c r="AH38" s="191"/>
      <c r="AI38" s="191"/>
      <c r="AJ38" s="191"/>
      <c r="AK38" s="191"/>
      <c r="AL38" s="191"/>
      <c r="AM38" s="191"/>
    </row>
    <row r="39" spans="1:39" ht="15" customHeight="1" x14ac:dyDescent="0.25">
      <c r="A39" s="13"/>
      <c r="B39" s="15"/>
      <c r="C39" s="15"/>
      <c r="D39" s="13"/>
      <c r="E39" s="13"/>
      <c r="F39" s="82" t="s">
        <v>96</v>
      </c>
      <c r="G39" s="83" t="s">
        <v>252</v>
      </c>
      <c r="H39" s="84" t="s">
        <v>253</v>
      </c>
      <c r="J39" s="90">
        <v>12</v>
      </c>
      <c r="K39" s="93" t="e">
        <f ca="1">_xll.BDP(rateSpreadLink&amp;$J39&amp;" "&amp;LEFT(swapLink,LEN(swapLink)-FIND("/",swapLink))&amp;" curncy","bid")</f>
        <v>#NAME?</v>
      </c>
      <c r="L39" s="93" t="e">
        <f ca="1">_xll.BDP(rateSpreadLink&amp;$J39&amp;" "&amp;LEFT(swapLink,LEN(swapLink)-FIND("/",swapLink))&amp;" curncy","ask")</f>
        <v>#NAME?</v>
      </c>
      <c r="M39" s="93" t="e">
        <f t="shared" ca="1" si="2"/>
        <v>#NAME?</v>
      </c>
      <c r="N39" s="93" t="e">
        <f ca="1">_xll.BDP("EUSA"&amp;$J39&amp;" "&amp;RIGHT(swapLink,LEN(swapLink)-FIND("/",swapLink))&amp;" curncy","bid")</f>
        <v>#NAME?</v>
      </c>
      <c r="O39" s="93" t="e">
        <f ca="1">_xll.BDP("EUSA"&amp;$J40&amp;" "&amp;RIGHT(swapLink,LEN(swapLink)-FIND("/",swapLink))&amp;" curncy","ask")</f>
        <v>#NAME?</v>
      </c>
      <c r="P39" s="93" t="str">
        <f t="shared" ca="1" si="3"/>
        <v>N/A</v>
      </c>
      <c r="Q39" s="93" t="e">
        <f ca="1">_xll.BDP("BPSW"&amp;$J39&amp;" "&amp;RIGHT(swapLink,LEN(swapLink)-FIND("/",swapLink))&amp;" curncy","bid")</f>
        <v>#NAME?</v>
      </c>
      <c r="R39" s="93" t="e">
        <f ca="1">_xll.BDP("BPSW"&amp;$J39&amp;" "&amp;RIGHT(swapLink,LEN(swapLink)-FIND("/",swapLink))&amp;" curncy","ask")</f>
        <v>#NAME?</v>
      </c>
      <c r="S39" s="93" t="str">
        <f t="shared" ca="1" si="4"/>
        <v>N/A</v>
      </c>
      <c r="T39" s="93" t="e">
        <f ca="1">_xll.BDP("JYSW"&amp;$J39&amp;" "&amp;RIGHT(swapLink,LEN(swapLink)-FIND("/",swapLink))&amp;" curncy","bid")</f>
        <v>#NAME?</v>
      </c>
      <c r="U39" s="93" t="e">
        <f ca="1">_xll.BDP("JYSW"&amp;$J39&amp;" "&amp;RIGHT(swapLink,LEN(swapLink)-FIND("/",swapLink))&amp;" curncy","ask")</f>
        <v>#NAME?</v>
      </c>
      <c r="V39" s="93" t="str">
        <f t="shared" ca="1" si="5"/>
        <v>N/A</v>
      </c>
      <c r="W39" s="93" t="e">
        <f ca="1">_xll.BDP("CDSW"&amp;$J39&amp;" "&amp;RIGHT(swapLink,LEN(swapLink)-FIND("/",swapLink))&amp;" curncy","bid")</f>
        <v>#NAME?</v>
      </c>
      <c r="X39" s="93" t="e">
        <f ca="1">_xll.BDP("CDSW"&amp;$J39&amp;" "&amp;RIGHT(swapLink,LEN(swapLink)-FIND("/",swapLink))&amp;" curncy","ask")</f>
        <v>#NAME?</v>
      </c>
      <c r="Y39" s="93" t="str">
        <f t="shared" ca="1" si="6"/>
        <v>N/A</v>
      </c>
      <c r="Z39" s="93" t="e">
        <f ca="1">_xll.BDP("SFSW"&amp;$J39&amp;" "&amp;RIGHT(swapLink,LEN(swapLink)-FIND("/",swapLink))&amp;" curncy","bid")</f>
        <v>#NAME?</v>
      </c>
      <c r="AA39" s="93" t="e">
        <f ca="1">_xll.BDP("SFSW"&amp;$J39&amp;" "&amp;RIGHT(swapLink,LEN(swapLink)-FIND("/",swapLink))&amp;" curncy","ask")</f>
        <v>#NAME?</v>
      </c>
      <c r="AB39" s="93" t="str">
        <f t="shared" ca="1" si="7"/>
        <v>N/A</v>
      </c>
      <c r="AC39" s="93" t="e">
        <f ca="1">_xll.BDP("ADSW"&amp;$J39&amp;" "&amp;RIGHT(swapLink,LEN(swapLink)-FIND("/",swapLink))&amp;" curncy","bid")</f>
        <v>#NAME?</v>
      </c>
      <c r="AD39" s="93" t="e">
        <f ca="1">_xll.BDP("ADSW"&amp;$J39&amp;" "&amp;RIGHT(swapLink,LEN(swapLink)-FIND("/",swapLink))&amp;" curncy","ask")</f>
        <v>#NAME?</v>
      </c>
      <c r="AE39" s="94" t="str">
        <f t="shared" ca="1" si="8"/>
        <v>N/A</v>
      </c>
      <c r="AF39" s="191"/>
      <c r="AG39" s="191"/>
      <c r="AH39" s="191"/>
      <c r="AI39" s="191"/>
      <c r="AJ39" s="191"/>
      <c r="AK39" s="191"/>
      <c r="AL39" s="191"/>
      <c r="AM39" s="191"/>
    </row>
    <row r="40" spans="1:39" ht="15" customHeight="1" x14ac:dyDescent="0.25">
      <c r="A40" s="13"/>
      <c r="B40" s="15"/>
      <c r="C40" s="15"/>
      <c r="D40" s="13"/>
      <c r="E40" s="13"/>
      <c r="F40" s="82" t="s">
        <v>97</v>
      </c>
      <c r="G40" s="95" t="s">
        <v>252</v>
      </c>
      <c r="H40" s="96" t="s">
        <v>252</v>
      </c>
      <c r="J40" s="90">
        <v>15</v>
      </c>
      <c r="K40" s="91" t="e">
        <f ca="1">_xll.BDP(rateSpreadLink&amp;$J40&amp;" "&amp;LEFT(swapLink,LEN(swapLink)-FIND("/",swapLink))&amp;" curncy","bid")</f>
        <v>#NAME?</v>
      </c>
      <c r="L40" s="91" t="e">
        <f ca="1">_xll.BDP(rateSpreadLink&amp;$J40&amp;" "&amp;LEFT(swapLink,LEN(swapLink)-FIND("/",swapLink))&amp;" curncy","ask")</f>
        <v>#NAME?</v>
      </c>
      <c r="M40" s="91" t="e">
        <f t="shared" ca="1" si="2"/>
        <v>#NAME?</v>
      </c>
      <c r="N40" s="91" t="e">
        <f ca="1">_xll.BDP("EUSA"&amp;$J40&amp;" "&amp;RIGHT(swapLink,LEN(swapLink)-FIND("/",swapLink))&amp;" curncy","bid")</f>
        <v>#NAME?</v>
      </c>
      <c r="O40" s="91" t="e">
        <f ca="1">_xll.BDP("EUSA"&amp;$J41&amp;" "&amp;RIGHT(swapLink,LEN(swapLink)-FIND("/",swapLink))&amp;" curncy","ask")</f>
        <v>#NAME?</v>
      </c>
      <c r="P40" s="91" t="str">
        <f t="shared" ca="1" si="3"/>
        <v>N/A</v>
      </c>
      <c r="Q40" s="91" t="e">
        <f ca="1">_xll.BDP("BPSW"&amp;$J40&amp;" "&amp;RIGHT(swapLink,LEN(swapLink)-FIND("/",swapLink))&amp;" curncy","bid")</f>
        <v>#NAME?</v>
      </c>
      <c r="R40" s="91" t="e">
        <f ca="1">_xll.BDP("BPSW"&amp;$J40&amp;" "&amp;RIGHT(swapLink,LEN(swapLink)-FIND("/",swapLink))&amp;" curncy","ask")</f>
        <v>#NAME?</v>
      </c>
      <c r="S40" s="91" t="str">
        <f t="shared" ca="1" si="4"/>
        <v>N/A</v>
      </c>
      <c r="T40" s="91" t="e">
        <f ca="1">_xll.BDP("JYSW"&amp;$J40&amp;" "&amp;RIGHT(swapLink,LEN(swapLink)-FIND("/",swapLink))&amp;" curncy","bid")</f>
        <v>#NAME?</v>
      </c>
      <c r="U40" s="91" t="e">
        <f ca="1">_xll.BDP("JYSW"&amp;$J40&amp;" "&amp;RIGHT(swapLink,LEN(swapLink)-FIND("/",swapLink))&amp;" curncy","ask")</f>
        <v>#NAME?</v>
      </c>
      <c r="V40" s="91" t="str">
        <f t="shared" ca="1" si="5"/>
        <v>N/A</v>
      </c>
      <c r="W40" s="91" t="e">
        <f ca="1">_xll.BDP("CDSW"&amp;$J40&amp;" "&amp;RIGHT(swapLink,LEN(swapLink)-FIND("/",swapLink))&amp;" curncy","bid")</f>
        <v>#NAME?</v>
      </c>
      <c r="X40" s="91" t="e">
        <f ca="1">_xll.BDP("CDSW"&amp;$J40&amp;" "&amp;RIGHT(swapLink,LEN(swapLink)-FIND("/",swapLink))&amp;" curncy","ask")</f>
        <v>#NAME?</v>
      </c>
      <c r="Y40" s="91" t="str">
        <f t="shared" ca="1" si="6"/>
        <v>N/A</v>
      </c>
      <c r="Z40" s="91" t="e">
        <f ca="1">_xll.BDP("SFSW"&amp;$J40&amp;" "&amp;RIGHT(swapLink,LEN(swapLink)-FIND("/",swapLink))&amp;" curncy","bid")</f>
        <v>#NAME?</v>
      </c>
      <c r="AA40" s="91" t="e">
        <f ca="1">_xll.BDP("SFSW"&amp;$J40&amp;" "&amp;RIGHT(swapLink,LEN(swapLink)-FIND("/",swapLink))&amp;" curncy","ask")</f>
        <v>#NAME?</v>
      </c>
      <c r="AB40" s="91" t="str">
        <f t="shared" ca="1" si="7"/>
        <v>N/A</v>
      </c>
      <c r="AC40" s="91" t="e">
        <f ca="1">_xll.BDP("ADSW"&amp;$J40&amp;" "&amp;RIGHT(swapLink,LEN(swapLink)-FIND("/",swapLink))&amp;" curncy","bid")</f>
        <v>#NAME?</v>
      </c>
      <c r="AD40" s="91" t="e">
        <f ca="1">_xll.BDP("ADSW"&amp;$J40&amp;" "&amp;RIGHT(swapLink,LEN(swapLink)-FIND("/",swapLink))&amp;" curncy","ask")</f>
        <v>#NAME?</v>
      </c>
      <c r="AE40" s="92" t="str">
        <f t="shared" ca="1" si="8"/>
        <v>N/A</v>
      </c>
      <c r="AF40" s="191"/>
      <c r="AG40" s="191"/>
      <c r="AH40" s="191"/>
      <c r="AI40" s="191"/>
      <c r="AJ40" s="191"/>
      <c r="AK40" s="191"/>
      <c r="AL40" s="191"/>
      <c r="AM40" s="191"/>
    </row>
    <row r="41" spans="1:39" ht="15" customHeight="1" x14ac:dyDescent="0.25">
      <c r="A41" s="13"/>
      <c r="B41" s="13"/>
      <c r="C41" s="13"/>
      <c r="D41" s="13"/>
      <c r="E41" s="13"/>
      <c r="F41" s="82" t="s">
        <v>98</v>
      </c>
      <c r="G41" s="83" t="s">
        <v>252</v>
      </c>
      <c r="H41" s="84" t="s">
        <v>252</v>
      </c>
      <c r="J41" s="90">
        <v>20</v>
      </c>
      <c r="K41" s="93" t="e">
        <f ca="1">_xll.BDP(rateSpreadLink&amp;$J41&amp;" "&amp;LEFT(swapLink,LEN(swapLink)-FIND("/",swapLink))&amp;" curncy","bid")</f>
        <v>#NAME?</v>
      </c>
      <c r="L41" s="93" t="e">
        <f ca="1">_xll.BDP(rateSpreadLink&amp;$J41&amp;" "&amp;LEFT(swapLink,LEN(swapLink)-FIND("/",swapLink))&amp;" curncy","ask")</f>
        <v>#NAME?</v>
      </c>
      <c r="M41" s="93" t="e">
        <f t="shared" ca="1" si="2"/>
        <v>#NAME?</v>
      </c>
      <c r="N41" s="93" t="e">
        <f ca="1">_xll.BDP("EUSA"&amp;$J41&amp;" "&amp;RIGHT(swapLink,LEN(swapLink)-FIND("/",swapLink))&amp;" curncy","bid")</f>
        <v>#NAME?</v>
      </c>
      <c r="O41" s="93" t="e">
        <f ca="1">_xll.BDP("EUSA"&amp;$J42&amp;" "&amp;RIGHT(swapLink,LEN(swapLink)-FIND("/",swapLink))&amp;" curncy","ask")</f>
        <v>#NAME?</v>
      </c>
      <c r="P41" s="93" t="str">
        <f t="shared" ca="1" si="3"/>
        <v>N/A</v>
      </c>
      <c r="Q41" s="93" t="e">
        <f ca="1">_xll.BDP("BPSW"&amp;$J41&amp;" "&amp;RIGHT(swapLink,LEN(swapLink)-FIND("/",swapLink))&amp;" curncy","bid")</f>
        <v>#NAME?</v>
      </c>
      <c r="R41" s="93" t="e">
        <f ca="1">_xll.BDP("BPSW"&amp;$J41&amp;" "&amp;RIGHT(swapLink,LEN(swapLink)-FIND("/",swapLink))&amp;" curncy","ask")</f>
        <v>#NAME?</v>
      </c>
      <c r="S41" s="93" t="str">
        <f t="shared" ca="1" si="4"/>
        <v>N/A</v>
      </c>
      <c r="T41" s="93" t="e">
        <f ca="1">_xll.BDP("JYSW"&amp;$J41&amp;" "&amp;RIGHT(swapLink,LEN(swapLink)-FIND("/",swapLink))&amp;" curncy","bid")</f>
        <v>#NAME?</v>
      </c>
      <c r="U41" s="93" t="e">
        <f ca="1">_xll.BDP("JYSW"&amp;$J41&amp;" "&amp;RIGHT(swapLink,LEN(swapLink)-FIND("/",swapLink))&amp;" curncy","ask")</f>
        <v>#NAME?</v>
      </c>
      <c r="V41" s="93" t="str">
        <f t="shared" ca="1" si="5"/>
        <v>N/A</v>
      </c>
      <c r="W41" s="93" t="e">
        <f ca="1">_xll.BDP("CDSW"&amp;$J41&amp;" "&amp;RIGHT(swapLink,LEN(swapLink)-FIND("/",swapLink))&amp;" curncy","bid")</f>
        <v>#NAME?</v>
      </c>
      <c r="X41" s="93" t="e">
        <f ca="1">_xll.BDP("CDSW"&amp;$J41&amp;" "&amp;RIGHT(swapLink,LEN(swapLink)-FIND("/",swapLink))&amp;" curncy","ask")</f>
        <v>#NAME?</v>
      </c>
      <c r="Y41" s="93" t="str">
        <f t="shared" ca="1" si="6"/>
        <v>N/A</v>
      </c>
      <c r="Z41" s="93" t="e">
        <f ca="1">_xll.BDP("SFSW"&amp;$J41&amp;" "&amp;RIGHT(swapLink,LEN(swapLink)-FIND("/",swapLink))&amp;" curncy","bid")</f>
        <v>#NAME?</v>
      </c>
      <c r="AA41" s="93" t="e">
        <f ca="1">_xll.BDP("SFSW"&amp;$J41&amp;" "&amp;RIGHT(swapLink,LEN(swapLink)-FIND("/",swapLink))&amp;" curncy","ask")</f>
        <v>#NAME?</v>
      </c>
      <c r="AB41" s="93" t="str">
        <f t="shared" ca="1" si="7"/>
        <v>N/A</v>
      </c>
      <c r="AC41" s="93" t="e">
        <f ca="1">_xll.BDP("ADSW"&amp;$J41&amp;" "&amp;RIGHT(swapLink,LEN(swapLink)-FIND("/",swapLink))&amp;" curncy","bid")</f>
        <v>#NAME?</v>
      </c>
      <c r="AD41" s="93" t="e">
        <f ca="1">_xll.BDP("ADSW"&amp;$J41&amp;" "&amp;RIGHT(swapLink,LEN(swapLink)-FIND("/",swapLink))&amp;" curncy","ask")</f>
        <v>#NAME?</v>
      </c>
      <c r="AE41" s="94" t="str">
        <f t="shared" ca="1" si="8"/>
        <v>N/A</v>
      </c>
      <c r="AF41" s="191"/>
      <c r="AG41" s="191"/>
      <c r="AH41" s="191"/>
      <c r="AI41" s="191"/>
      <c r="AJ41" s="191"/>
      <c r="AK41" s="191"/>
      <c r="AL41" s="191"/>
      <c r="AM41" s="191"/>
    </row>
    <row r="42" spans="1:39" ht="15" customHeight="1" x14ac:dyDescent="0.25">
      <c r="A42" s="13"/>
      <c r="B42" s="13"/>
      <c r="C42" s="13"/>
      <c r="D42" s="13"/>
      <c r="E42" s="13"/>
      <c r="F42" s="82" t="s">
        <v>99</v>
      </c>
      <c r="G42" s="88" t="s">
        <v>252</v>
      </c>
      <c r="H42" s="89" t="s">
        <v>252</v>
      </c>
      <c r="J42" s="90">
        <v>25</v>
      </c>
      <c r="K42" s="91" t="e">
        <f ca="1">_xll.BDP(rateSpreadLink&amp;$J42&amp;" "&amp;LEFT(swapLink,LEN(swapLink)-FIND("/",swapLink))&amp;" curncy","bid")</f>
        <v>#NAME?</v>
      </c>
      <c r="L42" s="91" t="e">
        <f ca="1">_xll.BDP(rateSpreadLink&amp;$J42&amp;" "&amp;LEFT(swapLink,LEN(swapLink)-FIND("/",swapLink))&amp;" curncy","ask")</f>
        <v>#NAME?</v>
      </c>
      <c r="M42" s="91" t="e">
        <f t="shared" ca="1" si="2"/>
        <v>#NAME?</v>
      </c>
      <c r="N42" s="91" t="e">
        <f ca="1">_xll.BDP("EUSA"&amp;$J42&amp;" "&amp;RIGHT(swapLink,LEN(swapLink)-FIND("/",swapLink))&amp;" curncy","bid")</f>
        <v>#NAME?</v>
      </c>
      <c r="O42" s="91" t="e">
        <f ca="1">_xll.BDP("EUSA"&amp;$J43&amp;" "&amp;RIGHT(swapLink,LEN(swapLink)-FIND("/",swapLink))&amp;" curncy","ask")</f>
        <v>#NAME?</v>
      </c>
      <c r="P42" s="91" t="str">
        <f t="shared" ca="1" si="3"/>
        <v>N/A</v>
      </c>
      <c r="Q42" s="91" t="e">
        <f ca="1">_xll.BDP("BPSW"&amp;$J42&amp;" "&amp;RIGHT(swapLink,LEN(swapLink)-FIND("/",swapLink))&amp;" curncy","bid")</f>
        <v>#NAME?</v>
      </c>
      <c r="R42" s="91" t="e">
        <f ca="1">_xll.BDP("BPSW"&amp;$J42&amp;" "&amp;RIGHT(swapLink,LEN(swapLink)-FIND("/",swapLink))&amp;" curncy","ask")</f>
        <v>#NAME?</v>
      </c>
      <c r="S42" s="91" t="str">
        <f t="shared" ca="1" si="4"/>
        <v>N/A</v>
      </c>
      <c r="T42" s="91" t="e">
        <f ca="1">_xll.BDP("JYSW"&amp;$J42&amp;" "&amp;RIGHT(swapLink,LEN(swapLink)-FIND("/",swapLink))&amp;" curncy","bid")</f>
        <v>#NAME?</v>
      </c>
      <c r="U42" s="91" t="e">
        <f ca="1">_xll.BDP("JYSW"&amp;$J42&amp;" "&amp;RIGHT(swapLink,LEN(swapLink)-FIND("/",swapLink))&amp;" curncy","ask")</f>
        <v>#NAME?</v>
      </c>
      <c r="V42" s="91" t="str">
        <f t="shared" ca="1" si="5"/>
        <v>N/A</v>
      </c>
      <c r="W42" s="91" t="e">
        <f ca="1">_xll.BDP("CDSW"&amp;$J42&amp;" "&amp;RIGHT(swapLink,LEN(swapLink)-FIND("/",swapLink))&amp;" curncy","bid")</f>
        <v>#NAME?</v>
      </c>
      <c r="X42" s="91" t="e">
        <f ca="1">_xll.BDP("CDSW"&amp;$J42&amp;" "&amp;RIGHT(swapLink,LEN(swapLink)-FIND("/",swapLink))&amp;" curncy","ask")</f>
        <v>#NAME?</v>
      </c>
      <c r="Y42" s="91" t="str">
        <f t="shared" ca="1" si="6"/>
        <v>N/A</v>
      </c>
      <c r="Z42" s="91" t="e">
        <f ca="1">_xll.BDP("SFSW"&amp;$J42&amp;" "&amp;RIGHT(swapLink,LEN(swapLink)-FIND("/",swapLink))&amp;" curncy","bid")</f>
        <v>#NAME?</v>
      </c>
      <c r="AA42" s="91" t="e">
        <f ca="1">_xll.BDP("SFSW"&amp;$J42&amp;" "&amp;RIGHT(swapLink,LEN(swapLink)-FIND("/",swapLink))&amp;" curncy","ask")</f>
        <v>#NAME?</v>
      </c>
      <c r="AB42" s="91" t="str">
        <f t="shared" ca="1" si="7"/>
        <v>N/A</v>
      </c>
      <c r="AC42" s="91" t="e">
        <f ca="1">_xll.BDP("ADSW"&amp;$J42&amp;" "&amp;RIGHT(swapLink,LEN(swapLink)-FIND("/",swapLink))&amp;" curncy","bid")</f>
        <v>#NAME?</v>
      </c>
      <c r="AD42" s="91" t="e">
        <f ca="1">_xll.BDP("ADSW"&amp;$J42&amp;" "&amp;RIGHT(swapLink,LEN(swapLink)-FIND("/",swapLink))&amp;" curncy","ask")</f>
        <v>#NAME?</v>
      </c>
      <c r="AE42" s="92" t="str">
        <f t="shared" ca="1" si="8"/>
        <v>N/A</v>
      </c>
      <c r="AF42" s="191"/>
      <c r="AG42" s="191"/>
      <c r="AH42" s="191"/>
      <c r="AI42" s="191"/>
      <c r="AJ42" s="191"/>
      <c r="AK42" s="191"/>
      <c r="AL42" s="191"/>
      <c r="AM42" s="191"/>
    </row>
    <row r="43" spans="1:39" ht="15" customHeight="1" x14ac:dyDescent="0.25">
      <c r="A43" s="13"/>
      <c r="B43" s="13"/>
      <c r="C43" s="13"/>
      <c r="D43" s="13"/>
      <c r="E43" s="13"/>
      <c r="F43" s="97" t="s">
        <v>100</v>
      </c>
      <c r="G43" s="98" t="e">
        <f ca="1">_xll.BDP("US0012M index",LiborPriceLink)</f>
        <v>#NAME?</v>
      </c>
      <c r="H43" s="99" t="e">
        <f ca="1">_xll.BDP("EE0012M index",LiborPriceLink)</f>
        <v>#NAME?</v>
      </c>
      <c r="J43" s="100">
        <v>30</v>
      </c>
      <c r="K43" s="101" t="e">
        <f ca="1">_xll.BDP(rateSpreadLink&amp;$J43&amp;" "&amp;LEFT(swapLink,LEN(swapLink)-FIND("/",swapLink))&amp;" curncy","bid")</f>
        <v>#NAME?</v>
      </c>
      <c r="L43" s="101" t="e">
        <f ca="1">_xll.BDP(rateSpreadLink&amp;$J43&amp;" "&amp;LEFT(swapLink,LEN(swapLink)-FIND("/",swapLink))&amp;" curncy","ask")</f>
        <v>#NAME?</v>
      </c>
      <c r="M43" s="101" t="e">
        <f t="shared" ca="1" si="2"/>
        <v>#NAME?</v>
      </c>
      <c r="N43" s="101" t="e">
        <f ca="1">_xll.BDP("EUSA"&amp;$J43&amp;" "&amp;RIGHT(swapLink,LEN(swapLink)-FIND("/",swapLink))&amp;" curncy","bid")</f>
        <v>#NAME?</v>
      </c>
      <c r="O43" s="101" t="e">
        <f ca="1">_xll.BDP("EUSA"&amp;$J44&amp;" "&amp;RIGHT(swapLink,LEN(swapLink)-FIND("/",swapLink))&amp;" curncy","ask")</f>
        <v>#NAME?</v>
      </c>
      <c r="P43" s="101" t="str">
        <f t="shared" ca="1" si="3"/>
        <v>N/A</v>
      </c>
      <c r="Q43" s="101" t="e">
        <f ca="1">_xll.BDP("BPSW"&amp;$J43&amp;" "&amp;RIGHT(swapLink,LEN(swapLink)-FIND("/",swapLink))&amp;" curncy","bid")</f>
        <v>#NAME?</v>
      </c>
      <c r="R43" s="101" t="e">
        <f ca="1">_xll.BDP("BPSW"&amp;$J43&amp;" "&amp;RIGHT(swapLink,LEN(swapLink)-FIND("/",swapLink))&amp;" curncy","ask")</f>
        <v>#NAME?</v>
      </c>
      <c r="S43" s="101" t="str">
        <f t="shared" ca="1" si="4"/>
        <v>N/A</v>
      </c>
      <c r="T43" s="101" t="e">
        <f ca="1">_xll.BDP("JYSW"&amp;$J43&amp;" "&amp;RIGHT(swapLink,LEN(swapLink)-FIND("/",swapLink))&amp;" curncy","bid")</f>
        <v>#NAME?</v>
      </c>
      <c r="U43" s="101" t="e">
        <f ca="1">_xll.BDP("JYSW"&amp;$J43&amp;" "&amp;RIGHT(swapLink,LEN(swapLink)-FIND("/",swapLink))&amp;" curncy","ask")</f>
        <v>#NAME?</v>
      </c>
      <c r="V43" s="101" t="str">
        <f t="shared" ca="1" si="5"/>
        <v>N/A</v>
      </c>
      <c r="W43" s="101" t="e">
        <f ca="1">_xll.BDP("CDSW"&amp;$J43&amp;" "&amp;RIGHT(swapLink,LEN(swapLink)-FIND("/",swapLink))&amp;" curncy","bid")</f>
        <v>#NAME?</v>
      </c>
      <c r="X43" s="101" t="e">
        <f ca="1">_xll.BDP("CDSW"&amp;$J43&amp;" "&amp;RIGHT(swapLink,LEN(swapLink)-FIND("/",swapLink))&amp;" curncy","ask")</f>
        <v>#NAME?</v>
      </c>
      <c r="Y43" s="101" t="str">
        <f t="shared" ca="1" si="6"/>
        <v>N/A</v>
      </c>
      <c r="Z43" s="101" t="e">
        <f ca="1">_xll.BDP("SFSW"&amp;$J43&amp;" "&amp;RIGHT(swapLink,LEN(swapLink)-FIND("/",swapLink))&amp;" curncy","bid")</f>
        <v>#NAME?</v>
      </c>
      <c r="AA43" s="101" t="e">
        <f ca="1">_xll.BDP("SFSW"&amp;$J43&amp;" "&amp;RIGHT(swapLink,LEN(swapLink)-FIND("/",swapLink))&amp;" curncy","ask")</f>
        <v>#NAME?</v>
      </c>
      <c r="AB43" s="101" t="str">
        <f t="shared" ca="1" si="7"/>
        <v>N/A</v>
      </c>
      <c r="AC43" s="101" t="e">
        <f ca="1">_xll.BDP("ADSW"&amp;$J43&amp;" "&amp;RIGHT(swapLink,LEN(swapLink)-FIND("/",swapLink))&amp;" curncy","bid")</f>
        <v>#NAME?</v>
      </c>
      <c r="AD43" s="101" t="e">
        <f ca="1">_xll.BDP("ADSW"&amp;$J43&amp;" "&amp;RIGHT(swapLink,LEN(swapLink)-FIND("/",swapLink))&amp;" curncy","ask")</f>
        <v>#NAME?</v>
      </c>
      <c r="AE43" s="102" t="str">
        <f t="shared" ca="1" si="8"/>
        <v>N/A</v>
      </c>
    </row>
    <row r="44" spans="1:39" ht="15" customHeight="1" x14ac:dyDescent="0.25">
      <c r="A44" s="13"/>
      <c r="B44" s="13"/>
      <c r="C44" s="13"/>
      <c r="D44" s="13"/>
      <c r="E44" s="13"/>
    </row>
    <row r="45" spans="1:39" ht="15" customHeight="1" x14ac:dyDescent="0.25">
      <c r="A45" s="13"/>
      <c r="B45" s="13"/>
      <c r="C45" s="13"/>
      <c r="D45" s="13"/>
      <c r="E45" s="13"/>
      <c r="F45" s="192" t="s">
        <v>11</v>
      </c>
      <c r="G45" s="191"/>
      <c r="H45" s="191"/>
      <c r="I45" s="191"/>
      <c r="J45" s="191"/>
      <c r="K45" s="192" t="s">
        <v>11</v>
      </c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</row>
    <row r="46" spans="1:39" ht="12" customHeight="1" x14ac:dyDescent="0.25">
      <c r="A46" s="13"/>
      <c r="B46" s="13"/>
      <c r="C46" s="13"/>
      <c r="D46" s="13"/>
      <c r="E46" s="13"/>
      <c r="G46" s="13"/>
      <c r="H46" s="13"/>
      <c r="I46" s="13"/>
      <c r="J46" s="13"/>
      <c r="L46" s="13"/>
      <c r="M46" s="13"/>
      <c r="N46" s="13"/>
      <c r="O46" s="13"/>
      <c r="P46" s="202"/>
      <c r="Q46" s="202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</row>
    <row r="47" spans="1:39" s="211" customFormat="1" ht="35.15" customHeight="1" x14ac:dyDescent="0.3">
      <c r="F47" s="228" t="s">
        <v>15</v>
      </c>
      <c r="G47" s="226"/>
      <c r="H47" s="226"/>
      <c r="I47" s="227"/>
      <c r="K47" s="218" t="s">
        <v>67</v>
      </c>
      <c r="L47" s="226" t="s">
        <v>265</v>
      </c>
      <c r="M47" s="226"/>
      <c r="N47" s="229"/>
      <c r="O47" s="226" t="s">
        <v>266</v>
      </c>
      <c r="P47" s="226"/>
      <c r="Q47" s="229"/>
      <c r="R47" s="235" t="s">
        <v>267</v>
      </c>
      <c r="S47" s="235"/>
      <c r="T47" s="236"/>
      <c r="U47" s="226" t="s">
        <v>268</v>
      </c>
      <c r="V47" s="226"/>
      <c r="W47" s="229"/>
      <c r="X47" s="226" t="s">
        <v>50</v>
      </c>
      <c r="Y47" s="226"/>
      <c r="Z47" s="226"/>
      <c r="AA47" s="237" t="s">
        <v>51</v>
      </c>
      <c r="AB47" s="226"/>
      <c r="AC47" s="229"/>
      <c r="AD47" s="226" t="s">
        <v>52</v>
      </c>
      <c r="AE47" s="226"/>
      <c r="AF47" s="229"/>
      <c r="AG47" s="226" t="s">
        <v>53</v>
      </c>
      <c r="AH47" s="226"/>
      <c r="AI47" s="227"/>
    </row>
    <row r="48" spans="1:39" ht="15" customHeight="1" x14ac:dyDescent="0.25">
      <c r="A48" s="13"/>
      <c r="B48" s="13"/>
      <c r="C48" s="13"/>
      <c r="D48" s="13"/>
      <c r="E48" s="13"/>
      <c r="F48" s="90" t="s">
        <v>4</v>
      </c>
      <c r="G48" s="103" t="s">
        <v>5</v>
      </c>
      <c r="H48" s="103" t="s">
        <v>6</v>
      </c>
      <c r="I48" s="104" t="s">
        <v>7</v>
      </c>
      <c r="K48" s="90" t="s">
        <v>4</v>
      </c>
      <c r="L48" s="103" t="s">
        <v>5</v>
      </c>
      <c r="M48" s="103" t="s">
        <v>35</v>
      </c>
      <c r="N48" s="103" t="s">
        <v>7</v>
      </c>
      <c r="O48" s="103" t="s">
        <v>5</v>
      </c>
      <c r="P48" s="103" t="s">
        <v>35</v>
      </c>
      <c r="Q48" s="103" t="s">
        <v>7</v>
      </c>
      <c r="R48" s="103" t="s">
        <v>5</v>
      </c>
      <c r="S48" s="103" t="s">
        <v>35</v>
      </c>
      <c r="T48" s="103" t="s">
        <v>7</v>
      </c>
      <c r="U48" s="103" t="s">
        <v>5</v>
      </c>
      <c r="V48" s="103" t="s">
        <v>35</v>
      </c>
      <c r="W48" s="103" t="s">
        <v>7</v>
      </c>
      <c r="X48" s="103" t="s">
        <v>5</v>
      </c>
      <c r="Y48" s="103" t="s">
        <v>35</v>
      </c>
      <c r="Z48" s="103" t="s">
        <v>7</v>
      </c>
      <c r="AA48" s="103" t="s">
        <v>5</v>
      </c>
      <c r="AB48" s="103" t="s">
        <v>35</v>
      </c>
      <c r="AC48" s="103" t="s">
        <v>7</v>
      </c>
      <c r="AD48" s="103" t="s">
        <v>5</v>
      </c>
      <c r="AE48" s="103" t="s">
        <v>35</v>
      </c>
      <c r="AF48" s="103" t="s">
        <v>7</v>
      </c>
      <c r="AG48" s="103" t="s">
        <v>5</v>
      </c>
      <c r="AH48" s="103" t="s">
        <v>35</v>
      </c>
      <c r="AI48" s="104" t="s">
        <v>7</v>
      </c>
    </row>
    <row r="49" spans="1:35" ht="15" customHeight="1" x14ac:dyDescent="0.25">
      <c r="A49" s="13"/>
      <c r="B49" s="13"/>
      <c r="C49" s="13"/>
      <c r="D49" s="13"/>
      <c r="E49" s="13"/>
      <c r="F49" s="90" t="s">
        <v>16</v>
      </c>
      <c r="G49" s="105" t="e">
        <f ca="1">_xll.BDP("USSO1Z "&amp;LEFT(OISLink,LEN(OISLink)-FIND("/",OISLink))&amp;" Curncy","Bid")</f>
        <v>#NAME?</v>
      </c>
      <c r="H49" s="105" t="e">
        <f ca="1">_xll.BDP("USSO1Z "&amp;RIGHT(OISLink,LEN(OISLink)-FIND("/",OISLink))&amp;" Curncy","ask")</f>
        <v>#NAME?</v>
      </c>
      <c r="I49" s="106" t="str">
        <f t="shared" ref="I49:I67" ca="1" si="9">IF(ISERR((G49+H49)/2),"N/A",(G49+H49)/2)</f>
        <v>N/A</v>
      </c>
      <c r="K49" s="90" t="s">
        <v>21</v>
      </c>
      <c r="L49" s="107" t="e">
        <f ca="1">_xll.BDP("USBGC "&amp;LEFT(basisLink,LEN(basisLink)-FIND("/",basisLink))&amp;" Curncy","Bid")</f>
        <v>#NAME?</v>
      </c>
      <c r="M49" s="107" t="e">
        <f ca="1">_xll.BDP("USBGC "&amp;LEFT(basisLink,LEN(basisLink)-FIND("/",basisLink))&amp;" Curncy","ASK")</f>
        <v>#NAME?</v>
      </c>
      <c r="N49" s="107" t="str">
        <f ca="1">IF(ISERR((L49+M49)/2),"N/A",(L49+M49)/2)</f>
        <v>N/A</v>
      </c>
      <c r="O49" s="107" t="e">
        <f ca="1">_xll.BDP("USBDC "&amp;LEFT(basisLink,LEN(basisLink)-FIND("/",basisLink))&amp;" Curncy","Bid")</f>
        <v>#NAME?</v>
      </c>
      <c r="P49" s="107" t="e">
        <f ca="1">_xll.BDP("USBDC "&amp;LEFT(basisLink,LEN(basisLink)-FIND("/",basisLink))&amp;" Curncy","ASK")</f>
        <v>#NAME?</v>
      </c>
      <c r="Q49" s="107" t="str">
        <f t="shared" ref="Q49:Q64" ca="1" si="10">IF(ISERR((O49+P49)/2),"N/A",(O49+P49)/2)</f>
        <v>N/A</v>
      </c>
      <c r="R49" s="107" t="e">
        <f ca="1">_xll.BDP("USBFC "&amp;LEFT(basisLink,LEN(basisLink)-FIND("/",basisLink))&amp;" Curncy","Bid")</f>
        <v>#NAME?</v>
      </c>
      <c r="S49" s="107" t="e">
        <f ca="1">_xll.BDP("USBFC "&amp;LEFT(basisLink,LEN(basisLink)-FIND("/",basisLink))&amp;" Curncy","ASK")</f>
        <v>#NAME?</v>
      </c>
      <c r="T49" s="107" t="str">
        <f ca="1">IF(ISERR((R49+S49)/2),"N/A",(R49+S49)/2)</f>
        <v>N/A</v>
      </c>
      <c r="U49" s="107" t="e">
        <f ca="1">_xll.BDP("USBEC "&amp;LEFT(basisLink,LEN(basisLink)-FIND("/",basisLink))&amp;" Curncy","Bid")</f>
        <v>#NAME?</v>
      </c>
      <c r="V49" s="107" t="e">
        <f ca="1">_xll.BDP("USBEC "&amp;LEFT(basisLink,LEN(basisLink)-FIND("/",basisLink))&amp;" Curncy","ASK")</f>
        <v>#NAME?</v>
      </c>
      <c r="W49" s="107" t="str">
        <f ca="1">IF(ISERR((U49+V49)/2),"N/A",(U49+V49)/2)</f>
        <v>N/A</v>
      </c>
      <c r="X49" s="107" t="e">
        <f ca="1">_xll.BDP("USBAAC "&amp;LEFT(basisLink,LEN(basisLink)-FIND("/",basisLink))&amp;" Curncy","Bid")</f>
        <v>#NAME?</v>
      </c>
      <c r="Y49" s="107" t="e">
        <f ca="1">_xll.BDP("USBAAC "&amp;LEFT(basisLink,LEN(basisLink)-FIND("/",basisLink))&amp;" Curncy","ASK")</f>
        <v>#NAME?</v>
      </c>
      <c r="Z49" s="107" t="str">
        <f ca="1">IF(ISERR((X49+Y49)/2),"N/A",(X49+Y49)/2)</f>
        <v>N/A</v>
      </c>
      <c r="AA49" s="105"/>
      <c r="AB49" s="105"/>
      <c r="AC49" s="105"/>
      <c r="AD49" s="105"/>
      <c r="AE49" s="105"/>
      <c r="AF49" s="105"/>
      <c r="AG49" s="105"/>
      <c r="AH49" s="105"/>
      <c r="AI49" s="106"/>
    </row>
    <row r="50" spans="1:35" ht="15" customHeight="1" x14ac:dyDescent="0.25">
      <c r="A50" s="13"/>
      <c r="B50" s="13"/>
      <c r="C50" s="13"/>
      <c r="D50" s="13"/>
      <c r="E50" s="13"/>
      <c r="F50" s="90" t="s">
        <v>17</v>
      </c>
      <c r="G50" s="108" t="e">
        <f ca="1">_xll.BDP("USSO2Z "&amp;LEFT(OISLink,LEN(OISLink)-FIND("/",OISLink))&amp;" Curncy","Bid")</f>
        <v>#NAME?</v>
      </c>
      <c r="H50" s="108" t="e">
        <f ca="1">_xll.BDP("USSO2Z "&amp;LEFT(OISLink,LEN(OISLink)-FIND("/",OISLink))&amp;" Curncy","ask")</f>
        <v>#NAME?</v>
      </c>
      <c r="I50" s="109" t="str">
        <f t="shared" ca="1" si="9"/>
        <v>N/A</v>
      </c>
      <c r="K50" s="90" t="s">
        <v>24</v>
      </c>
      <c r="L50" s="110" t="e">
        <f ca="1">_xll.BDP("USBGF "&amp;LEFT(basisLink,LEN(basisLink)-FIND("/",basisLink))&amp;" Curncy","Bid")</f>
        <v>#NAME?</v>
      </c>
      <c r="M50" s="110" t="e">
        <f ca="1">_xll.BDP("USBGF "&amp;LEFT(basisLink,LEN(basisLink)-FIND("/",basisLink))&amp;" Curncy","ASK")</f>
        <v>#NAME?</v>
      </c>
      <c r="N50" s="110" t="str">
        <f t="shared" ref="N50:N64" ca="1" si="11">IF(ISERR((L50+M50)/2),"N/A",(L50+M50)/2)</f>
        <v>N/A</v>
      </c>
      <c r="O50" s="110" t="e">
        <f ca="1">_xll.BDP("USBDF "&amp;LEFT(basisLink,LEN(basisLink)-FIND("/",basisLink))&amp;" Curncy","Bid")</f>
        <v>#NAME?</v>
      </c>
      <c r="P50" s="110" t="e">
        <f ca="1">_xll.BDP("USBDF "&amp;LEFT(basisLink,LEN(basisLink)-FIND("/",basisLink))&amp;" Curncy","ASK")</f>
        <v>#NAME?</v>
      </c>
      <c r="Q50" s="110" t="str">
        <f t="shared" ca="1" si="10"/>
        <v>N/A</v>
      </c>
      <c r="R50" s="110" t="e">
        <f ca="1">_xll.BDP("USBFF "&amp;LEFT(basisLink,LEN(basisLink)-FIND("/",basisLink))&amp;" Curncy","Bid")</f>
        <v>#NAME?</v>
      </c>
      <c r="S50" s="110" t="e">
        <f ca="1">_xll.BDP("USBFF "&amp;LEFT(basisLink,LEN(basisLink)-FIND("/",basisLink))&amp;" Curncy","ASK")</f>
        <v>#NAME?</v>
      </c>
      <c r="T50" s="110" t="str">
        <f t="shared" ref="T50:T64" ca="1" si="12">IF(ISERR((R50+S50)/2),"N/A",(R50+S50)/2)</f>
        <v>N/A</v>
      </c>
      <c r="U50" s="110" t="e">
        <f ca="1">_xll.BDP("USBEF "&amp;LEFT(basisLink,LEN(basisLink)-FIND("/",basisLink))&amp;" Curncy","Bid")</f>
        <v>#NAME?</v>
      </c>
      <c r="V50" s="110" t="e">
        <f ca="1">_xll.BDP("USBEF "&amp;LEFT(basisLink,LEN(basisLink)-FIND("/",basisLink))&amp;" Curncy","ASK")</f>
        <v>#NAME?</v>
      </c>
      <c r="W50" s="110" t="str">
        <f t="shared" ref="W50:W64" ca="1" si="13">IF(ISERR((U50+V50)/2),"N/A",(U50+V50)/2)</f>
        <v>N/A</v>
      </c>
      <c r="X50" s="110" t="e">
        <f ca="1">_xll.BDP("USBAAF "&amp;LEFT(basisLink,LEN(basisLink)-FIND("/",basisLink))&amp;" Curncy","Bid")</f>
        <v>#NAME?</v>
      </c>
      <c r="Y50" s="110" t="e">
        <f ca="1">_xll.BDP("USBAAF "&amp;LEFT(basisLink,LEN(basisLink)-FIND("/",basisLink))&amp;" Curncy","ASK")</f>
        <v>#NAME?</v>
      </c>
      <c r="Z50" s="110" t="str">
        <f t="shared" ref="Z50:Z64" ca="1" si="14">IF(ISERR((X50+Y50)/2),"N/A",(X50+Y50)/2)</f>
        <v>N/A</v>
      </c>
      <c r="AA50" s="108" t="e">
        <f ca="1">_xll.BDP("USBCF "&amp;LEFT(basisLink,LEN(basisLink)-FIND("/",basisLink))&amp;" Curncy","Bid")</f>
        <v>#NAME?</v>
      </c>
      <c r="AB50" s="108" t="e">
        <f ca="1">_xll.BDP("USBCF "&amp;LEFT(basisLink,LEN(basisLink)-FIND("/",basisLink))&amp;" Curncy","ASK")</f>
        <v>#NAME?</v>
      </c>
      <c r="AC50" s="108" t="str">
        <f t="shared" ref="AC50:AC64" ca="1" si="15">IF(ISERR((AA50+AB50)/2),"N/A",(AA50+AB50)/2)</f>
        <v>N/A</v>
      </c>
      <c r="AD50" s="108" t="e">
        <f ca="1">_xll.BDP("USBBF "&amp;LEFT(basisLink,LEN(basisLink)-FIND("/",basisLink))&amp;" Curncy","Bid")</f>
        <v>#NAME?</v>
      </c>
      <c r="AE50" s="108" t="e">
        <f ca="1">_xll.BDP("USBBF "&amp;LEFT(basisLink,LEN(basisLink)-FIND("/",basisLink))&amp;" Curncy","ASK")</f>
        <v>#NAME?</v>
      </c>
      <c r="AF50" s="108" t="str">
        <f ca="1">IF(ISERR((AD50+AE50)/2),"N/A",(AD50+AE50)/2)</f>
        <v>N/A</v>
      </c>
      <c r="AG50" s="108"/>
      <c r="AH50" s="108"/>
      <c r="AI50" s="109"/>
    </row>
    <row r="51" spans="1:35" ht="15" customHeight="1" x14ac:dyDescent="0.25">
      <c r="A51" s="13"/>
      <c r="B51" s="13"/>
      <c r="C51" s="13"/>
      <c r="D51" s="13"/>
      <c r="E51" s="13"/>
      <c r="F51" s="90" t="s">
        <v>18</v>
      </c>
      <c r="G51" s="111" t="e">
        <f ca="1">_xll.BDP("USSO3Z "&amp;LEFT(OISLink,LEN(OISLink)-FIND("/",OISLink))&amp;" Curncy","Bid")</f>
        <v>#NAME?</v>
      </c>
      <c r="H51" s="111" t="e">
        <f ca="1">_xll.BDP("USSO3Z "&amp;LEFT(OISLink,LEN(OISLink)-FIND("/",OISLink))&amp;" Curncy","ASK")</f>
        <v>#NAME?</v>
      </c>
      <c r="I51" s="112" t="str">
        <f t="shared" ca="1" si="9"/>
        <v>N/A</v>
      </c>
      <c r="K51" s="90" t="s">
        <v>27</v>
      </c>
      <c r="L51" s="113" t="e">
        <f ca="1">_xll.BDP("USBGI "&amp;LEFT(basisLink,LEN(basisLink)-FIND("/",basisLink))&amp;" Curncy","Bid")</f>
        <v>#NAME?</v>
      </c>
      <c r="M51" s="113" t="e">
        <f ca="1">_xll.BDP("USBGI "&amp;LEFT(basisLink,LEN(basisLink)-FIND("/",basisLink))&amp;" Curncy","ASK")</f>
        <v>#NAME?</v>
      </c>
      <c r="N51" s="113" t="str">
        <f t="shared" ca="1" si="11"/>
        <v>N/A</v>
      </c>
      <c r="O51" s="113" t="e">
        <f ca="1">_xll.BDP("USBDI "&amp;LEFT(basisLink,LEN(basisLink)-FIND("/",basisLink))&amp;" Curncy","Bid")</f>
        <v>#NAME?</v>
      </c>
      <c r="P51" s="113" t="e">
        <f ca="1">_xll.BDP("USBDI "&amp;LEFT(basisLink,LEN(basisLink)-FIND("/",basisLink))&amp;" Curncy","ASK")</f>
        <v>#NAME?</v>
      </c>
      <c r="Q51" s="113" t="str">
        <f t="shared" ca="1" si="10"/>
        <v>N/A</v>
      </c>
      <c r="R51" s="113" t="e">
        <f ca="1">_xll.BDP("USBFI "&amp;LEFT(basisLink,LEN(basisLink)-FIND("/",basisLink))&amp;" Curncy","Bid")</f>
        <v>#NAME?</v>
      </c>
      <c r="S51" s="113" t="e">
        <f ca="1">_xll.BDP("USBFI "&amp;LEFT(basisLink,LEN(basisLink)-FIND("/",basisLink))&amp;" Curncy","ASK")</f>
        <v>#NAME?</v>
      </c>
      <c r="T51" s="113" t="str">
        <f t="shared" ca="1" si="12"/>
        <v>N/A</v>
      </c>
      <c r="U51" s="113" t="e">
        <f ca="1">_xll.BDP("USBEI "&amp;LEFT(basisLink,LEN(basisLink)-FIND("/",basisLink))&amp;" Curncy","Bid")</f>
        <v>#NAME?</v>
      </c>
      <c r="V51" s="113" t="e">
        <f ca="1">_xll.BDP("USBEI "&amp;LEFT(basisLink,LEN(basisLink)-FIND("/",basisLink))&amp;" Curncy","ASK")</f>
        <v>#NAME?</v>
      </c>
      <c r="W51" s="113" t="str">
        <f t="shared" ca="1" si="13"/>
        <v>N/A</v>
      </c>
      <c r="X51" s="113" t="e">
        <f ca="1">_xll.BDP("USBAAI "&amp;LEFT(basisLink,LEN(basisLink)-FIND("/",basisLink))&amp;" Curncy","Bid")</f>
        <v>#NAME?</v>
      </c>
      <c r="Y51" s="113" t="e">
        <f ca="1">_xll.BDP("USBAAI "&amp;LEFT(basisLink,LEN(basisLink)-FIND("/",basisLink))&amp;" Curncy","ASK")</f>
        <v>#NAME?</v>
      </c>
      <c r="Z51" s="113" t="str">
        <f t="shared" ca="1" si="14"/>
        <v>N/A</v>
      </c>
      <c r="AA51" s="111"/>
      <c r="AB51" s="111"/>
      <c r="AC51" s="111"/>
      <c r="AD51" s="111"/>
      <c r="AE51" s="111"/>
      <c r="AF51" s="111"/>
      <c r="AG51" s="111"/>
      <c r="AH51" s="111"/>
      <c r="AI51" s="112"/>
    </row>
    <row r="52" spans="1:35" ht="15" customHeight="1" x14ac:dyDescent="0.25">
      <c r="A52" s="13"/>
      <c r="B52" s="13"/>
      <c r="C52" s="13"/>
      <c r="D52" s="13"/>
      <c r="E52" s="13"/>
      <c r="F52" s="90" t="s">
        <v>19</v>
      </c>
      <c r="G52" s="108" t="e">
        <f ca="1">_xll.BDP("USSOA "&amp;LEFT(OISLink,LEN(OISLink)-FIND("/",OISLink))&amp;" Curncy","Bid")</f>
        <v>#NAME?</v>
      </c>
      <c r="H52" s="108" t="e">
        <f ca="1">_xll.BDP("USSOA "&amp;LEFT(OISLink,LEN(OISLink)-FIND("/",OISLink))&amp;" Curncy","ASK")</f>
        <v>#NAME?</v>
      </c>
      <c r="I52" s="109" t="str">
        <f t="shared" ca="1" si="9"/>
        <v>N/A</v>
      </c>
      <c r="K52" s="90" t="s">
        <v>36</v>
      </c>
      <c r="L52" s="110" t="e">
        <f ca="1">_xll.BDP("USBG"&amp;LEFT($K52,LEN($K52)-1)&amp;" "&amp;LEFT(basisLink,LEN(basisLink)-FIND("/",basisLink))&amp;" Curncy","Bid")</f>
        <v>#NAME?</v>
      </c>
      <c r="M52" s="110" t="e">
        <f ca="1">_xll.BDP("USBG"&amp;LEFT($K52,LEN($K52)-1)&amp;" "&amp;LEFT(basisLink,LEN(basisLink)-FIND("/",basisLink))&amp;" Curncy","ASK")</f>
        <v>#NAME?</v>
      </c>
      <c r="N52" s="110" t="str">
        <f t="shared" ca="1" si="11"/>
        <v>N/A</v>
      </c>
      <c r="O52" s="110" t="e">
        <f ca="1">_xll.BDP("USBD"&amp;LEFT($K52,LEN($K52)-1)&amp;" "&amp;LEFT(basisLink,LEN(basisLink)-FIND("/",basisLink))&amp;" Curncy","Bid")</f>
        <v>#NAME?</v>
      </c>
      <c r="P52" s="110" t="e">
        <f ca="1">_xll.BDP("USBD"&amp;LEFT($K52,LEN($K52)-1)&amp;" "&amp;LEFT(basisLink,LEN(basisLink)-FIND("/",basisLink))&amp;" Curncy","ASK")</f>
        <v>#NAME?</v>
      </c>
      <c r="Q52" s="110" t="str">
        <f t="shared" ca="1" si="10"/>
        <v>N/A</v>
      </c>
      <c r="R52" s="110" t="e">
        <f ca="1">_xll.BDP("USBF"&amp;LEFT($K52,LEN($K52)-1)&amp;" "&amp;LEFT(basisLink,LEN(basisLink)-FIND("/",basisLink))&amp;" Curncy","Bid")</f>
        <v>#NAME?</v>
      </c>
      <c r="S52" s="110" t="e">
        <f ca="1">_xll.BDP("USBF"&amp;LEFT($K52,LEN($K52)-1)&amp;" "&amp;LEFT(basisLink,LEN(basisLink)-FIND("/",basisLink))&amp;" Curncy","ASK")</f>
        <v>#NAME?</v>
      </c>
      <c r="T52" s="110" t="str">
        <f t="shared" ca="1" si="12"/>
        <v>N/A</v>
      </c>
      <c r="U52" s="110" t="e">
        <f ca="1">_xll.BDP("USBE"&amp;LEFT($K52,LEN($K52)-1)&amp;" "&amp;LEFT(basisLink,LEN(basisLink)-FIND("/",basisLink))&amp;" Curncy","Bid")</f>
        <v>#NAME?</v>
      </c>
      <c r="V52" s="110" t="e">
        <f ca="1">_xll.BDP("USBE"&amp;LEFT($K52,LEN($K52)-1)&amp;" "&amp;LEFT(basisLink,LEN(basisLink)-FIND("/",basisLink))&amp;" Curncy","ASK")</f>
        <v>#NAME?</v>
      </c>
      <c r="W52" s="110" t="str">
        <f t="shared" ca="1" si="13"/>
        <v>N/A</v>
      </c>
      <c r="X52" s="110" t="e">
        <f ca="1">_xll.BDP("USBA"&amp;LEFT($K52,LEN($K52)-1)&amp;" "&amp;LEFT(basisLink,LEN(basisLink)-FIND("/",basisLink))&amp;" Curncy","Bid")</f>
        <v>#NAME?</v>
      </c>
      <c r="Y52" s="110" t="e">
        <f ca="1">_xll.BDP("USBA"&amp;LEFT($K52,LEN($K52)-1)&amp;" "&amp;LEFT(basisLink,LEN(basisLink)-FIND("/",basisLink))&amp;" Curncy","ASK")</f>
        <v>#NAME?</v>
      </c>
      <c r="Z52" s="110" t="str">
        <f t="shared" ca="1" si="14"/>
        <v>N/A</v>
      </c>
      <c r="AA52" s="108" t="e">
        <f ca="1">_xll.BDP("USBC"&amp;LEFT($K52,LEN($K52)-1)&amp;" "&amp;LEFT(basisLink,LEN(basisLink)-FIND("/",basisLink))&amp;" Curncy","Bid")</f>
        <v>#NAME?</v>
      </c>
      <c r="AB52" s="108" t="e">
        <f ca="1">_xll.BDP("USBC"&amp;LEFT($K52,LEN($K52)-1)&amp;" "&amp;LEFT(basisLink,LEN(basisLink)-FIND("/",basisLink))&amp;" Curncy","ASK")</f>
        <v>#NAME?</v>
      </c>
      <c r="AC52" s="108" t="str">
        <f t="shared" ca="1" si="15"/>
        <v>N/A</v>
      </c>
      <c r="AD52" s="108" t="e">
        <f ca="1">_xll.BDP("USBB"&amp;LEFT($K52,LEN($K52)-1)&amp;" "&amp;LEFT(basisLink,LEN(basisLink)-FIND("/",basisLink))&amp;" Curncy","Bid")</f>
        <v>#NAME?</v>
      </c>
      <c r="AE52" s="108" t="e">
        <f ca="1">_xll.BDP("USBB"&amp;LEFT($K52,LEN($K52)-1)&amp;" "&amp;LEFT(basisLink,LEN(basisLink)-FIND("/",basisLink))&amp;" Curncy","ASK")</f>
        <v>#NAME?</v>
      </c>
      <c r="AF52" s="108" t="str">
        <f t="shared" ref="AF52:AF64" ca="1" si="16">IF(ISERR((AD52+AE52)/2),"N/A",(AD52+AE52)/2)</f>
        <v>N/A</v>
      </c>
      <c r="AG52" s="108" t="e">
        <f ca="1">_xll.BDP("USBL"&amp;LEFT($K52,LEN($K52)-1)&amp;" "&amp;LEFT(basisLink,LEN(basisLink)-FIND("/",basisLink))&amp;" Curncy","Bid")</f>
        <v>#NAME?</v>
      </c>
      <c r="AH52" s="108" t="e">
        <f ca="1">_xll.BDP("USBL"&amp;LEFT($K52,LEN($K52)-1)&amp;" "&amp;LEFT(basisLink,LEN(basisLink)-FIND("/",basisLink))&amp;" Curncy","ASK")</f>
        <v>#NAME?</v>
      </c>
      <c r="AI52" s="109" t="str">
        <f t="shared" ref="AI52:AI64" ca="1" si="17">IF(ISERR((AG52+AH52)/2),"N/A",(AG52+AH52)/2)</f>
        <v>N/A</v>
      </c>
    </row>
    <row r="53" spans="1:35" ht="15" customHeight="1" x14ac:dyDescent="0.25">
      <c r="A53" s="13"/>
      <c r="B53" s="13"/>
      <c r="C53" s="13"/>
      <c r="D53" s="13"/>
      <c r="E53" s="13"/>
      <c r="F53" s="90" t="s">
        <v>20</v>
      </c>
      <c r="G53" s="111" t="e">
        <f ca="1">_xll.BDP("USSOB "&amp;LEFT(OISLink,LEN(OISLink)-FIND("/",OISLink))&amp;" Curncy","Bid")</f>
        <v>#NAME?</v>
      </c>
      <c r="H53" s="111" t="e">
        <f ca="1">_xll.BDP("USSOB "&amp;LEFT(OISLink,LEN(OISLink)-FIND("/",OISLink))&amp;" Curncy","ASK")</f>
        <v>#NAME?</v>
      </c>
      <c r="I53" s="112" t="str">
        <f t="shared" ca="1" si="9"/>
        <v>N/A</v>
      </c>
      <c r="K53" s="90" t="s">
        <v>29</v>
      </c>
      <c r="L53" s="113" t="e">
        <f ca="1">_xll.BDP("USBG1F "&amp;LEFT(basisLink,LEN(basisLink)-FIND("/",basisLink))&amp;" Curncy","Bid")</f>
        <v>#NAME?</v>
      </c>
      <c r="M53" s="113" t="e">
        <f ca="1">_xll.BDP("USBG1F "&amp;LEFT(basisLink,LEN(basisLink)-FIND("/",basisLink))&amp;" Curncy","ASK")</f>
        <v>#NAME?</v>
      </c>
      <c r="N53" s="113" t="str">
        <f t="shared" ca="1" si="11"/>
        <v>N/A</v>
      </c>
      <c r="O53" s="113" t="e">
        <f ca="1">_xll.BDP("USBD1F "&amp;LEFT(basisLink,LEN(basisLink)-FIND("/",basisLink))&amp;" Curncy","Bid")</f>
        <v>#NAME?</v>
      </c>
      <c r="P53" s="113" t="e">
        <f ca="1">_xll.BDP("USBD1F "&amp;LEFT(basisLink,LEN(basisLink)-FIND("/",basisLink))&amp;" Curncy","ASK")</f>
        <v>#NAME?</v>
      </c>
      <c r="Q53" s="113" t="str">
        <f t="shared" ca="1" si="10"/>
        <v>N/A</v>
      </c>
      <c r="R53" s="113" t="e">
        <f ca="1">_xll.BDP("USBF1F "&amp;LEFT(basisLink,LEN(basisLink)-FIND("/",basisLink))&amp;" Curncy","Bid")</f>
        <v>#NAME?</v>
      </c>
      <c r="S53" s="113" t="e">
        <f ca="1">_xll.BDP("USBF1F "&amp;LEFT(basisLink,LEN(basisLink)-FIND("/",basisLink))&amp;" Curncy","ASK")</f>
        <v>#NAME?</v>
      </c>
      <c r="T53" s="113" t="str">
        <f t="shared" ca="1" si="12"/>
        <v>N/A</v>
      </c>
      <c r="U53" s="113" t="e">
        <f ca="1">_xll.BDP("USBE1F "&amp;LEFT(basisLink,LEN(basisLink)-FIND("/",basisLink))&amp;" Curncy","Bid")</f>
        <v>#NAME?</v>
      </c>
      <c r="V53" s="113" t="e">
        <f ca="1">_xll.BDP("USBE1F "&amp;LEFT(basisLink,LEN(basisLink)-FIND("/",basisLink))&amp;" Curncy","ASK")</f>
        <v>#NAME?</v>
      </c>
      <c r="W53" s="113" t="str">
        <f t="shared" ca="1" si="13"/>
        <v>N/A</v>
      </c>
      <c r="X53" s="113" t="e">
        <f ca="1">_xll.BDP("USBA1F "&amp;LEFT(basisLink,LEN(basisLink)-FIND("/",basisLink))&amp;" Curncy","Bid")</f>
        <v>#NAME?</v>
      </c>
      <c r="Y53" s="113" t="e">
        <f ca="1">_xll.BDP("USBA1F "&amp;LEFT(basisLink,LEN(basisLink)-FIND("/",basisLink))&amp;" Curncy","ASK")</f>
        <v>#NAME?</v>
      </c>
      <c r="Z53" s="113" t="str">
        <f t="shared" ca="1" si="14"/>
        <v>N/A</v>
      </c>
      <c r="AA53" s="111" t="e">
        <f ca="1">_xll.BDP("USBC1F "&amp;LEFT(basisLink,LEN(basisLink)-FIND("/",basisLink))&amp;" Curncy","Bid")</f>
        <v>#NAME?</v>
      </c>
      <c r="AB53" s="111" t="e">
        <f ca="1">_xll.BDP("USBC1F "&amp;LEFT(basisLink,LEN(basisLink)-FIND("/",basisLink))&amp;" Curncy","ASK")</f>
        <v>#NAME?</v>
      </c>
      <c r="AC53" s="111" t="str">
        <f t="shared" ca="1" si="15"/>
        <v>N/A</v>
      </c>
      <c r="AD53" s="111" t="e">
        <f ca="1">_xll.BDP("USBB1F "&amp;LEFT(basisLink,LEN(basisLink)-FIND("/",basisLink))&amp;" Curncy","Bid")</f>
        <v>#NAME?</v>
      </c>
      <c r="AE53" s="111" t="e">
        <f ca="1">_xll.BDP("USBB1F "&amp;LEFT(basisLink,LEN(basisLink)-FIND("/",basisLink))&amp;" Curncy","ASK")</f>
        <v>#NAME?</v>
      </c>
      <c r="AF53" s="111" t="str">
        <f t="shared" ca="1" si="16"/>
        <v>N/A</v>
      </c>
      <c r="AG53" s="111"/>
      <c r="AH53" s="111"/>
      <c r="AI53" s="112"/>
    </row>
    <row r="54" spans="1:35" ht="15" customHeight="1" x14ac:dyDescent="0.25">
      <c r="A54" s="13"/>
      <c r="B54" s="13"/>
      <c r="C54" s="13"/>
      <c r="D54" s="13"/>
      <c r="E54" s="13"/>
      <c r="F54" s="90" t="s">
        <v>21</v>
      </c>
      <c r="G54" s="108" t="e">
        <f ca="1">_xll.BDP("USSOC "&amp;LEFT(OISLink,LEN(OISLink)-FIND("/",OISLink))&amp;" Curncy","Bid")</f>
        <v>#NAME?</v>
      </c>
      <c r="H54" s="108" t="e">
        <f ca="1">_xll.BDP("USSOC "&amp;LEFT(OISLink,LEN(OISLink)-FIND("/",OISLink))&amp;" Curncy","ASK")</f>
        <v>#NAME?</v>
      </c>
      <c r="I54" s="109" t="str">
        <f t="shared" ca="1" si="9"/>
        <v>N/A</v>
      </c>
      <c r="K54" s="90" t="s">
        <v>37</v>
      </c>
      <c r="L54" s="110" t="e">
        <f ca="1">_xll.BDP("USBG"&amp;LEFT($K54,LEN($K54)-1)&amp;" "&amp;LEFT(basisLink,LEN(basisLink)-FIND("/",basisLink))&amp;" Curncy","Bid")</f>
        <v>#NAME?</v>
      </c>
      <c r="M54" s="110" t="e">
        <f ca="1">_xll.BDP("USBG"&amp;LEFT($K54,LEN($K54)-1)&amp;" "&amp;LEFT(basisLink,LEN(basisLink)-FIND("/",basisLink))&amp;" Curncy","ASK")</f>
        <v>#NAME?</v>
      </c>
      <c r="N54" s="110" t="str">
        <f t="shared" ca="1" si="11"/>
        <v>N/A</v>
      </c>
      <c r="O54" s="110" t="e">
        <f ca="1">_xll.BDP("USBD"&amp;LEFT($K54,LEN($K54)-1)&amp;" "&amp;LEFT(basisLink,LEN(basisLink)-FIND("/",basisLink))&amp;" Curncy","Bid")</f>
        <v>#NAME?</v>
      </c>
      <c r="P54" s="110" t="e">
        <f ca="1">_xll.BDP("USBD"&amp;LEFT($K54,LEN($K54)-1)&amp;" "&amp;LEFT(basisLink,LEN(basisLink)-FIND("/",basisLink))&amp;" Curncy","ASK")</f>
        <v>#NAME?</v>
      </c>
      <c r="Q54" s="110" t="str">
        <f t="shared" ca="1" si="10"/>
        <v>N/A</v>
      </c>
      <c r="R54" s="110" t="e">
        <f ca="1">_xll.BDP("USBF"&amp;LEFT($K54,LEN($K54)-1)&amp;" "&amp;LEFT(basisLink,LEN(basisLink)-FIND("/",basisLink))&amp;" Curncy","Bid")</f>
        <v>#NAME?</v>
      </c>
      <c r="S54" s="110" t="e">
        <f ca="1">_xll.BDP("USBF"&amp;LEFT($K54,LEN($K54)-1)&amp;" "&amp;LEFT(basisLink,LEN(basisLink)-FIND("/",basisLink))&amp;" Curncy","ASK")</f>
        <v>#NAME?</v>
      </c>
      <c r="T54" s="110" t="str">
        <f t="shared" ca="1" si="12"/>
        <v>N/A</v>
      </c>
      <c r="U54" s="110" t="e">
        <f ca="1">_xll.BDP("USBE"&amp;LEFT($K54,LEN($K54)-1)&amp;" "&amp;LEFT(basisLink,LEN(basisLink)-FIND("/",basisLink))&amp;" Curncy","Bid")</f>
        <v>#NAME?</v>
      </c>
      <c r="V54" s="110" t="e">
        <f ca="1">_xll.BDP("USBE"&amp;LEFT($K54,LEN($K54)-1)&amp;" "&amp;LEFT(basisLink,LEN(basisLink)-FIND("/",basisLink))&amp;" Curncy","ASK")</f>
        <v>#NAME?</v>
      </c>
      <c r="W54" s="110" t="str">
        <f t="shared" ca="1" si="13"/>
        <v>N/A</v>
      </c>
      <c r="X54" s="110" t="e">
        <f ca="1">_xll.BDP("USBA"&amp;LEFT($K54,LEN($K54)-1)&amp;" "&amp;LEFT(basisLink,LEN(basisLink)-FIND("/",basisLink))&amp;" Curncy","Bid")</f>
        <v>#NAME?</v>
      </c>
      <c r="Y54" s="110" t="e">
        <f ca="1">_xll.BDP("USBA"&amp;LEFT($K54,LEN($K54)-1)&amp;" "&amp;LEFT(basisLink,LEN(basisLink)-FIND("/",basisLink))&amp;" Curncy","ASK")</f>
        <v>#NAME?</v>
      </c>
      <c r="Z54" s="110" t="str">
        <f t="shared" ca="1" si="14"/>
        <v>N/A</v>
      </c>
      <c r="AA54" s="108" t="e">
        <f ca="1">_xll.BDP("USBC"&amp;LEFT($K54,LEN($K54)-1)&amp;" "&amp;LEFT(basisLink,LEN(basisLink)-FIND("/",basisLink))&amp;" Curncy","Bid")</f>
        <v>#NAME?</v>
      </c>
      <c r="AB54" s="108" t="e">
        <f ca="1">_xll.BDP("USBC"&amp;LEFT($K54,LEN($K54)-1)&amp;" "&amp;LEFT(basisLink,LEN(basisLink)-FIND("/",basisLink))&amp;" Curncy","ASK")</f>
        <v>#NAME?</v>
      </c>
      <c r="AC54" s="108" t="str">
        <f t="shared" ca="1" si="15"/>
        <v>N/A</v>
      </c>
      <c r="AD54" s="108" t="e">
        <f ca="1">_xll.BDP("USBB"&amp;LEFT($K54,LEN($K54)-1)&amp;" "&amp;LEFT(basisLink,LEN(basisLink)-FIND("/",basisLink))&amp;" Curncy","Bid")</f>
        <v>#NAME?</v>
      </c>
      <c r="AE54" s="108" t="e">
        <f ca="1">_xll.BDP("USBB"&amp;LEFT($K54,LEN($K54)-1)&amp;" "&amp;LEFT(basisLink,LEN(basisLink)-FIND("/",basisLink))&amp;" Curncy","ASK")</f>
        <v>#NAME?</v>
      </c>
      <c r="AF54" s="108" t="str">
        <f t="shared" ca="1" si="16"/>
        <v>N/A</v>
      </c>
      <c r="AG54" s="108" t="e">
        <f ca="1">_xll.BDP("USBL"&amp;LEFT($K54,LEN($K54)-1)&amp;" "&amp;LEFT(basisLink,LEN(basisLink)-FIND("/",basisLink))&amp;" Curncy","Bid")</f>
        <v>#NAME?</v>
      </c>
      <c r="AH54" s="108" t="e">
        <f ca="1">_xll.BDP("USBL"&amp;LEFT($K54,LEN($K54)-1)&amp;" "&amp;LEFT(basisLink,LEN(basisLink)-FIND("/",basisLink))&amp;" Curncy","ASK")</f>
        <v>#NAME?</v>
      </c>
      <c r="AI54" s="109" t="str">
        <f t="shared" ca="1" si="17"/>
        <v>N/A</v>
      </c>
    </row>
    <row r="55" spans="1:35" ht="15" customHeight="1" x14ac:dyDescent="0.25">
      <c r="A55" s="13"/>
      <c r="B55" s="13"/>
      <c r="C55" s="13"/>
      <c r="D55" s="13"/>
      <c r="E55" s="13"/>
      <c r="F55" s="90" t="s">
        <v>22</v>
      </c>
      <c r="G55" s="111" t="e">
        <f ca="1">_xll.BDP("USSOD "&amp;LEFT(OISLink,LEN(OISLink)-FIND("/",OISLink))&amp;" Curncy","Bid")</f>
        <v>#NAME?</v>
      </c>
      <c r="H55" s="111" t="e">
        <f ca="1">_xll.BDP("USSOD "&amp;LEFT(OISLink,LEN(OISLink)-FIND("/",OISLink))&amp;" Curncy","ASK")</f>
        <v>#NAME?</v>
      </c>
      <c r="I55" s="112" t="str">
        <f t="shared" ca="1" si="9"/>
        <v>N/A</v>
      </c>
      <c r="K55" s="90" t="s">
        <v>38</v>
      </c>
      <c r="L55" s="113" t="e">
        <f ca="1">_xll.BDP("USBG"&amp;LEFT($K55,LEN($K55)-1)&amp;" "&amp;LEFT(basisLink,LEN(basisLink)-FIND("/",basisLink))&amp;" Curncy","Bid")</f>
        <v>#NAME?</v>
      </c>
      <c r="M55" s="113" t="e">
        <f ca="1">_xll.BDP("USBG"&amp;LEFT($K55,LEN($K55)-1)&amp;" "&amp;LEFT(basisLink,LEN(basisLink)-FIND("/",basisLink))&amp;" Curncy","ASK")</f>
        <v>#NAME?</v>
      </c>
      <c r="N55" s="113" t="str">
        <f t="shared" ca="1" si="11"/>
        <v>N/A</v>
      </c>
      <c r="O55" s="113" t="e">
        <f ca="1">_xll.BDP("USBD"&amp;LEFT($K55,LEN($K55)-1)&amp;" "&amp;LEFT(basisLink,LEN(basisLink)-FIND("/",basisLink))&amp;" Curncy","Bid")</f>
        <v>#NAME?</v>
      </c>
      <c r="P55" s="113" t="e">
        <f ca="1">_xll.BDP("USBD"&amp;LEFT($K55,LEN($K55)-1)&amp;" "&amp;LEFT(basisLink,LEN(basisLink)-FIND("/",basisLink))&amp;" Curncy","ASK")</f>
        <v>#NAME?</v>
      </c>
      <c r="Q55" s="113" t="str">
        <f t="shared" ca="1" si="10"/>
        <v>N/A</v>
      </c>
      <c r="R55" s="113" t="e">
        <f ca="1">_xll.BDP("USBF"&amp;LEFT($K55,LEN($K55)-1)&amp;" "&amp;LEFT(basisLink,LEN(basisLink)-FIND("/",basisLink))&amp;" Curncy","Bid")</f>
        <v>#NAME?</v>
      </c>
      <c r="S55" s="113" t="e">
        <f ca="1">_xll.BDP("USBF"&amp;LEFT($K55,LEN($K55)-1)&amp;" "&amp;LEFT(basisLink,LEN(basisLink)-FIND("/",basisLink))&amp;" Curncy","ASK")</f>
        <v>#NAME?</v>
      </c>
      <c r="T55" s="113" t="str">
        <f t="shared" ca="1" si="12"/>
        <v>N/A</v>
      </c>
      <c r="U55" s="113" t="e">
        <f ca="1">_xll.BDP("USBE"&amp;LEFT($K55,LEN($K55)-1)&amp;" "&amp;LEFT(basisLink,LEN(basisLink)-FIND("/",basisLink))&amp;" Curncy","Bid")</f>
        <v>#NAME?</v>
      </c>
      <c r="V55" s="113" t="e">
        <f ca="1">_xll.BDP("USBE"&amp;LEFT($K55,LEN($K55)-1)&amp;" "&amp;LEFT(basisLink,LEN(basisLink)-FIND("/",basisLink))&amp;" Curncy","ASK")</f>
        <v>#NAME?</v>
      </c>
      <c r="W55" s="113" t="str">
        <f t="shared" ca="1" si="13"/>
        <v>N/A</v>
      </c>
      <c r="X55" s="113" t="e">
        <f ca="1">_xll.BDP("USBA"&amp;LEFT($K55,LEN($K55)-1)&amp;" "&amp;LEFT(basisLink,LEN(basisLink)-FIND("/",basisLink))&amp;" Curncy","Bid")</f>
        <v>#NAME?</v>
      </c>
      <c r="Y55" s="113" t="e">
        <f ca="1">_xll.BDP("USBA"&amp;LEFT($K55,LEN($K55)-1)&amp;" "&amp;LEFT(basisLink,LEN(basisLink)-FIND("/",basisLink))&amp;" Curncy","ASK")</f>
        <v>#NAME?</v>
      </c>
      <c r="Z55" s="113" t="str">
        <f t="shared" ca="1" si="14"/>
        <v>N/A</v>
      </c>
      <c r="AA55" s="111" t="e">
        <f ca="1">_xll.BDP("USBC"&amp;LEFT($K55,LEN($K55)-1)&amp;" "&amp;LEFT(basisLink,LEN(basisLink)-FIND("/",basisLink))&amp;" Curncy","Bid")</f>
        <v>#NAME?</v>
      </c>
      <c r="AB55" s="111" t="e">
        <f ca="1">_xll.BDP("USBC"&amp;LEFT($K55,LEN($K55)-1)&amp;" "&amp;LEFT(basisLink,LEN(basisLink)-FIND("/",basisLink))&amp;" Curncy","ASK")</f>
        <v>#NAME?</v>
      </c>
      <c r="AC55" s="111" t="str">
        <f t="shared" ca="1" si="15"/>
        <v>N/A</v>
      </c>
      <c r="AD55" s="111" t="e">
        <f ca="1">_xll.BDP("USBB"&amp;LEFT($K55,LEN($K55)-1)&amp;" "&amp;LEFT(basisLink,LEN(basisLink)-FIND("/",basisLink))&amp;" Curncy","Bid")</f>
        <v>#NAME?</v>
      </c>
      <c r="AE55" s="111" t="e">
        <f ca="1">_xll.BDP("USBB"&amp;LEFT($K55,LEN($K55)-1)&amp;" "&amp;LEFT(basisLink,LEN(basisLink)-FIND("/",basisLink))&amp;" Curncy","ASK")</f>
        <v>#NAME?</v>
      </c>
      <c r="AF55" s="111" t="str">
        <f t="shared" ca="1" si="16"/>
        <v>N/A</v>
      </c>
      <c r="AG55" s="111" t="e">
        <f ca="1">_xll.BDP("USBL"&amp;LEFT($K55,LEN($K55)-1)&amp;" "&amp;LEFT(basisLink,LEN(basisLink)-FIND("/",basisLink))&amp;" Curncy","Bid")</f>
        <v>#NAME?</v>
      </c>
      <c r="AH55" s="111" t="e">
        <f ca="1">_xll.BDP("USBL"&amp;LEFT($K55,LEN($K55)-1)&amp;" "&amp;LEFT(basisLink,LEN(basisLink)-FIND("/",basisLink))&amp;" Curncy","ASK")</f>
        <v>#NAME?</v>
      </c>
      <c r="AI55" s="112" t="str">
        <f t="shared" ca="1" si="17"/>
        <v>N/A</v>
      </c>
    </row>
    <row r="56" spans="1:35" ht="15" customHeight="1" x14ac:dyDescent="0.25">
      <c r="A56" s="13"/>
      <c r="B56" s="13"/>
      <c r="C56" s="13"/>
      <c r="D56" s="13"/>
      <c r="E56" s="13"/>
      <c r="F56" s="90" t="s">
        <v>23</v>
      </c>
      <c r="G56" s="108" t="e">
        <f ca="1">_xll.BDP("USSOE "&amp;LEFT(OISLink,LEN(OISLink)-FIND("/",OISLink))&amp;" Curncy","Bid")</f>
        <v>#NAME?</v>
      </c>
      <c r="H56" s="108" t="e">
        <f ca="1">_xll.BDP("USSOE "&amp;LEFT(OISLink,LEN(OISLink)-FIND("/",OISLink))&amp;" Curncy","ASK")</f>
        <v>#NAME?</v>
      </c>
      <c r="I56" s="109" t="str">
        <f t="shared" ca="1" si="9"/>
        <v>N/A</v>
      </c>
      <c r="K56" s="90" t="s">
        <v>39</v>
      </c>
      <c r="L56" s="110" t="e">
        <f ca="1">_xll.BDP("USBG"&amp;LEFT($K56,LEN($K56)-1)&amp;" "&amp;LEFT(basisLink,LEN(basisLink)-FIND("/",basisLink))&amp;" Curncy","Bid")</f>
        <v>#NAME?</v>
      </c>
      <c r="M56" s="110" t="e">
        <f ca="1">_xll.BDP("USBG"&amp;LEFT($K56,LEN($K56)-1)&amp;" "&amp;LEFT(basisLink,LEN(basisLink)-FIND("/",basisLink))&amp;" Curncy","ASK")</f>
        <v>#NAME?</v>
      </c>
      <c r="N56" s="110" t="str">
        <f t="shared" ca="1" si="11"/>
        <v>N/A</v>
      </c>
      <c r="O56" s="110" t="e">
        <f ca="1">_xll.BDP("USBD"&amp;LEFT($K56,LEN($K56)-1)&amp;" "&amp;LEFT(basisLink,LEN(basisLink)-FIND("/",basisLink))&amp;" Curncy","Bid")</f>
        <v>#NAME?</v>
      </c>
      <c r="P56" s="110" t="e">
        <f ca="1">_xll.BDP("USBD"&amp;LEFT($K56,LEN($K56)-1)&amp;" "&amp;LEFT(basisLink,LEN(basisLink)-FIND("/",basisLink))&amp;" Curncy","ASK")</f>
        <v>#NAME?</v>
      </c>
      <c r="Q56" s="110" t="str">
        <f t="shared" ca="1" si="10"/>
        <v>N/A</v>
      </c>
      <c r="R56" s="110" t="e">
        <f ca="1">_xll.BDP("USBF"&amp;LEFT($K56,LEN($K56)-1)&amp;" "&amp;LEFT(basisLink,LEN(basisLink)-FIND("/",basisLink))&amp;" Curncy","Bid")</f>
        <v>#NAME?</v>
      </c>
      <c r="S56" s="110" t="e">
        <f ca="1">_xll.BDP("USBF"&amp;LEFT($K56,LEN($K56)-1)&amp;" "&amp;LEFT(basisLink,LEN(basisLink)-FIND("/",basisLink))&amp;" Curncy","ASK")</f>
        <v>#NAME?</v>
      </c>
      <c r="T56" s="110" t="str">
        <f t="shared" ca="1" si="12"/>
        <v>N/A</v>
      </c>
      <c r="U56" s="110" t="e">
        <f ca="1">_xll.BDP("USBE"&amp;LEFT($K56,LEN($K56)-1)&amp;" "&amp;LEFT(basisLink,LEN(basisLink)-FIND("/",basisLink))&amp;" Curncy","Bid")</f>
        <v>#NAME?</v>
      </c>
      <c r="V56" s="110" t="e">
        <f ca="1">_xll.BDP("USBE"&amp;LEFT($K56,LEN($K56)-1)&amp;" "&amp;LEFT(basisLink,LEN(basisLink)-FIND("/",basisLink))&amp;" Curncy","ASK")</f>
        <v>#NAME?</v>
      </c>
      <c r="W56" s="110" t="str">
        <f t="shared" ca="1" si="13"/>
        <v>N/A</v>
      </c>
      <c r="X56" s="110" t="e">
        <f ca="1">_xll.BDP("USBA"&amp;LEFT($K56,LEN($K56)-1)&amp;" "&amp;LEFT(basisLink,LEN(basisLink)-FIND("/",basisLink))&amp;" Curncy","Bid")</f>
        <v>#NAME?</v>
      </c>
      <c r="Y56" s="110" t="e">
        <f ca="1">_xll.BDP("USBA"&amp;LEFT($K56,LEN($K56)-1)&amp;" "&amp;LEFT(basisLink,LEN(basisLink)-FIND("/",basisLink))&amp;" Curncy","ASK")</f>
        <v>#NAME?</v>
      </c>
      <c r="Z56" s="110" t="str">
        <f t="shared" ca="1" si="14"/>
        <v>N/A</v>
      </c>
      <c r="AA56" s="108" t="e">
        <f ca="1">_xll.BDP("USBC"&amp;LEFT($K56,LEN($K56)-1)&amp;" "&amp;LEFT(basisLink,LEN(basisLink)-FIND("/",basisLink))&amp;" Curncy","Bid")</f>
        <v>#NAME?</v>
      </c>
      <c r="AB56" s="108" t="e">
        <f ca="1">_xll.BDP("USBC"&amp;LEFT($K56,LEN($K56)-1)&amp;" "&amp;LEFT(basisLink,LEN(basisLink)-FIND("/",basisLink))&amp;" Curncy","ASK")</f>
        <v>#NAME?</v>
      </c>
      <c r="AC56" s="108" t="str">
        <f t="shared" ca="1" si="15"/>
        <v>N/A</v>
      </c>
      <c r="AD56" s="108" t="e">
        <f ca="1">_xll.BDP("USBB"&amp;LEFT($K56,LEN($K56)-1)&amp;" "&amp;LEFT(basisLink,LEN(basisLink)-FIND("/",basisLink))&amp;" Curncy","Bid")</f>
        <v>#NAME?</v>
      </c>
      <c r="AE56" s="108" t="e">
        <f ca="1">_xll.BDP("USBB"&amp;LEFT($K56,LEN($K56)-1)&amp;" "&amp;LEFT(basisLink,LEN(basisLink)-FIND("/",basisLink))&amp;" Curncy","ASK")</f>
        <v>#NAME?</v>
      </c>
      <c r="AF56" s="108" t="str">
        <f t="shared" ca="1" si="16"/>
        <v>N/A</v>
      </c>
      <c r="AG56" s="108" t="e">
        <f ca="1">_xll.BDP("USBL"&amp;LEFT($K56,LEN($K56)-1)&amp;" "&amp;LEFT(basisLink,LEN(basisLink)-FIND("/",basisLink))&amp;" Curncy","Bid")</f>
        <v>#NAME?</v>
      </c>
      <c r="AH56" s="108" t="e">
        <f ca="1">_xll.BDP("USBL"&amp;LEFT($K56,LEN($K56)-1)&amp;" "&amp;LEFT(basisLink,LEN(basisLink)-FIND("/",basisLink))&amp;" Curncy","ASK")</f>
        <v>#NAME?</v>
      </c>
      <c r="AI56" s="109" t="str">
        <f t="shared" ca="1" si="17"/>
        <v>N/A</v>
      </c>
    </row>
    <row r="57" spans="1:35" ht="15" customHeight="1" x14ac:dyDescent="0.25">
      <c r="A57" s="13"/>
      <c r="B57" s="13"/>
      <c r="C57" s="13"/>
      <c r="D57" s="13"/>
      <c r="E57" s="13"/>
      <c r="F57" s="90" t="s">
        <v>24</v>
      </c>
      <c r="G57" s="111" t="e">
        <f ca="1">_xll.BDP("USSOF "&amp;LEFT(OISLink,LEN(OISLink)-FIND("/",OISLink))&amp;" Curncy","Bid")</f>
        <v>#NAME?</v>
      </c>
      <c r="H57" s="111" t="e">
        <f ca="1">_xll.BDP("USSOF "&amp;LEFT(OISLink,LEN(OISLink)-FIND("/",OISLink))&amp;" Curncy","ASK")</f>
        <v>#NAME?</v>
      </c>
      <c r="I57" s="112" t="str">
        <f t="shared" ca="1" si="9"/>
        <v>N/A</v>
      </c>
      <c r="K57" s="90" t="s">
        <v>40</v>
      </c>
      <c r="L57" s="113" t="e">
        <f ca="1">_xll.BDP("USBG"&amp;LEFT($K57,LEN($K57)-1)&amp;" "&amp;LEFT(basisLink,LEN(basisLink)-FIND("/",basisLink))&amp;" Curncy","Bid")</f>
        <v>#NAME?</v>
      </c>
      <c r="M57" s="113" t="e">
        <f ca="1">_xll.BDP("USBG"&amp;LEFT($K57,LEN($K57)-1)&amp;" "&amp;LEFT(basisLink,LEN(basisLink)-FIND("/",basisLink))&amp;" Curncy","ASK")</f>
        <v>#NAME?</v>
      </c>
      <c r="N57" s="113" t="str">
        <f t="shared" ca="1" si="11"/>
        <v>N/A</v>
      </c>
      <c r="O57" s="113" t="e">
        <f ca="1">_xll.BDP("USBD"&amp;LEFT($K57,LEN($K57)-1)&amp;" "&amp;LEFT(basisLink,LEN(basisLink)-FIND("/",basisLink))&amp;" Curncy","Bid")</f>
        <v>#NAME?</v>
      </c>
      <c r="P57" s="113" t="e">
        <f ca="1">_xll.BDP("USBD"&amp;LEFT($K57,LEN($K57)-1)&amp;" "&amp;LEFT(basisLink,LEN(basisLink)-FIND("/",basisLink))&amp;" Curncy","ASK")</f>
        <v>#NAME?</v>
      </c>
      <c r="Q57" s="113" t="str">
        <f t="shared" ca="1" si="10"/>
        <v>N/A</v>
      </c>
      <c r="R57" s="113" t="e">
        <f ca="1">_xll.BDP("USBF"&amp;LEFT($K57,LEN($K57)-1)&amp;" "&amp;LEFT(basisLink,LEN(basisLink)-FIND("/",basisLink))&amp;" Curncy","Bid")</f>
        <v>#NAME?</v>
      </c>
      <c r="S57" s="113" t="e">
        <f ca="1">_xll.BDP("USBF"&amp;LEFT($K57,LEN($K57)-1)&amp;" "&amp;LEFT(basisLink,LEN(basisLink)-FIND("/",basisLink))&amp;" Curncy","ASK")</f>
        <v>#NAME?</v>
      </c>
      <c r="T57" s="113" t="str">
        <f t="shared" ca="1" si="12"/>
        <v>N/A</v>
      </c>
      <c r="U57" s="113" t="e">
        <f ca="1">_xll.BDP("USBE"&amp;LEFT($K57,LEN($K57)-1)&amp;" "&amp;LEFT(basisLink,LEN(basisLink)-FIND("/",basisLink))&amp;" Curncy","Bid")</f>
        <v>#NAME?</v>
      </c>
      <c r="V57" s="113" t="e">
        <f ca="1">_xll.BDP("USBE"&amp;LEFT($K57,LEN($K57)-1)&amp;" "&amp;LEFT(basisLink,LEN(basisLink)-FIND("/",basisLink))&amp;" Curncy","ASK")</f>
        <v>#NAME?</v>
      </c>
      <c r="W57" s="113" t="str">
        <f t="shared" ca="1" si="13"/>
        <v>N/A</v>
      </c>
      <c r="X57" s="113" t="e">
        <f ca="1">_xll.BDP("USBA"&amp;LEFT($K57,LEN($K57)-1)&amp;" "&amp;LEFT(basisLink,LEN(basisLink)-FIND("/",basisLink))&amp;" Curncy","Bid")</f>
        <v>#NAME?</v>
      </c>
      <c r="Y57" s="113" t="e">
        <f ca="1">_xll.BDP("USBA"&amp;LEFT($K57,LEN($K57)-1)&amp;" "&amp;LEFT(basisLink,LEN(basisLink)-FIND("/",basisLink))&amp;" Curncy","ASK")</f>
        <v>#NAME?</v>
      </c>
      <c r="Z57" s="113" t="str">
        <f t="shared" ca="1" si="14"/>
        <v>N/A</v>
      </c>
      <c r="AA57" s="111" t="e">
        <f ca="1">_xll.BDP("USBC"&amp;LEFT($K57,LEN($K57)-1)&amp;" "&amp;LEFT(basisLink,LEN(basisLink)-FIND("/",basisLink))&amp;" Curncy","Bid")</f>
        <v>#NAME?</v>
      </c>
      <c r="AB57" s="111" t="e">
        <f ca="1">_xll.BDP("USBC"&amp;LEFT($K57,LEN($K57)-1)&amp;" "&amp;LEFT(basisLink,LEN(basisLink)-FIND("/",basisLink))&amp;" Curncy","ASK")</f>
        <v>#NAME?</v>
      </c>
      <c r="AC57" s="111" t="str">
        <f t="shared" ca="1" si="15"/>
        <v>N/A</v>
      </c>
      <c r="AD57" s="111" t="e">
        <f ca="1">_xll.BDP("USBB"&amp;LEFT($K57,LEN($K57)-1)&amp;" "&amp;LEFT(basisLink,LEN(basisLink)-FIND("/",basisLink))&amp;" Curncy","Bid")</f>
        <v>#NAME?</v>
      </c>
      <c r="AE57" s="111" t="e">
        <f ca="1">_xll.BDP("USBB"&amp;LEFT($K57,LEN($K57)-1)&amp;" "&amp;LEFT(basisLink,LEN(basisLink)-FIND("/",basisLink))&amp;" Curncy","ASK")</f>
        <v>#NAME?</v>
      </c>
      <c r="AF57" s="111" t="str">
        <f t="shared" ca="1" si="16"/>
        <v>N/A</v>
      </c>
      <c r="AG57" s="111" t="e">
        <f ca="1">_xll.BDP("USBL"&amp;LEFT($K57,LEN($K57)-1)&amp;" "&amp;LEFT(basisLink,LEN(basisLink)-FIND("/",basisLink))&amp;" Curncy","Bid")</f>
        <v>#NAME?</v>
      </c>
      <c r="AH57" s="111" t="e">
        <f ca="1">_xll.BDP("USBL"&amp;LEFT($K57,LEN($K57)-1)&amp;" "&amp;LEFT(basisLink,LEN(basisLink)-FIND("/",basisLink))&amp;" Curncy","ASK")</f>
        <v>#NAME?</v>
      </c>
      <c r="AI57" s="112" t="str">
        <f t="shared" ca="1" si="17"/>
        <v>N/A</v>
      </c>
    </row>
    <row r="58" spans="1:35" ht="15" customHeight="1" x14ac:dyDescent="0.25">
      <c r="A58" s="13"/>
      <c r="B58" s="13"/>
      <c r="C58" s="13"/>
      <c r="D58" s="13"/>
      <c r="E58" s="13"/>
      <c r="F58" s="90" t="s">
        <v>25</v>
      </c>
      <c r="G58" s="108" t="e">
        <f ca="1">_xll.BDP("USSOG "&amp;LEFT(OISLink,LEN(OISLink)-FIND("/",OISLink))&amp;" Curncy","Bid")</f>
        <v>#NAME?</v>
      </c>
      <c r="H58" s="108" t="e">
        <f ca="1">_xll.BDP("USSOG "&amp;LEFT(OISLink,LEN(OISLink)-FIND("/",OISLink))&amp;" Curncy","ASK")</f>
        <v>#NAME?</v>
      </c>
      <c r="I58" s="109" t="str">
        <f t="shared" ca="1" si="9"/>
        <v>N/A</v>
      </c>
      <c r="K58" s="90" t="s">
        <v>41</v>
      </c>
      <c r="L58" s="110" t="e">
        <f ca="1">_xll.BDP("USBG"&amp;LEFT($K58,LEN($K58)-1)&amp;" "&amp;LEFT(basisLink,LEN(basisLink)-FIND("/",basisLink))&amp;" Curncy","Bid")</f>
        <v>#NAME?</v>
      </c>
      <c r="M58" s="110" t="e">
        <f ca="1">_xll.BDP("USBG"&amp;LEFT($K58,LEN($K58)-1)&amp;" "&amp;LEFT(basisLink,LEN(basisLink)-FIND("/",basisLink))&amp;" Curncy","ASK")</f>
        <v>#NAME?</v>
      </c>
      <c r="N58" s="110" t="str">
        <f t="shared" ca="1" si="11"/>
        <v>N/A</v>
      </c>
      <c r="O58" s="110" t="e">
        <f ca="1">_xll.BDP("USBD"&amp;LEFT($K58,LEN($K58)-1)&amp;" "&amp;LEFT(basisLink,LEN(basisLink)-FIND("/",basisLink))&amp;" Curncy","Bid")</f>
        <v>#NAME?</v>
      </c>
      <c r="P58" s="110" t="e">
        <f ca="1">_xll.BDP("USBD"&amp;LEFT($K58,LEN($K58)-1)&amp;" "&amp;LEFT(basisLink,LEN(basisLink)-FIND("/",basisLink))&amp;" Curncy","ASK")</f>
        <v>#NAME?</v>
      </c>
      <c r="Q58" s="110" t="str">
        <f t="shared" ca="1" si="10"/>
        <v>N/A</v>
      </c>
      <c r="R58" s="110" t="e">
        <f ca="1">_xll.BDP("USBF"&amp;LEFT($K58,LEN($K58)-1)&amp;" "&amp;LEFT(basisLink,LEN(basisLink)-FIND("/",basisLink))&amp;" Curncy","Bid")</f>
        <v>#NAME?</v>
      </c>
      <c r="S58" s="110" t="e">
        <f ca="1">_xll.BDP("USBF"&amp;LEFT($K58,LEN($K58)-1)&amp;" "&amp;LEFT(basisLink,LEN(basisLink)-FIND("/",basisLink))&amp;" Curncy","ASK")</f>
        <v>#NAME?</v>
      </c>
      <c r="T58" s="110" t="str">
        <f t="shared" ca="1" si="12"/>
        <v>N/A</v>
      </c>
      <c r="U58" s="110" t="e">
        <f ca="1">_xll.BDP("USBE"&amp;LEFT($K58,LEN($K58)-1)&amp;" "&amp;LEFT(basisLink,LEN(basisLink)-FIND("/",basisLink))&amp;" Curncy","Bid")</f>
        <v>#NAME?</v>
      </c>
      <c r="V58" s="110" t="e">
        <f ca="1">_xll.BDP("USBE"&amp;LEFT($K58,LEN($K58)-1)&amp;" "&amp;LEFT(basisLink,LEN(basisLink)-FIND("/",basisLink))&amp;" Curncy","ASK")</f>
        <v>#NAME?</v>
      </c>
      <c r="W58" s="110" t="str">
        <f t="shared" ca="1" si="13"/>
        <v>N/A</v>
      </c>
      <c r="X58" s="110" t="e">
        <f ca="1">_xll.BDP("USBA"&amp;LEFT($K58,LEN($K58)-1)&amp;" "&amp;LEFT(basisLink,LEN(basisLink)-FIND("/",basisLink))&amp;" Curncy","Bid")</f>
        <v>#NAME?</v>
      </c>
      <c r="Y58" s="110" t="e">
        <f ca="1">_xll.BDP("USBA"&amp;LEFT($K58,LEN($K58)-1)&amp;" "&amp;LEFT(basisLink,LEN(basisLink)-FIND("/",basisLink))&amp;" Curncy","ASK")</f>
        <v>#NAME?</v>
      </c>
      <c r="Z58" s="110" t="str">
        <f t="shared" ca="1" si="14"/>
        <v>N/A</v>
      </c>
      <c r="AA58" s="108" t="e">
        <f ca="1">_xll.BDP("USBC"&amp;LEFT($K58,LEN($K58)-1)&amp;" "&amp;LEFT(basisLink,LEN(basisLink)-FIND("/",basisLink))&amp;" Curncy","Bid")</f>
        <v>#NAME?</v>
      </c>
      <c r="AB58" s="108" t="e">
        <f ca="1">_xll.BDP("USBC"&amp;LEFT($K58,LEN($K58)-1)&amp;" "&amp;LEFT(basisLink,LEN(basisLink)-FIND("/",basisLink))&amp;" Curncy","ASK")</f>
        <v>#NAME?</v>
      </c>
      <c r="AC58" s="108" t="str">
        <f t="shared" ca="1" si="15"/>
        <v>N/A</v>
      </c>
      <c r="AD58" s="108" t="e">
        <f ca="1">_xll.BDP("USBB"&amp;LEFT($K58,LEN($K58)-1)&amp;" "&amp;LEFT(basisLink,LEN(basisLink)-FIND("/",basisLink))&amp;" Curncy","Bid")</f>
        <v>#NAME?</v>
      </c>
      <c r="AE58" s="108" t="e">
        <f ca="1">_xll.BDP("USBB"&amp;LEFT($K58,LEN($K58)-1)&amp;" "&amp;LEFT(basisLink,LEN(basisLink)-FIND("/",basisLink))&amp;" Curncy","ASK")</f>
        <v>#NAME?</v>
      </c>
      <c r="AF58" s="108" t="str">
        <f t="shared" ca="1" si="16"/>
        <v>N/A</v>
      </c>
      <c r="AG58" s="108" t="e">
        <f ca="1">_xll.BDP("USBL"&amp;LEFT($K58,LEN($K58)-1)&amp;" "&amp;LEFT(basisLink,LEN(basisLink)-FIND("/",basisLink))&amp;" Curncy","Bid")</f>
        <v>#NAME?</v>
      </c>
      <c r="AH58" s="108" t="e">
        <f ca="1">_xll.BDP("USBL"&amp;LEFT($K58,LEN($K58)-1)&amp;" "&amp;LEFT(basisLink,LEN(basisLink)-FIND("/",basisLink))&amp;" Curncy","ASK")</f>
        <v>#NAME?</v>
      </c>
      <c r="AI58" s="109" t="str">
        <f t="shared" ca="1" si="17"/>
        <v>N/A</v>
      </c>
    </row>
    <row r="59" spans="1:35" ht="15" customHeight="1" x14ac:dyDescent="0.25">
      <c r="A59" s="13"/>
      <c r="B59" s="13"/>
      <c r="C59" s="13"/>
      <c r="D59" s="13"/>
      <c r="E59" s="13"/>
      <c r="F59" s="90" t="s">
        <v>26</v>
      </c>
      <c r="G59" s="111" t="e">
        <f ca="1">_xll.BDP("USSOH "&amp;LEFT(OISLink,LEN(OISLink)-FIND("/",OISLink))&amp;" Curncy","Bid")</f>
        <v>#NAME?</v>
      </c>
      <c r="H59" s="111" t="e">
        <f ca="1">_xll.BDP("USSOH "&amp;LEFT(OISLink,LEN(OISLink)-FIND("/",OISLink))&amp;" Curncy","ASK")</f>
        <v>#NAME?</v>
      </c>
      <c r="I59" s="112" t="str">
        <f t="shared" ca="1" si="9"/>
        <v>N/A</v>
      </c>
      <c r="K59" s="90" t="s">
        <v>42</v>
      </c>
      <c r="L59" s="113" t="e">
        <f ca="1">_xll.BDP("USBG"&amp;LEFT($K59,LEN($K59)-1)&amp;" "&amp;LEFT(basisLink,LEN(basisLink)-FIND("/",basisLink))&amp;" Curncy","Bid")</f>
        <v>#NAME?</v>
      </c>
      <c r="M59" s="113" t="e">
        <f ca="1">_xll.BDP("USBG"&amp;LEFT($K59,LEN($K59)-1)&amp;" "&amp;LEFT(basisLink,LEN(basisLink)-FIND("/",basisLink))&amp;" Curncy","ASK")</f>
        <v>#NAME?</v>
      </c>
      <c r="N59" s="113" t="str">
        <f t="shared" ca="1" si="11"/>
        <v>N/A</v>
      </c>
      <c r="O59" s="113" t="e">
        <f ca="1">_xll.BDP("USBD"&amp;LEFT($K59,LEN($K59)-1)&amp;" "&amp;LEFT(basisLink,LEN(basisLink)-FIND("/",basisLink))&amp;" Curncy","Bid")</f>
        <v>#NAME?</v>
      </c>
      <c r="P59" s="113" t="e">
        <f ca="1">_xll.BDP("USBD"&amp;LEFT($K59,LEN($K59)-1)&amp;" "&amp;LEFT(basisLink,LEN(basisLink)-FIND("/",basisLink))&amp;" Curncy","ASK")</f>
        <v>#NAME?</v>
      </c>
      <c r="Q59" s="113" t="str">
        <f t="shared" ca="1" si="10"/>
        <v>N/A</v>
      </c>
      <c r="R59" s="113" t="e">
        <f ca="1">_xll.BDP("USBF"&amp;LEFT($K59,LEN($K59)-1)&amp;" "&amp;LEFT(basisLink,LEN(basisLink)-FIND("/",basisLink))&amp;" Curncy","Bid")</f>
        <v>#NAME?</v>
      </c>
      <c r="S59" s="113" t="e">
        <f ca="1">_xll.BDP("USBF"&amp;LEFT($K59,LEN($K59)-1)&amp;" "&amp;LEFT(basisLink,LEN(basisLink)-FIND("/",basisLink))&amp;" Curncy","ASK")</f>
        <v>#NAME?</v>
      </c>
      <c r="T59" s="113" t="str">
        <f t="shared" ca="1" si="12"/>
        <v>N/A</v>
      </c>
      <c r="U59" s="113" t="e">
        <f ca="1">_xll.BDP("USBE"&amp;LEFT($K59,LEN($K59)-1)&amp;" "&amp;LEFT(basisLink,LEN(basisLink)-FIND("/",basisLink))&amp;" Curncy","Bid")</f>
        <v>#NAME?</v>
      </c>
      <c r="V59" s="113" t="e">
        <f ca="1">_xll.BDP("USBE"&amp;LEFT($K59,LEN($K59)-1)&amp;" "&amp;LEFT(basisLink,LEN(basisLink)-FIND("/",basisLink))&amp;" Curncy","ASK")</f>
        <v>#NAME?</v>
      </c>
      <c r="W59" s="113" t="str">
        <f t="shared" ca="1" si="13"/>
        <v>N/A</v>
      </c>
      <c r="X59" s="113" t="e">
        <f ca="1">_xll.BDP("USBA"&amp;LEFT($K59,LEN($K59)-1)&amp;" "&amp;LEFT(basisLink,LEN(basisLink)-FIND("/",basisLink))&amp;" Curncy","Bid")</f>
        <v>#NAME?</v>
      </c>
      <c r="Y59" s="113" t="e">
        <f ca="1">_xll.BDP("USBA"&amp;LEFT($K59,LEN($K59)-1)&amp;" "&amp;LEFT(basisLink,LEN(basisLink)-FIND("/",basisLink))&amp;" Curncy","ASK")</f>
        <v>#NAME?</v>
      </c>
      <c r="Z59" s="113" t="str">
        <f t="shared" ca="1" si="14"/>
        <v>N/A</v>
      </c>
      <c r="AA59" s="111" t="e">
        <f ca="1">_xll.BDP("USBC"&amp;LEFT($K59,LEN($K59)-1)&amp;" "&amp;LEFT(basisLink,LEN(basisLink)-FIND("/",basisLink))&amp;" Curncy","Bid")</f>
        <v>#NAME?</v>
      </c>
      <c r="AB59" s="111" t="e">
        <f ca="1">_xll.BDP("USBC"&amp;LEFT($K59,LEN($K59)-1)&amp;" "&amp;LEFT(basisLink,LEN(basisLink)-FIND("/",basisLink))&amp;" Curncy","ASK")</f>
        <v>#NAME?</v>
      </c>
      <c r="AC59" s="111" t="str">
        <f t="shared" ca="1" si="15"/>
        <v>N/A</v>
      </c>
      <c r="AD59" s="111" t="e">
        <f ca="1">_xll.BDP("USBB"&amp;LEFT($K59,LEN($K59)-1)&amp;" "&amp;LEFT(basisLink,LEN(basisLink)-FIND("/",basisLink))&amp;" Curncy","Bid")</f>
        <v>#NAME?</v>
      </c>
      <c r="AE59" s="111" t="e">
        <f ca="1">_xll.BDP("USBB"&amp;LEFT($K59,LEN($K59)-1)&amp;" "&amp;LEFT(basisLink,LEN(basisLink)-FIND("/",basisLink))&amp;" Curncy","ASK")</f>
        <v>#NAME?</v>
      </c>
      <c r="AF59" s="111" t="str">
        <f t="shared" ca="1" si="16"/>
        <v>N/A</v>
      </c>
      <c r="AG59" s="111" t="e">
        <f ca="1">_xll.BDP("USBL"&amp;LEFT($K59,LEN($K59)-1)&amp;" "&amp;LEFT(basisLink,LEN(basisLink)-FIND("/",basisLink))&amp;" Curncy","Bid")</f>
        <v>#NAME?</v>
      </c>
      <c r="AH59" s="111" t="e">
        <f ca="1">_xll.BDP("USBL"&amp;LEFT($K59,LEN($K59)-1)&amp;" "&amp;LEFT(basisLink,LEN(basisLink)-FIND("/",basisLink))&amp;" Curncy","ASK")</f>
        <v>#NAME?</v>
      </c>
      <c r="AI59" s="112" t="str">
        <f t="shared" ca="1" si="17"/>
        <v>N/A</v>
      </c>
    </row>
    <row r="60" spans="1:35" ht="15" customHeight="1" x14ac:dyDescent="0.25">
      <c r="A60" s="13"/>
      <c r="B60" s="13"/>
      <c r="C60" s="13"/>
      <c r="D60" s="13"/>
      <c r="E60" s="13"/>
      <c r="F60" s="90" t="s">
        <v>27</v>
      </c>
      <c r="G60" s="108" t="e">
        <f ca="1">_xll.BDP("USSOI "&amp;LEFT(OISLink,LEN(OISLink)-FIND("/",OISLink))&amp;" Curncy","Bid")</f>
        <v>#NAME?</v>
      </c>
      <c r="H60" s="108" t="e">
        <f ca="1">_xll.BDP("USSOI "&amp;LEFT(OISLink,LEN(OISLink)-FIND("/",OISLink))&amp;" Curncy","ASK")</f>
        <v>#NAME?</v>
      </c>
      <c r="I60" s="109" t="str">
        <f t="shared" ca="1" si="9"/>
        <v>N/A</v>
      </c>
      <c r="K60" s="90" t="s">
        <v>43</v>
      </c>
      <c r="L60" s="110" t="e">
        <f ca="1">_xll.BDP("USBG"&amp;LEFT($K60,LEN($K60)-1)&amp;" "&amp;LEFT(basisLink,LEN(basisLink)-FIND("/",basisLink))&amp;" Curncy","Bid")</f>
        <v>#NAME?</v>
      </c>
      <c r="M60" s="110" t="e">
        <f ca="1">_xll.BDP("USBG"&amp;LEFT($K60,LEN($K60)-1)&amp;" "&amp;LEFT(basisLink,LEN(basisLink)-FIND("/",basisLink))&amp;" Curncy","ASK")</f>
        <v>#NAME?</v>
      </c>
      <c r="N60" s="110" t="str">
        <f t="shared" ca="1" si="11"/>
        <v>N/A</v>
      </c>
      <c r="O60" s="110" t="e">
        <f ca="1">_xll.BDP("USBD"&amp;LEFT($K60,LEN($K60)-1)&amp;" "&amp;LEFT(basisLink,LEN(basisLink)-FIND("/",basisLink))&amp;" Curncy","Bid")</f>
        <v>#NAME?</v>
      </c>
      <c r="P60" s="110" t="e">
        <f ca="1">_xll.BDP("USBD"&amp;LEFT($K60,LEN($K60)-1)&amp;" "&amp;LEFT(basisLink,LEN(basisLink)-FIND("/",basisLink))&amp;" Curncy","ASK")</f>
        <v>#NAME?</v>
      </c>
      <c r="Q60" s="110" t="str">
        <f t="shared" ca="1" si="10"/>
        <v>N/A</v>
      </c>
      <c r="R60" s="110" t="e">
        <f ca="1">_xll.BDP("USBF"&amp;LEFT($K60,LEN($K60)-1)&amp;" "&amp;LEFT(basisLink,LEN(basisLink)-FIND("/",basisLink))&amp;" Curncy","Bid")</f>
        <v>#NAME?</v>
      </c>
      <c r="S60" s="110" t="e">
        <f ca="1">_xll.BDP("USBF"&amp;LEFT($K60,LEN($K60)-1)&amp;" "&amp;LEFT(basisLink,LEN(basisLink)-FIND("/",basisLink))&amp;" Curncy","ASK")</f>
        <v>#NAME?</v>
      </c>
      <c r="T60" s="110" t="str">
        <f t="shared" ca="1" si="12"/>
        <v>N/A</v>
      </c>
      <c r="U60" s="110" t="e">
        <f ca="1">_xll.BDP("USBE"&amp;LEFT($K60,LEN($K60)-1)&amp;" "&amp;LEFT(basisLink,LEN(basisLink)-FIND("/",basisLink))&amp;" Curncy","Bid")</f>
        <v>#NAME?</v>
      </c>
      <c r="V60" s="110" t="e">
        <f ca="1">_xll.BDP("USBE"&amp;LEFT($K60,LEN($K60)-1)&amp;" "&amp;LEFT(basisLink,LEN(basisLink)-FIND("/",basisLink))&amp;" Curncy","ASK")</f>
        <v>#NAME?</v>
      </c>
      <c r="W60" s="110" t="str">
        <f t="shared" ca="1" si="13"/>
        <v>N/A</v>
      </c>
      <c r="X60" s="110" t="e">
        <f ca="1">_xll.BDP("USBA"&amp;LEFT($K60,LEN($K60)-1)&amp;" "&amp;LEFT(basisLink,LEN(basisLink)-FIND("/",basisLink))&amp;" Curncy","Bid")</f>
        <v>#NAME?</v>
      </c>
      <c r="Y60" s="110" t="e">
        <f ca="1">_xll.BDP("USBA"&amp;LEFT($K60,LEN($K60)-1)&amp;" "&amp;LEFT(basisLink,LEN(basisLink)-FIND("/",basisLink))&amp;" Curncy","ASK")</f>
        <v>#NAME?</v>
      </c>
      <c r="Z60" s="110" t="str">
        <f t="shared" ca="1" si="14"/>
        <v>N/A</v>
      </c>
      <c r="AA60" s="108" t="e">
        <f ca="1">_xll.BDP("USBC"&amp;LEFT($K60,LEN($K60)-1)&amp;" "&amp;LEFT(basisLink,LEN(basisLink)-FIND("/",basisLink))&amp;" Curncy","Bid")</f>
        <v>#NAME?</v>
      </c>
      <c r="AB60" s="108" t="e">
        <f ca="1">_xll.BDP("USBC"&amp;LEFT($K60,LEN($K60)-1)&amp;" "&amp;LEFT(basisLink,LEN(basisLink)-FIND("/",basisLink))&amp;" Curncy","ASK")</f>
        <v>#NAME?</v>
      </c>
      <c r="AC60" s="108" t="str">
        <f t="shared" ca="1" si="15"/>
        <v>N/A</v>
      </c>
      <c r="AD60" s="108" t="e">
        <f ca="1">_xll.BDP("USBB"&amp;LEFT($K60,LEN($K60)-1)&amp;" "&amp;LEFT(basisLink,LEN(basisLink)-FIND("/",basisLink))&amp;" Curncy","Bid")</f>
        <v>#NAME?</v>
      </c>
      <c r="AE60" s="108" t="e">
        <f ca="1">_xll.BDP("USBB"&amp;LEFT($K60,LEN($K60)-1)&amp;" "&amp;LEFT(basisLink,LEN(basisLink)-FIND("/",basisLink))&amp;" Curncy","ASK")</f>
        <v>#NAME?</v>
      </c>
      <c r="AF60" s="108" t="str">
        <f t="shared" ca="1" si="16"/>
        <v>N/A</v>
      </c>
      <c r="AG60" s="108" t="e">
        <f ca="1">_xll.BDP("USBL"&amp;LEFT($K60,LEN($K60)-1)&amp;" "&amp;LEFT(basisLink,LEN(basisLink)-FIND("/",basisLink))&amp;" Curncy","Bid")</f>
        <v>#NAME?</v>
      </c>
      <c r="AH60" s="108" t="e">
        <f ca="1">_xll.BDP("USBL"&amp;LEFT($K60,LEN($K60)-1)&amp;" "&amp;LEFT(basisLink,LEN(basisLink)-FIND("/",basisLink))&amp;" Curncy","ASK")</f>
        <v>#NAME?</v>
      </c>
      <c r="AI60" s="109" t="str">
        <f t="shared" ca="1" si="17"/>
        <v>N/A</v>
      </c>
    </row>
    <row r="61" spans="1:35" ht="15" customHeight="1" x14ac:dyDescent="0.25">
      <c r="F61" s="90" t="s">
        <v>32</v>
      </c>
      <c r="G61" s="111" t="e">
        <f ca="1">_xll.BDP("USSOJ "&amp;LEFT(OISLink,LEN(OISLink)-FIND("/",OISLink))&amp;" Curncy","Bid")</f>
        <v>#NAME?</v>
      </c>
      <c r="H61" s="111" t="e">
        <f ca="1">_xll.BDP("USSOJ "&amp;LEFT(OISLink,LEN(OISLink)-FIND("/",OISLink))&amp;" Curncy","ASK")</f>
        <v>#NAME?</v>
      </c>
      <c r="I61" s="112" t="str">
        <f t="shared" ca="1" si="9"/>
        <v>N/A</v>
      </c>
      <c r="K61" s="90" t="s">
        <v>44</v>
      </c>
      <c r="L61" s="113" t="e">
        <f ca="1">_xll.BDP("USBG"&amp;LEFT($K61,LEN($K61)-1)&amp;" "&amp;LEFT(basisLink,LEN(basisLink)-FIND("/",basisLink))&amp;" Curncy","Bid")</f>
        <v>#NAME?</v>
      </c>
      <c r="M61" s="113" t="e">
        <f ca="1">_xll.BDP("USBG"&amp;LEFT($K61,LEN($K61)-1)&amp;" "&amp;LEFT(basisLink,LEN(basisLink)-FIND("/",basisLink))&amp;" Curncy","ASK")</f>
        <v>#NAME?</v>
      </c>
      <c r="N61" s="113" t="str">
        <f t="shared" ca="1" si="11"/>
        <v>N/A</v>
      </c>
      <c r="O61" s="113" t="e">
        <f ca="1">_xll.BDP("USBD"&amp;LEFT($K61,LEN($K61)-1)&amp;" "&amp;LEFT(basisLink,LEN(basisLink)-FIND("/",basisLink))&amp;" Curncy","Bid")</f>
        <v>#NAME?</v>
      </c>
      <c r="P61" s="113" t="e">
        <f ca="1">_xll.BDP("USBD"&amp;LEFT($K61,LEN($K61)-1)&amp;" "&amp;LEFT(basisLink,LEN(basisLink)-FIND("/",basisLink))&amp;" Curncy","ASK")</f>
        <v>#NAME?</v>
      </c>
      <c r="Q61" s="113" t="str">
        <f t="shared" ca="1" si="10"/>
        <v>N/A</v>
      </c>
      <c r="R61" s="113" t="e">
        <f ca="1">_xll.BDP("USBF"&amp;LEFT($K61,LEN($K61)-1)&amp;" "&amp;LEFT(basisLink,LEN(basisLink)-FIND("/",basisLink))&amp;" Curncy","Bid")</f>
        <v>#NAME?</v>
      </c>
      <c r="S61" s="113" t="e">
        <f ca="1">_xll.BDP("USBF"&amp;LEFT($K61,LEN($K61)-1)&amp;" "&amp;LEFT(basisLink,LEN(basisLink)-FIND("/",basisLink))&amp;" Curncy","ASK")</f>
        <v>#NAME?</v>
      </c>
      <c r="T61" s="113" t="str">
        <f t="shared" ca="1" si="12"/>
        <v>N/A</v>
      </c>
      <c r="U61" s="113" t="e">
        <f ca="1">_xll.BDP("USBE"&amp;LEFT($K61,LEN($K61)-1)&amp;" "&amp;LEFT(basisLink,LEN(basisLink)-FIND("/",basisLink))&amp;" Curncy","Bid")</f>
        <v>#NAME?</v>
      </c>
      <c r="V61" s="113" t="e">
        <f ca="1">_xll.BDP("USBE"&amp;LEFT($K61,LEN($K61)-1)&amp;" "&amp;LEFT(basisLink,LEN(basisLink)-FIND("/",basisLink))&amp;" Curncy","ASK")</f>
        <v>#NAME?</v>
      </c>
      <c r="W61" s="113" t="str">
        <f t="shared" ca="1" si="13"/>
        <v>N/A</v>
      </c>
      <c r="X61" s="113" t="e">
        <f ca="1">_xll.BDP("USBA"&amp;LEFT($K61,LEN($K61)-1)&amp;" "&amp;LEFT(basisLink,LEN(basisLink)-FIND("/",basisLink))&amp;" Curncy","Bid")</f>
        <v>#NAME?</v>
      </c>
      <c r="Y61" s="113" t="e">
        <f ca="1">_xll.BDP("USBA"&amp;LEFT($K61,LEN($K61)-1)&amp;" "&amp;LEFT(basisLink,LEN(basisLink)-FIND("/",basisLink))&amp;" Curncy","ASK")</f>
        <v>#NAME?</v>
      </c>
      <c r="Z61" s="113" t="str">
        <f t="shared" ca="1" si="14"/>
        <v>N/A</v>
      </c>
      <c r="AA61" s="111" t="e">
        <f ca="1">_xll.BDP("USBC"&amp;LEFT($K61,LEN($K61)-1)&amp;" "&amp;LEFT(basisLink,LEN(basisLink)-FIND("/",basisLink))&amp;" Curncy","Bid")</f>
        <v>#NAME?</v>
      </c>
      <c r="AB61" s="111" t="e">
        <f ca="1">_xll.BDP("USBC"&amp;LEFT($K61,LEN($K61)-1)&amp;" "&amp;LEFT(basisLink,LEN(basisLink)-FIND("/",basisLink))&amp;" Curncy","ASK")</f>
        <v>#NAME?</v>
      </c>
      <c r="AC61" s="111" t="str">
        <f t="shared" ca="1" si="15"/>
        <v>N/A</v>
      </c>
      <c r="AD61" s="111" t="e">
        <f ca="1">_xll.BDP("USBB"&amp;LEFT($K61,LEN($K61)-1)&amp;" "&amp;LEFT(basisLink,LEN(basisLink)-FIND("/",basisLink))&amp;" Curncy","Bid")</f>
        <v>#NAME?</v>
      </c>
      <c r="AE61" s="111" t="e">
        <f ca="1">_xll.BDP("USBB"&amp;LEFT($K61,LEN($K61)-1)&amp;" "&amp;LEFT(basisLink,LEN(basisLink)-FIND("/",basisLink))&amp;" Curncy","ASK")</f>
        <v>#NAME?</v>
      </c>
      <c r="AF61" s="111" t="str">
        <f t="shared" ca="1" si="16"/>
        <v>N/A</v>
      </c>
      <c r="AG61" s="111" t="e">
        <f ca="1">_xll.BDP("USBL"&amp;LEFT($K61,LEN($K61)-1)&amp;" "&amp;LEFT(basisLink,LEN(basisLink)-FIND("/",basisLink))&amp;" Curncy","Bid")</f>
        <v>#NAME?</v>
      </c>
      <c r="AH61" s="111" t="e">
        <f ca="1">_xll.BDP("USBL"&amp;LEFT($K61,LEN($K61)-1)&amp;" "&amp;LEFT(basisLink,LEN(basisLink)-FIND("/",basisLink))&amp;" Curncy","ASK")</f>
        <v>#NAME?</v>
      </c>
      <c r="AI61" s="112" t="str">
        <f t="shared" ca="1" si="17"/>
        <v>N/A</v>
      </c>
    </row>
    <row r="62" spans="1:35" ht="15" customHeight="1" x14ac:dyDescent="0.25">
      <c r="F62" s="90" t="s">
        <v>33</v>
      </c>
      <c r="G62" s="108" t="e">
        <f ca="1">_xll.BDP("USSOK "&amp;LEFT(OISLink,LEN(OISLink)-FIND("/",OISLink))&amp;" Curncy","Bid")</f>
        <v>#NAME?</v>
      </c>
      <c r="H62" s="108" t="e">
        <f ca="1">_xll.BDP("USSOK "&amp;LEFT(OISLink,LEN(OISLink)-FIND("/",OISLink))&amp;" Curncy","ASK")</f>
        <v>#NAME?</v>
      </c>
      <c r="I62" s="109" t="str">
        <f t="shared" ca="1" si="9"/>
        <v>N/A</v>
      </c>
      <c r="K62" s="90" t="s">
        <v>45</v>
      </c>
      <c r="L62" s="110" t="e">
        <f ca="1">_xll.BDP("USBG"&amp;LEFT($K62,LEN($K62)-1)&amp;" "&amp;LEFT(basisLink,LEN(basisLink)-FIND("/",basisLink))&amp;" Curncy","Bid")</f>
        <v>#NAME?</v>
      </c>
      <c r="M62" s="110" t="e">
        <f ca="1">_xll.BDP("USBG"&amp;LEFT($K62,LEN($K62)-1)&amp;" "&amp;LEFT(basisLink,LEN(basisLink)-FIND("/",basisLink))&amp;" Curncy","ASK")</f>
        <v>#NAME?</v>
      </c>
      <c r="N62" s="110" t="str">
        <f t="shared" ca="1" si="11"/>
        <v>N/A</v>
      </c>
      <c r="O62" s="110" t="e">
        <f ca="1">_xll.BDP("USBD"&amp;LEFT($K62,LEN($K62)-1)&amp;" "&amp;LEFT(basisLink,LEN(basisLink)-FIND("/",basisLink))&amp;" Curncy","Bid")</f>
        <v>#NAME?</v>
      </c>
      <c r="P62" s="110" t="e">
        <f ca="1">_xll.BDP("USBD"&amp;LEFT($K62,LEN($K62)-1)&amp;" "&amp;LEFT(basisLink,LEN(basisLink)-FIND("/",basisLink))&amp;" Curncy","ASK")</f>
        <v>#NAME?</v>
      </c>
      <c r="Q62" s="110" t="str">
        <f t="shared" ca="1" si="10"/>
        <v>N/A</v>
      </c>
      <c r="R62" s="110" t="e">
        <f ca="1">_xll.BDP("USBF"&amp;LEFT($K62,LEN($K62)-1)&amp;" "&amp;LEFT(basisLink,LEN(basisLink)-FIND("/",basisLink))&amp;" Curncy","Bid")</f>
        <v>#NAME?</v>
      </c>
      <c r="S62" s="110" t="e">
        <f ca="1">_xll.BDP("USBF"&amp;LEFT($K62,LEN($K62)-1)&amp;" "&amp;LEFT(basisLink,LEN(basisLink)-FIND("/",basisLink))&amp;" Curncy","ASK")</f>
        <v>#NAME?</v>
      </c>
      <c r="T62" s="110" t="str">
        <f t="shared" ca="1" si="12"/>
        <v>N/A</v>
      </c>
      <c r="U62" s="110" t="e">
        <f ca="1">_xll.BDP("USBE"&amp;LEFT($K62,LEN($K62)-1)&amp;" "&amp;LEFT(basisLink,LEN(basisLink)-FIND("/",basisLink))&amp;" Curncy","Bid")</f>
        <v>#NAME?</v>
      </c>
      <c r="V62" s="110" t="e">
        <f ca="1">_xll.BDP("USBE"&amp;LEFT($K62,LEN($K62)-1)&amp;" "&amp;LEFT(basisLink,LEN(basisLink)-FIND("/",basisLink))&amp;" Curncy","ASK")</f>
        <v>#NAME?</v>
      </c>
      <c r="W62" s="110" t="str">
        <f t="shared" ca="1" si="13"/>
        <v>N/A</v>
      </c>
      <c r="X62" s="110" t="e">
        <f ca="1">_xll.BDP("USBA"&amp;LEFT($K62,LEN($K62)-1)&amp;" "&amp;LEFT(basisLink,LEN(basisLink)-FIND("/",basisLink))&amp;" Curncy","Bid")</f>
        <v>#NAME?</v>
      </c>
      <c r="Y62" s="110" t="e">
        <f ca="1">_xll.BDP("USBA"&amp;LEFT($K62,LEN($K62)-1)&amp;" "&amp;LEFT(basisLink,LEN(basisLink)-FIND("/",basisLink))&amp;" Curncy","ASK")</f>
        <v>#NAME?</v>
      </c>
      <c r="Z62" s="110" t="str">
        <f t="shared" ca="1" si="14"/>
        <v>N/A</v>
      </c>
      <c r="AA62" s="108" t="e">
        <f ca="1">_xll.BDP("USBC"&amp;LEFT($K62,LEN($K62)-1)&amp;" "&amp;LEFT(basisLink,LEN(basisLink)-FIND("/",basisLink))&amp;" Curncy","Bid")</f>
        <v>#NAME?</v>
      </c>
      <c r="AB62" s="108" t="e">
        <f ca="1">_xll.BDP("USBC"&amp;LEFT($K62,LEN($K62)-1)&amp;" "&amp;LEFT(basisLink,LEN(basisLink)-FIND("/",basisLink))&amp;" Curncy","ASK")</f>
        <v>#NAME?</v>
      </c>
      <c r="AC62" s="108" t="str">
        <f t="shared" ca="1" si="15"/>
        <v>N/A</v>
      </c>
      <c r="AD62" s="108" t="e">
        <f ca="1">_xll.BDP("USBB"&amp;LEFT($K62,LEN($K62)-1)&amp;" "&amp;LEFT(basisLink,LEN(basisLink)-FIND("/",basisLink))&amp;" Curncy","Bid")</f>
        <v>#NAME?</v>
      </c>
      <c r="AE62" s="108" t="e">
        <f ca="1">_xll.BDP("USBB"&amp;LEFT($K62,LEN($K62)-1)&amp;" "&amp;LEFT(basisLink,LEN(basisLink)-FIND("/",basisLink))&amp;" Curncy","ASK")</f>
        <v>#NAME?</v>
      </c>
      <c r="AF62" s="108" t="str">
        <f t="shared" ca="1" si="16"/>
        <v>N/A</v>
      </c>
      <c r="AG62" s="108" t="e">
        <f ca="1">_xll.BDP("USBL"&amp;LEFT($K62,LEN($K62)-1)&amp;" "&amp;LEFT(basisLink,LEN(basisLink)-FIND("/",basisLink))&amp;" Curncy","Bid")</f>
        <v>#NAME?</v>
      </c>
      <c r="AH62" s="108" t="e">
        <f ca="1">_xll.BDP("USBL"&amp;LEFT($K62,LEN($K62)-1)&amp;" "&amp;LEFT(basisLink,LEN(basisLink)-FIND("/",basisLink))&amp;" Curncy","ASK")</f>
        <v>#NAME?</v>
      </c>
      <c r="AI62" s="109" t="str">
        <f t="shared" ca="1" si="17"/>
        <v>N/A</v>
      </c>
    </row>
    <row r="63" spans="1:35" ht="15" customHeight="1" x14ac:dyDescent="0.25">
      <c r="F63" s="90" t="s">
        <v>34</v>
      </c>
      <c r="G63" s="111" t="e">
        <f ca="1">_xll.BDP("USSO1 "&amp;LEFT(OISLink,LEN(OISLink)-FIND("/",OISLink))&amp;" Curncy","Bid")</f>
        <v>#NAME?</v>
      </c>
      <c r="H63" s="111" t="e">
        <f ca="1">_xll.BDP("USSO1 "&amp;LEFT(OISLink,LEN(OISLink)-FIND("/",OISLink))&amp;" Curncy","ASK")</f>
        <v>#NAME?</v>
      </c>
      <c r="I63" s="112" t="str">
        <f t="shared" ca="1" si="9"/>
        <v>N/A</v>
      </c>
      <c r="K63" s="90" t="s">
        <v>46</v>
      </c>
      <c r="L63" s="113" t="e">
        <f ca="1">_xll.BDP("USBG"&amp;LEFT($K63,LEN($K63)-1)&amp;" "&amp;LEFT(basisLink,LEN(basisLink)-FIND("/",basisLink))&amp;" Curncy","Bid")</f>
        <v>#NAME?</v>
      </c>
      <c r="M63" s="113" t="e">
        <f ca="1">_xll.BDP("USBG"&amp;LEFT($K63,LEN($K63)-1)&amp;" "&amp;LEFT(basisLink,LEN(basisLink)-FIND("/",basisLink))&amp;" Curncy","ASK")</f>
        <v>#NAME?</v>
      </c>
      <c r="N63" s="113" t="str">
        <f t="shared" ca="1" si="11"/>
        <v>N/A</v>
      </c>
      <c r="O63" s="113" t="e">
        <f ca="1">_xll.BDP("USBD"&amp;LEFT($K63,LEN($K63)-1)&amp;" "&amp;LEFT(basisLink,LEN(basisLink)-FIND("/",basisLink))&amp;" Curncy","Bid")</f>
        <v>#NAME?</v>
      </c>
      <c r="P63" s="113" t="e">
        <f ca="1">_xll.BDP("USBD"&amp;LEFT($K63,LEN($K63)-1)&amp;" "&amp;LEFT(basisLink,LEN(basisLink)-FIND("/",basisLink))&amp;" Curncy","ASK")</f>
        <v>#NAME?</v>
      </c>
      <c r="Q63" s="113" t="str">
        <f t="shared" ca="1" si="10"/>
        <v>N/A</v>
      </c>
      <c r="R63" s="113" t="e">
        <f ca="1">_xll.BDP("USBF"&amp;LEFT($K63,LEN($K63)-1)&amp;" "&amp;LEFT(basisLink,LEN(basisLink)-FIND("/",basisLink))&amp;" Curncy","Bid")</f>
        <v>#NAME?</v>
      </c>
      <c r="S63" s="113" t="e">
        <f ca="1">_xll.BDP("USBF"&amp;LEFT($K63,LEN($K63)-1)&amp;" "&amp;LEFT(basisLink,LEN(basisLink)-FIND("/",basisLink))&amp;" Curncy","ASK")</f>
        <v>#NAME?</v>
      </c>
      <c r="T63" s="113" t="str">
        <f t="shared" ca="1" si="12"/>
        <v>N/A</v>
      </c>
      <c r="U63" s="113" t="e">
        <f ca="1">_xll.BDP("USBE"&amp;LEFT($K63,LEN($K63)-1)&amp;" "&amp;LEFT(basisLink,LEN(basisLink)-FIND("/",basisLink))&amp;" Curncy","Bid")</f>
        <v>#NAME?</v>
      </c>
      <c r="V63" s="113" t="e">
        <f ca="1">_xll.BDP("USBE"&amp;LEFT($K63,LEN($K63)-1)&amp;" "&amp;LEFT(basisLink,LEN(basisLink)-FIND("/",basisLink))&amp;" Curncy","ASK")</f>
        <v>#NAME?</v>
      </c>
      <c r="W63" s="113" t="str">
        <f t="shared" ca="1" si="13"/>
        <v>N/A</v>
      </c>
      <c r="X63" s="113" t="e">
        <f ca="1">_xll.BDP("USBA"&amp;LEFT($K63,LEN($K63)-1)&amp;" "&amp;LEFT(basisLink,LEN(basisLink)-FIND("/",basisLink))&amp;" Curncy","Bid")</f>
        <v>#NAME?</v>
      </c>
      <c r="Y63" s="113" t="e">
        <f ca="1">_xll.BDP("USBA"&amp;LEFT($K63,LEN($K63)-1)&amp;" "&amp;LEFT(basisLink,LEN(basisLink)-FIND("/",basisLink))&amp;" Curncy","ASK")</f>
        <v>#NAME?</v>
      </c>
      <c r="Z63" s="113" t="str">
        <f t="shared" ca="1" si="14"/>
        <v>N/A</v>
      </c>
      <c r="AA63" s="111" t="e">
        <f ca="1">_xll.BDP("USBC"&amp;LEFT($K63,LEN($K63)-1)&amp;" "&amp;LEFT(basisLink,LEN(basisLink)-FIND("/",basisLink))&amp;" Curncy","Bid")</f>
        <v>#NAME?</v>
      </c>
      <c r="AB63" s="111" t="e">
        <f ca="1">_xll.BDP("USBC"&amp;LEFT($K63,LEN($K63)-1)&amp;" "&amp;LEFT(basisLink,LEN(basisLink)-FIND("/",basisLink))&amp;" Curncy","ASK")</f>
        <v>#NAME?</v>
      </c>
      <c r="AC63" s="111" t="str">
        <f t="shared" ca="1" si="15"/>
        <v>N/A</v>
      </c>
      <c r="AD63" s="111" t="e">
        <f ca="1">_xll.BDP("USBB"&amp;LEFT($K63,LEN($K63)-1)&amp;" "&amp;LEFT(basisLink,LEN(basisLink)-FIND("/",basisLink))&amp;" Curncy","Bid")</f>
        <v>#NAME?</v>
      </c>
      <c r="AE63" s="111" t="e">
        <f ca="1">_xll.BDP("USBB"&amp;LEFT($K63,LEN($K63)-1)&amp;" "&amp;LEFT(basisLink,LEN(basisLink)-FIND("/",basisLink))&amp;" Curncy","ASK")</f>
        <v>#NAME?</v>
      </c>
      <c r="AF63" s="111" t="str">
        <f t="shared" ca="1" si="16"/>
        <v>N/A</v>
      </c>
      <c r="AG63" s="111" t="e">
        <f ca="1">_xll.BDP("USBL"&amp;LEFT($K63,LEN($K63)-1)&amp;" "&amp;LEFT(basisLink,LEN(basisLink)-FIND("/",basisLink))&amp;" Curncy","Bid")</f>
        <v>#NAME?</v>
      </c>
      <c r="AH63" s="111" t="e">
        <f ca="1">_xll.BDP("USBL"&amp;LEFT($K63,LEN($K63)-1)&amp;" "&amp;LEFT(basisLink,LEN(basisLink)-FIND("/",basisLink))&amp;" Curncy","ASK")</f>
        <v>#NAME?</v>
      </c>
      <c r="AI63" s="112" t="str">
        <f t="shared" ca="1" si="17"/>
        <v>N/A</v>
      </c>
    </row>
    <row r="64" spans="1:35" ht="15" customHeight="1" x14ac:dyDescent="0.25">
      <c r="F64" s="90" t="s">
        <v>28</v>
      </c>
      <c r="G64" s="108" t="e">
        <f ca="1">_xll.BDP("USSO1C "&amp;LEFT(OISLink,LEN(OISLink)-FIND("/",OISLink))&amp;" Curncy","Bid")</f>
        <v>#NAME?</v>
      </c>
      <c r="H64" s="108" t="e">
        <f ca="1">_xll.BDP("USSO1C "&amp;LEFT(OISLink,LEN(OISLink)-FIND("/",OISLink))&amp;" Curncy","ASK")</f>
        <v>#NAME?</v>
      </c>
      <c r="I64" s="109" t="str">
        <f t="shared" ca="1" si="9"/>
        <v>N/A</v>
      </c>
      <c r="K64" s="100" t="s">
        <v>47</v>
      </c>
      <c r="L64" s="114" t="e">
        <f ca="1">_xll.BDP("USBG"&amp;LEFT($K64,LEN($K64)-1)&amp;" "&amp;LEFT(basisLink,LEN(basisLink)-FIND("/",basisLink))&amp;" Curncy","Bid")</f>
        <v>#NAME?</v>
      </c>
      <c r="M64" s="114" t="e">
        <f ca="1">_xll.BDP("USBG"&amp;LEFT($K64,LEN($K64)-1)&amp;" "&amp;LEFT(basisLink,LEN(basisLink)-FIND("/",basisLink))&amp;" Curncy","ASK")</f>
        <v>#NAME?</v>
      </c>
      <c r="N64" s="114" t="str">
        <f t="shared" ca="1" si="11"/>
        <v>N/A</v>
      </c>
      <c r="O64" s="114" t="e">
        <f ca="1">_xll.BDP("USBD"&amp;LEFT($K64,LEN($K64)-1)&amp;" "&amp;LEFT(basisLink,LEN(basisLink)-FIND("/",basisLink))&amp;" Curncy","Bid")</f>
        <v>#NAME?</v>
      </c>
      <c r="P64" s="114" t="e">
        <f ca="1">_xll.BDP("USBD"&amp;LEFT($K64,LEN($K64)-1)&amp;" "&amp;LEFT(basisLink,LEN(basisLink)-FIND("/",basisLink))&amp;" Curncy","ASK")</f>
        <v>#NAME?</v>
      </c>
      <c r="Q64" s="114" t="str">
        <f t="shared" ca="1" si="10"/>
        <v>N/A</v>
      </c>
      <c r="R64" s="114" t="e">
        <f ca="1">_xll.BDP("USBF"&amp;LEFT($K64,LEN($K64)-1)&amp;" "&amp;LEFT(basisLink,LEN(basisLink)-FIND("/",basisLink))&amp;" Curncy","Bid")</f>
        <v>#NAME?</v>
      </c>
      <c r="S64" s="114" t="e">
        <f ca="1">_xll.BDP("USBF"&amp;LEFT($K64,LEN($K64)-1)&amp;" "&amp;LEFT(basisLink,LEN(basisLink)-FIND("/",basisLink))&amp;" Curncy","ASK")</f>
        <v>#NAME?</v>
      </c>
      <c r="T64" s="114" t="str">
        <f t="shared" ca="1" si="12"/>
        <v>N/A</v>
      </c>
      <c r="U64" s="114" t="e">
        <f ca="1">_xll.BDP("USBE"&amp;LEFT($K64,LEN($K64)-1)&amp;" "&amp;LEFT(basisLink,LEN(basisLink)-FIND("/",basisLink))&amp;" Curncy","Bid")</f>
        <v>#NAME?</v>
      </c>
      <c r="V64" s="114" t="e">
        <f ca="1">_xll.BDP("USBE"&amp;LEFT($K64,LEN($K64)-1)&amp;" "&amp;LEFT(basisLink,LEN(basisLink)-FIND("/",basisLink))&amp;" Curncy","ASK")</f>
        <v>#NAME?</v>
      </c>
      <c r="W64" s="114" t="str">
        <f t="shared" ca="1" si="13"/>
        <v>N/A</v>
      </c>
      <c r="X64" s="114" t="e">
        <f ca="1">_xll.BDP("USBA"&amp;LEFT($K64,LEN($K64)-1)&amp;" "&amp;LEFT(basisLink,LEN(basisLink)-FIND("/",basisLink))&amp;" Curncy","Bid")</f>
        <v>#NAME?</v>
      </c>
      <c r="Y64" s="114" t="e">
        <f ca="1">_xll.BDP("USBA"&amp;LEFT($K64,LEN($K64)-1)&amp;" "&amp;LEFT(basisLink,LEN(basisLink)-FIND("/",basisLink))&amp;" Curncy","ASK")</f>
        <v>#NAME?</v>
      </c>
      <c r="Z64" s="114" t="str">
        <f t="shared" ca="1" si="14"/>
        <v>N/A</v>
      </c>
      <c r="AA64" s="115" t="e">
        <f ca="1">_xll.BDP("USBC"&amp;LEFT($K64,LEN($K64)-1)&amp;" "&amp;LEFT(basisLink,LEN(basisLink)-FIND("/",basisLink))&amp;" Curncy","Bid")</f>
        <v>#NAME?</v>
      </c>
      <c r="AB64" s="115" t="e">
        <f ca="1">_xll.BDP("USBC"&amp;LEFT($K64,LEN($K64)-1)&amp;" "&amp;LEFT(basisLink,LEN(basisLink)-FIND("/",basisLink))&amp;" Curncy","ASK")</f>
        <v>#NAME?</v>
      </c>
      <c r="AC64" s="115" t="str">
        <f t="shared" ca="1" si="15"/>
        <v>N/A</v>
      </c>
      <c r="AD64" s="115" t="e">
        <f ca="1">_xll.BDP("USBB"&amp;LEFT($K64,LEN($K64)-1)&amp;" "&amp;LEFT(basisLink,LEN(basisLink)-FIND("/",basisLink))&amp;" Curncy","Bid")</f>
        <v>#NAME?</v>
      </c>
      <c r="AE64" s="115" t="e">
        <f ca="1">_xll.BDP("USBB"&amp;LEFT($K64,LEN($K64)-1)&amp;" "&amp;LEFT(basisLink,LEN(basisLink)-FIND("/",basisLink))&amp;" Curncy","ASK")</f>
        <v>#NAME?</v>
      </c>
      <c r="AF64" s="115" t="str">
        <f t="shared" ca="1" si="16"/>
        <v>N/A</v>
      </c>
      <c r="AG64" s="115" t="e">
        <f ca="1">_xll.BDP("USBL"&amp;LEFT($K64,LEN($K64)-1)&amp;" "&amp;LEFT(basisLink,LEN(basisLink)-FIND("/",basisLink))&amp;" Curncy","Bid")</f>
        <v>#NAME?</v>
      </c>
      <c r="AH64" s="115" t="e">
        <f ca="1">_xll.BDP("USBL"&amp;LEFT($K64,LEN($K64)-1)&amp;" "&amp;LEFT(basisLink,LEN(basisLink)-FIND("/",basisLink))&amp;" Curncy","ASK")</f>
        <v>#NAME?</v>
      </c>
      <c r="AI64" s="116" t="str">
        <f t="shared" ca="1" si="17"/>
        <v>N/A</v>
      </c>
    </row>
    <row r="65" spans="6:28" ht="15" customHeight="1" x14ac:dyDescent="0.25">
      <c r="F65" s="90" t="s">
        <v>29</v>
      </c>
      <c r="G65" s="111" t="e">
        <f ca="1">_xll.BDP("USSO1F "&amp;LEFT(OISLink,LEN(OISLink)-FIND("/",OISLink))&amp;" Curncy","Bid")</f>
        <v>#NAME?</v>
      </c>
      <c r="H65" s="111" t="e">
        <f ca="1">_xll.BDP("USSO1F "&amp;LEFT(OISLink,LEN(OISLink)-FIND("/",OISLink))&amp;" Curncy","ASK")</f>
        <v>#NAME?</v>
      </c>
      <c r="I65" s="112" t="str">
        <f t="shared" ca="1" si="9"/>
        <v>N/A</v>
      </c>
      <c r="J65" s="20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</row>
    <row r="66" spans="6:28" ht="15" customHeight="1" x14ac:dyDescent="0.25">
      <c r="F66" s="90" t="s">
        <v>30</v>
      </c>
      <c r="G66" s="108" t="e">
        <f ca="1">_xll.BDP("USSO1I "&amp;LEFT(OISLink,LEN(OISLink)-FIND("/",OISLink))&amp;" Curncy","Bid")</f>
        <v>#NAME?</v>
      </c>
      <c r="H66" s="108" t="e">
        <f ca="1">_xll.BDP("USSO1I "&amp;LEFT(OISLink,LEN(OISLink)-FIND("/",OISLink))&amp;" Curncy","ASK")</f>
        <v>#NAME?</v>
      </c>
      <c r="I66" s="109" t="str">
        <f t="shared" ca="1" si="9"/>
        <v>N/A</v>
      </c>
      <c r="J66" s="20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</row>
    <row r="67" spans="6:28" ht="15" customHeight="1" x14ac:dyDescent="0.25">
      <c r="F67" s="100" t="s">
        <v>31</v>
      </c>
      <c r="G67" s="117" t="e">
        <f ca="1">_xll.BDP("USSO2 "&amp;LEFT(OISLink,LEN(OISLink)-FIND("/",OISLink))&amp;" Curncy","Bid")</f>
        <v>#NAME?</v>
      </c>
      <c r="H67" s="117" t="e">
        <f ca="1">_xll.BDP("USSO2 "&amp;LEFT(OISLink,LEN(OISLink)-FIND("/",OISLink))&amp;" Curncy","ASK")</f>
        <v>#NAME?</v>
      </c>
      <c r="I67" s="118" t="str">
        <f t="shared" ca="1" si="9"/>
        <v>N/A</v>
      </c>
      <c r="J67" s="20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</row>
    <row r="68" spans="6:28" ht="15" customHeight="1" x14ac:dyDescent="0.25">
      <c r="F68" s="204"/>
      <c r="G68" s="205"/>
      <c r="H68" s="205"/>
      <c r="I68" s="205"/>
      <c r="J68" s="20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</row>
    <row r="69" spans="6:28" ht="15" hidden="1" customHeight="1" x14ac:dyDescent="0.25">
      <c r="F69" s="13"/>
      <c r="G69" s="196"/>
      <c r="H69" s="196"/>
      <c r="I69" s="196"/>
      <c r="J69" s="196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</row>
    <row r="70" spans="6:28" s="211" customFormat="1" ht="35.15" customHeight="1" x14ac:dyDescent="0.3">
      <c r="F70" s="228" t="s">
        <v>71</v>
      </c>
      <c r="G70" s="226"/>
      <c r="H70" s="226"/>
      <c r="I70" s="226"/>
      <c r="J70" s="229"/>
      <c r="K70" s="226" t="s">
        <v>73</v>
      </c>
      <c r="L70" s="226"/>
      <c r="M70" s="226"/>
      <c r="N70" s="226"/>
      <c r="O70" s="229"/>
      <c r="P70" s="226" t="s">
        <v>76</v>
      </c>
      <c r="Q70" s="226"/>
      <c r="R70" s="226"/>
      <c r="S70" s="226"/>
      <c r="T70" s="229"/>
      <c r="U70" s="226" t="s">
        <v>77</v>
      </c>
      <c r="V70" s="226"/>
      <c r="W70" s="226"/>
      <c r="X70" s="226"/>
      <c r="Y70" s="227"/>
    </row>
    <row r="71" spans="6:28" ht="15" customHeight="1" x14ac:dyDescent="0.25">
      <c r="F71" s="90" t="s">
        <v>72</v>
      </c>
      <c r="G71" s="103" t="s">
        <v>74</v>
      </c>
      <c r="H71" s="103" t="s">
        <v>5</v>
      </c>
      <c r="I71" s="103" t="s">
        <v>6</v>
      </c>
      <c r="J71" s="103" t="s">
        <v>75</v>
      </c>
      <c r="K71" s="119" t="s">
        <v>72</v>
      </c>
      <c r="L71" s="103" t="s">
        <v>74</v>
      </c>
      <c r="M71" s="103" t="s">
        <v>5</v>
      </c>
      <c r="N71" s="103" t="s">
        <v>6</v>
      </c>
      <c r="O71" s="103" t="s">
        <v>7</v>
      </c>
      <c r="P71" s="119" t="s">
        <v>72</v>
      </c>
      <c r="Q71" s="103" t="s">
        <v>74</v>
      </c>
      <c r="R71" s="103" t="s">
        <v>5</v>
      </c>
      <c r="S71" s="103" t="s">
        <v>6</v>
      </c>
      <c r="T71" s="103" t="s">
        <v>75</v>
      </c>
      <c r="U71" s="119" t="s">
        <v>72</v>
      </c>
      <c r="V71" s="103" t="s">
        <v>74</v>
      </c>
      <c r="W71" s="103" t="s">
        <v>5</v>
      </c>
      <c r="X71" s="103" t="s">
        <v>6</v>
      </c>
      <c r="Y71" s="104" t="s">
        <v>75</v>
      </c>
      <c r="Z71" s="13"/>
      <c r="AA71" s="13"/>
      <c r="AB71" s="13"/>
    </row>
    <row r="72" spans="6:28" ht="15" customHeight="1" x14ac:dyDescent="0.25">
      <c r="F72" s="90" t="e">
        <f ca="1">_xll.BDP("ED1 comdty","FUT_CUR_GEN_TICKER")</f>
        <v>#NAME?</v>
      </c>
      <c r="G72" s="120" t="e">
        <f ca="1">_xll.BDP($F72&amp;" comdty","FUT_MONTH_YR")</f>
        <v>#NAME?</v>
      </c>
      <c r="H72" s="121" t="e">
        <f ca="1">_xll.BDP($F72&amp;" comdty","bid")</f>
        <v>#NAME?</v>
      </c>
      <c r="I72" s="121" t="e">
        <f ca="1">_xll.BDP($F72&amp;" comdty","ASK")</f>
        <v>#NAME?</v>
      </c>
      <c r="J72" s="121" t="e">
        <f ca="1">_xll.BDP($F72&amp;" comdty","last price")</f>
        <v>#NAME?</v>
      </c>
      <c r="K72" s="119" t="e">
        <f ca="1">_xll.BDP("FF1 comdty","FUT_CUR_GEN_TICKER")</f>
        <v>#NAME?</v>
      </c>
      <c r="L72" s="120" t="e">
        <f ca="1">_xll.BDP($K72&amp;" comdty","FUT_MONTH_YR")</f>
        <v>#NAME?</v>
      </c>
      <c r="M72" s="121" t="e">
        <f ca="1">_xll.BDP($K72&amp;" comdty","bid")</f>
        <v>#NAME?</v>
      </c>
      <c r="N72" s="121" t="e">
        <f ca="1">_xll.BDP($K72&amp;" comdty","ASK")</f>
        <v>#NAME?</v>
      </c>
      <c r="O72" s="121" t="e">
        <f ca="1">_xll.BDP($K72&amp;" comdty","last price")</f>
        <v>#NAME?</v>
      </c>
      <c r="P72" s="119" t="e">
        <f ca="1">_xll.BDP("EM1 comdty","FUT_CUR_GEN_TICKER")</f>
        <v>#NAME?</v>
      </c>
      <c r="Q72" s="120" t="e">
        <f ca="1">_xll.BDP($P72&amp;" comdty","FUT_MONTH_YR")</f>
        <v>#NAME?</v>
      </c>
      <c r="R72" s="121" t="e">
        <f ca="1">_xll.BDP($P72&amp;" comdty","bid")</f>
        <v>#NAME?</v>
      </c>
      <c r="S72" s="121" t="e">
        <f ca="1">_xll.BDP($P72&amp;" comdty","ASK")</f>
        <v>#NAME?</v>
      </c>
      <c r="T72" s="121" t="e">
        <f ca="1">_xll.BDP($P72&amp;" comdty","last price")</f>
        <v>#NAME?</v>
      </c>
      <c r="U72" s="119" t="e">
        <f ca="1">_xll.BDP("ER1 comdty","FUT_CUR_GEN_TICKER")</f>
        <v>#NAME?</v>
      </c>
      <c r="V72" s="120" t="e">
        <f ca="1">_xll.BDP($U72&amp;" comdty","FUT_MONTH_YR")</f>
        <v>#NAME?</v>
      </c>
      <c r="W72" s="121" t="e">
        <f ca="1">_xll.BDP($U72&amp;" comdty","bid")</f>
        <v>#NAME?</v>
      </c>
      <c r="X72" s="121" t="e">
        <f ca="1">_xll.BDP($U72&amp;" comdty","ASK")</f>
        <v>#NAME?</v>
      </c>
      <c r="Y72" s="122" t="e">
        <f ca="1">_xll.BDP($U72&amp;" comdty","last price")</f>
        <v>#NAME?</v>
      </c>
      <c r="Z72" s="13"/>
      <c r="AA72" s="13"/>
      <c r="AB72" s="13"/>
    </row>
    <row r="73" spans="6:28" ht="15" customHeight="1" x14ac:dyDescent="0.25">
      <c r="F73" s="90" t="e">
        <f ca="1">_xll.BDP("ED2 comdty","FUT_CUR_GEN_TICKER")</f>
        <v>#NAME?</v>
      </c>
      <c r="G73" s="123" t="e">
        <f ca="1">_xll.BDP(F73&amp;" comdty","FUT_MONTH_YR")</f>
        <v>#NAME?</v>
      </c>
      <c r="H73" s="51" t="e">
        <f ca="1">_xll.BDP($F73&amp;" comdty","bid")</f>
        <v>#NAME?</v>
      </c>
      <c r="I73" s="51" t="e">
        <f ca="1">_xll.BDP($F73&amp;" comdty","ASK")</f>
        <v>#NAME?</v>
      </c>
      <c r="J73" s="51" t="e">
        <f ca="1">_xll.BDP($F73&amp;" comdty","last price")</f>
        <v>#NAME?</v>
      </c>
      <c r="K73" s="119" t="e">
        <f ca="1">_xll.BDP("FF2 comdty","FUT_CUR_GEN_TICKER")</f>
        <v>#NAME?</v>
      </c>
      <c r="L73" s="123" t="e">
        <f ca="1">_xll.BDP($K73&amp;" comdty","FUT_MONTH_YR")</f>
        <v>#NAME?</v>
      </c>
      <c r="M73" s="51" t="e">
        <f ca="1">_xll.BDP($K73&amp;" comdty","bid")</f>
        <v>#NAME?</v>
      </c>
      <c r="N73" s="51" t="e">
        <f ca="1">_xll.BDP($K73&amp;" comdty","ASK")</f>
        <v>#NAME?</v>
      </c>
      <c r="O73" s="51" t="e">
        <f ca="1">_xll.BDP($K73&amp;" comdty","last price")</f>
        <v>#NAME?</v>
      </c>
      <c r="P73" s="119" t="e">
        <f ca="1">_xll.BDP("EM2 comdty","FUT_CUR_GEN_TICKER")</f>
        <v>#NAME?</v>
      </c>
      <c r="Q73" s="123" t="e">
        <f ca="1">_xll.BDP($P73&amp;" comdty","FUT_MONTH_YR")</f>
        <v>#NAME?</v>
      </c>
      <c r="R73" s="51" t="e">
        <f ca="1">_xll.BDP($P73&amp;" comdty","bid")</f>
        <v>#NAME?</v>
      </c>
      <c r="S73" s="51" t="e">
        <f ca="1">_xll.BDP($P73&amp;" comdty","ASK")</f>
        <v>#NAME?</v>
      </c>
      <c r="T73" s="51" t="e">
        <f ca="1">_xll.BDP($P73&amp;" comdty","last price")</f>
        <v>#NAME?</v>
      </c>
      <c r="U73" s="119" t="e">
        <f ca="1">_xll.BDP("ER2 comdty","FUT_CUR_GEN_TICKER")</f>
        <v>#NAME?</v>
      </c>
      <c r="V73" s="123" t="e">
        <f ca="1">_xll.BDP($U73&amp;" comdty","FUT_MONTH_YR")</f>
        <v>#NAME?</v>
      </c>
      <c r="W73" s="51" t="e">
        <f ca="1">_xll.BDP($U73&amp;" comdty","bid")</f>
        <v>#NAME?</v>
      </c>
      <c r="X73" s="51" t="e">
        <f ca="1">_xll.BDP($U73&amp;" comdty","ASK")</f>
        <v>#NAME?</v>
      </c>
      <c r="Y73" s="52" t="e">
        <f ca="1">_xll.BDP($U73&amp;" comdty","last price")</f>
        <v>#NAME?</v>
      </c>
      <c r="Z73" s="13"/>
      <c r="AA73" s="13"/>
      <c r="AB73" s="13"/>
    </row>
    <row r="74" spans="6:28" ht="15" customHeight="1" x14ac:dyDescent="0.25">
      <c r="F74" s="90" t="e">
        <f ca="1">_xll.BDP("ED3 comdty","FUT_CUR_GEN_TICKER")</f>
        <v>#NAME?</v>
      </c>
      <c r="G74" s="124" t="e">
        <f ca="1">_xll.BDP(F74&amp;" comdty","FUT_MONTH_YR")</f>
        <v>#NAME?</v>
      </c>
      <c r="H74" s="39" t="e">
        <f ca="1">_xll.BDP($F74&amp;" comdty","bid")</f>
        <v>#NAME?</v>
      </c>
      <c r="I74" s="39" t="e">
        <f ca="1">_xll.BDP($F74&amp;" comdty","ASK")</f>
        <v>#NAME?</v>
      </c>
      <c r="J74" s="39" t="e">
        <f ca="1">_xll.BDP($F74&amp;" comdty","last price")</f>
        <v>#NAME?</v>
      </c>
      <c r="K74" s="119" t="e">
        <f ca="1">_xll.BDP("FF3 comdty","FUT_CUR_GEN_TICKER")</f>
        <v>#NAME?</v>
      </c>
      <c r="L74" s="124" t="e">
        <f ca="1">_xll.BDP($K74&amp;" comdty","FUT_MONTH_YR")</f>
        <v>#NAME?</v>
      </c>
      <c r="M74" s="39" t="e">
        <f ca="1">_xll.BDP($K74&amp;" comdty","bid")</f>
        <v>#NAME?</v>
      </c>
      <c r="N74" s="39" t="e">
        <f ca="1">_xll.BDP($K74&amp;" comdty","ASK")</f>
        <v>#NAME?</v>
      </c>
      <c r="O74" s="39" t="e">
        <f ca="1">_xll.BDP($K74&amp;" comdty","last price")</f>
        <v>#NAME?</v>
      </c>
      <c r="P74" s="119" t="e">
        <f ca="1">_xll.BDP("EM3 comdty","FUT_CUR_GEN_TICKER")</f>
        <v>#NAME?</v>
      </c>
      <c r="Q74" s="124" t="e">
        <f ca="1">_xll.BDP($P74&amp;" comdty","FUT_MONTH_YR")</f>
        <v>#NAME?</v>
      </c>
      <c r="R74" s="39" t="e">
        <f ca="1">_xll.BDP($P74&amp;" comdty","bid")</f>
        <v>#NAME?</v>
      </c>
      <c r="S74" s="39" t="e">
        <f ca="1">_xll.BDP($P74&amp;" comdty","ASK")</f>
        <v>#NAME?</v>
      </c>
      <c r="T74" s="39" t="e">
        <f ca="1">_xll.BDP($P74&amp;" comdty","last price")</f>
        <v>#NAME?</v>
      </c>
      <c r="U74" s="119" t="e">
        <f ca="1">_xll.BDP("ER3 comdty","FUT_CUR_GEN_TICKER")</f>
        <v>#NAME?</v>
      </c>
      <c r="V74" s="124" t="e">
        <f ca="1">_xll.BDP($U74&amp;" comdty","FUT_MONTH_YR")</f>
        <v>#NAME?</v>
      </c>
      <c r="W74" s="39" t="e">
        <f ca="1">_xll.BDP($U74&amp;" comdty","bid")</f>
        <v>#NAME?</v>
      </c>
      <c r="X74" s="39" t="e">
        <f ca="1">_xll.BDP($U74&amp;" comdty","ASK")</f>
        <v>#NAME?</v>
      </c>
      <c r="Y74" s="40" t="e">
        <f ca="1">_xll.BDP($U74&amp;" comdty","last price")</f>
        <v>#NAME?</v>
      </c>
      <c r="Z74" s="13"/>
      <c r="AA74" s="13"/>
      <c r="AB74" s="13"/>
    </row>
    <row r="75" spans="6:28" ht="15" customHeight="1" x14ac:dyDescent="0.25">
      <c r="F75" s="90" t="e">
        <f ca="1">_xll.BDP("ED4 comdty","FUT_CUR_GEN_TICKER")</f>
        <v>#NAME?</v>
      </c>
      <c r="G75" s="123" t="e">
        <f ca="1">_xll.BDP(F75&amp;" comdty","FUT_MONTH_YR")</f>
        <v>#NAME?</v>
      </c>
      <c r="H75" s="51" t="e">
        <f ca="1">_xll.BDP($F75&amp;" comdty","bid")</f>
        <v>#NAME?</v>
      </c>
      <c r="I75" s="51" t="e">
        <f ca="1">_xll.BDP($F75&amp;" comdty","ASK")</f>
        <v>#NAME?</v>
      </c>
      <c r="J75" s="51" t="e">
        <f ca="1">_xll.BDP($F75&amp;" comdty","last price")</f>
        <v>#NAME?</v>
      </c>
      <c r="K75" s="119" t="e">
        <f ca="1">_xll.BDP("FF4 comdty","FUT_CUR_GEN_TICKER")</f>
        <v>#NAME?</v>
      </c>
      <c r="L75" s="123" t="e">
        <f ca="1">_xll.BDP($K75&amp;" comdty","FUT_MONTH_YR")</f>
        <v>#NAME?</v>
      </c>
      <c r="M75" s="51" t="e">
        <f ca="1">_xll.BDP($K75&amp;" comdty","bid")</f>
        <v>#NAME?</v>
      </c>
      <c r="N75" s="51" t="e">
        <f ca="1">_xll.BDP($K75&amp;" comdty","ASK")</f>
        <v>#NAME?</v>
      </c>
      <c r="O75" s="51" t="e">
        <f ca="1">_xll.BDP($K75&amp;" comdty","last price")</f>
        <v>#NAME?</v>
      </c>
      <c r="P75" s="119" t="e">
        <f ca="1">_xll.BDP("EM4 comdty","FUT_CUR_GEN_TICKER")</f>
        <v>#NAME?</v>
      </c>
      <c r="Q75" s="123" t="e">
        <f ca="1">_xll.BDP($P75&amp;" comdty","FUT_MONTH_YR")</f>
        <v>#NAME?</v>
      </c>
      <c r="R75" s="51" t="e">
        <f ca="1">_xll.BDP($P75&amp;" comdty","bid")</f>
        <v>#NAME?</v>
      </c>
      <c r="S75" s="51" t="e">
        <f ca="1">_xll.BDP($P75&amp;" comdty","ASK")</f>
        <v>#NAME?</v>
      </c>
      <c r="T75" s="51" t="e">
        <f ca="1">_xll.BDP($P75&amp;" comdty","last price")</f>
        <v>#NAME?</v>
      </c>
      <c r="U75" s="119" t="e">
        <f ca="1">_xll.BDP("ER4 comdty","FUT_CUR_GEN_TICKER")</f>
        <v>#NAME?</v>
      </c>
      <c r="V75" s="123" t="e">
        <f ca="1">_xll.BDP($U75&amp;" comdty","FUT_MONTH_YR")</f>
        <v>#NAME?</v>
      </c>
      <c r="W75" s="51" t="e">
        <f ca="1">_xll.BDP($U75&amp;" comdty","bid")</f>
        <v>#NAME?</v>
      </c>
      <c r="X75" s="51" t="e">
        <f ca="1">_xll.BDP($U75&amp;" comdty","ASK")</f>
        <v>#NAME?</v>
      </c>
      <c r="Y75" s="52" t="e">
        <f ca="1">_xll.BDP($U75&amp;" comdty","last price")</f>
        <v>#NAME?</v>
      </c>
      <c r="Z75" s="13"/>
      <c r="AA75" s="13"/>
      <c r="AB75" s="13"/>
    </row>
    <row r="76" spans="6:28" ht="15" customHeight="1" x14ac:dyDescent="0.25">
      <c r="F76" s="90" t="e">
        <f ca="1">_xll.BDP("ED5 comdty","FUT_CUR_GEN_TICKER")</f>
        <v>#NAME?</v>
      </c>
      <c r="G76" s="124" t="e">
        <f ca="1">_xll.BDP(F76&amp;" comdty","FUT_MONTH_YR")</f>
        <v>#NAME?</v>
      </c>
      <c r="H76" s="39" t="e">
        <f ca="1">_xll.BDP($F76&amp;" comdty","bid")</f>
        <v>#NAME?</v>
      </c>
      <c r="I76" s="39" t="e">
        <f ca="1">_xll.BDP($F76&amp;" comdty","ASK")</f>
        <v>#NAME?</v>
      </c>
      <c r="J76" s="39" t="e">
        <f ca="1">_xll.BDP($F76&amp;" comdty","last price")</f>
        <v>#NAME?</v>
      </c>
      <c r="K76" s="119" t="e">
        <f ca="1">_xll.BDP("FF5 comdty","FUT_CUR_GEN_TICKER")</f>
        <v>#NAME?</v>
      </c>
      <c r="L76" s="124" t="e">
        <f ca="1">_xll.BDP($K76&amp;" comdty","FUT_MONTH_YR")</f>
        <v>#NAME?</v>
      </c>
      <c r="M76" s="39" t="e">
        <f ca="1">_xll.BDP($K76&amp;" comdty","bid")</f>
        <v>#NAME?</v>
      </c>
      <c r="N76" s="39" t="e">
        <f ca="1">_xll.BDP($K76&amp;" comdty","ASK")</f>
        <v>#NAME?</v>
      </c>
      <c r="O76" s="39" t="e">
        <f ca="1">_xll.BDP($K76&amp;" comdty","last price")</f>
        <v>#NAME?</v>
      </c>
      <c r="P76" s="119" t="e">
        <f ca="1">_xll.BDP("EM5 comdty","FUT_CUR_GEN_TICKER")</f>
        <v>#NAME?</v>
      </c>
      <c r="Q76" s="124" t="e">
        <f ca="1">_xll.BDP($P76&amp;" comdty","FUT_MONTH_YR")</f>
        <v>#NAME?</v>
      </c>
      <c r="R76" s="39" t="e">
        <f ca="1">_xll.BDP($P76&amp;" comdty","bid")</f>
        <v>#NAME?</v>
      </c>
      <c r="S76" s="39" t="e">
        <f ca="1">_xll.BDP($P76&amp;" comdty","ASK")</f>
        <v>#NAME?</v>
      </c>
      <c r="T76" s="39" t="e">
        <f ca="1">_xll.BDP($P76&amp;" comdty","last price")</f>
        <v>#NAME?</v>
      </c>
      <c r="U76" s="119" t="e">
        <f ca="1">_xll.BDP("ER5 comdty","FUT_CUR_GEN_TICKER")</f>
        <v>#NAME?</v>
      </c>
      <c r="V76" s="124" t="e">
        <f ca="1">_xll.BDP($U76&amp;" comdty","FUT_MONTH_YR")</f>
        <v>#NAME?</v>
      </c>
      <c r="W76" s="39" t="e">
        <f ca="1">_xll.BDP($U76&amp;" comdty","bid")</f>
        <v>#NAME?</v>
      </c>
      <c r="X76" s="39" t="e">
        <f ca="1">_xll.BDP($U76&amp;" comdty","ASK")</f>
        <v>#NAME?</v>
      </c>
      <c r="Y76" s="40" t="e">
        <f ca="1">_xll.BDP($U76&amp;" comdty","last price")</f>
        <v>#NAME?</v>
      </c>
      <c r="Z76" s="13"/>
      <c r="AA76" s="13"/>
      <c r="AB76" s="13"/>
    </row>
    <row r="77" spans="6:28" ht="15" customHeight="1" x14ac:dyDescent="0.25">
      <c r="F77" s="90" t="e">
        <f ca="1">_xll.BDP("ED6 comdty","FUT_CUR_GEN_TICKER")</f>
        <v>#NAME?</v>
      </c>
      <c r="G77" s="123" t="e">
        <f ca="1">_xll.BDP(F77&amp;" comdty","FUT_MONTH_YR")</f>
        <v>#NAME?</v>
      </c>
      <c r="H77" s="51" t="e">
        <f ca="1">_xll.BDP($F77&amp;" comdty","bid")</f>
        <v>#NAME?</v>
      </c>
      <c r="I77" s="51" t="e">
        <f ca="1">_xll.BDP($F77&amp;" comdty","ASK")</f>
        <v>#NAME?</v>
      </c>
      <c r="J77" s="51" t="e">
        <f ca="1">_xll.BDP($F77&amp;" comdty","last price")</f>
        <v>#NAME?</v>
      </c>
      <c r="K77" s="119" t="e">
        <f ca="1">_xll.BDP("FF6 comdty","FUT_CUR_GEN_TICKER")</f>
        <v>#NAME?</v>
      </c>
      <c r="L77" s="123" t="e">
        <f ca="1">_xll.BDP($K77&amp;" comdty","FUT_MONTH_YR")</f>
        <v>#NAME?</v>
      </c>
      <c r="M77" s="51" t="e">
        <f ca="1">_xll.BDP($K77&amp;" comdty","bid")</f>
        <v>#NAME?</v>
      </c>
      <c r="N77" s="51" t="e">
        <f ca="1">_xll.BDP($K77&amp;" comdty","ASK")</f>
        <v>#NAME?</v>
      </c>
      <c r="O77" s="51" t="e">
        <f ca="1">_xll.BDP($K77&amp;" comdty","last price")</f>
        <v>#NAME?</v>
      </c>
      <c r="P77" s="119" t="e">
        <f ca="1">_xll.BDP("EM6 comdty","FUT_CUR_GEN_TICKER")</f>
        <v>#NAME?</v>
      </c>
      <c r="Q77" s="123" t="e">
        <f ca="1">_xll.BDP($P77&amp;" comdty","FUT_MONTH_YR")</f>
        <v>#NAME?</v>
      </c>
      <c r="R77" s="51" t="e">
        <f ca="1">_xll.BDP($P77&amp;" comdty","bid")</f>
        <v>#NAME?</v>
      </c>
      <c r="S77" s="51" t="e">
        <f ca="1">_xll.BDP($P77&amp;" comdty","ASK")</f>
        <v>#NAME?</v>
      </c>
      <c r="T77" s="51" t="e">
        <f ca="1">_xll.BDP($P77&amp;" comdty","last price")</f>
        <v>#NAME?</v>
      </c>
      <c r="U77" s="119" t="e">
        <f ca="1">_xll.BDP("ER6 comdty","FUT_CUR_GEN_TICKER")</f>
        <v>#NAME?</v>
      </c>
      <c r="V77" s="123" t="e">
        <f ca="1">_xll.BDP($U77&amp;" comdty","FUT_MONTH_YR")</f>
        <v>#NAME?</v>
      </c>
      <c r="W77" s="51" t="e">
        <f ca="1">_xll.BDP($U77&amp;" comdty","bid")</f>
        <v>#NAME?</v>
      </c>
      <c r="X77" s="51" t="e">
        <f ca="1">_xll.BDP($U77&amp;" comdty","ASK")</f>
        <v>#NAME?</v>
      </c>
      <c r="Y77" s="52" t="e">
        <f ca="1">_xll.BDP($U77&amp;" comdty","last price")</f>
        <v>#NAME?</v>
      </c>
    </row>
    <row r="78" spans="6:28" ht="15" customHeight="1" x14ac:dyDescent="0.25">
      <c r="F78" s="90" t="e">
        <f ca="1">_xll.BDP("ED7 comdty","FUT_CUR_GEN_TICKER")</f>
        <v>#NAME?</v>
      </c>
      <c r="G78" s="124" t="e">
        <f ca="1">_xll.BDP(F78&amp;" comdty","FUT_MONTH_YR")</f>
        <v>#NAME?</v>
      </c>
      <c r="H78" s="39" t="e">
        <f ca="1">_xll.BDP($F78&amp;" comdty","bid")</f>
        <v>#NAME?</v>
      </c>
      <c r="I78" s="39" t="e">
        <f ca="1">_xll.BDP($F78&amp;" comdty","ASK")</f>
        <v>#NAME?</v>
      </c>
      <c r="J78" s="39" t="e">
        <f ca="1">_xll.BDP($F78&amp;" comdty","last price")</f>
        <v>#NAME?</v>
      </c>
      <c r="K78" s="119" t="e">
        <f ca="1">_xll.BDP("FF7 comdty","FUT_CUR_GEN_TICKER")</f>
        <v>#NAME?</v>
      </c>
      <c r="L78" s="124" t="e">
        <f ca="1">_xll.BDP($K78&amp;" comdty","FUT_MONTH_YR")</f>
        <v>#NAME?</v>
      </c>
      <c r="M78" s="39" t="e">
        <f ca="1">_xll.BDP($K78&amp;" comdty","bid")</f>
        <v>#NAME?</v>
      </c>
      <c r="N78" s="39" t="e">
        <f ca="1">_xll.BDP($K78&amp;" comdty","ASK")</f>
        <v>#NAME?</v>
      </c>
      <c r="O78" s="39" t="e">
        <f ca="1">_xll.BDP($K78&amp;" comdty","last price")</f>
        <v>#NAME?</v>
      </c>
      <c r="P78" s="119" t="e">
        <f ca="1">_xll.BDP("EM7 comdty","FUT_CUR_GEN_TICKER")</f>
        <v>#NAME?</v>
      </c>
      <c r="Q78" s="124" t="e">
        <f ca="1">_xll.BDP($P78&amp;" comdty","FUT_MONTH_YR")</f>
        <v>#NAME?</v>
      </c>
      <c r="R78" s="39" t="e">
        <f ca="1">_xll.BDP($P78&amp;" comdty","bid")</f>
        <v>#NAME?</v>
      </c>
      <c r="S78" s="39" t="e">
        <f ca="1">_xll.BDP($P78&amp;" comdty","ASK")</f>
        <v>#NAME?</v>
      </c>
      <c r="T78" s="39" t="e">
        <f ca="1">_xll.BDP($P78&amp;" comdty","last price")</f>
        <v>#NAME?</v>
      </c>
      <c r="U78" s="119" t="e">
        <f ca="1">_xll.BDP("ER7 comdty","FUT_CUR_GEN_TICKER")</f>
        <v>#NAME?</v>
      </c>
      <c r="V78" s="124" t="e">
        <f ca="1">_xll.BDP($U78&amp;" comdty","FUT_MONTH_YR")</f>
        <v>#NAME?</v>
      </c>
      <c r="W78" s="39" t="e">
        <f ca="1">_xll.BDP($U78&amp;" comdty","bid")</f>
        <v>#NAME?</v>
      </c>
      <c r="X78" s="39" t="e">
        <f ca="1">_xll.BDP($U78&amp;" comdty","ASK")</f>
        <v>#NAME?</v>
      </c>
      <c r="Y78" s="40" t="e">
        <f ca="1">_xll.BDP($U78&amp;" comdty","last price")</f>
        <v>#NAME?</v>
      </c>
    </row>
    <row r="79" spans="6:28" ht="15" customHeight="1" x14ac:dyDescent="0.25">
      <c r="F79" s="90" t="e">
        <f ca="1">_xll.BDP("ED8 comdty","FUT_CUR_GEN_TICKER")</f>
        <v>#NAME?</v>
      </c>
      <c r="G79" s="123" t="e">
        <f ca="1">_xll.BDP(F79&amp;" comdty","FUT_MONTH_YR")</f>
        <v>#NAME?</v>
      </c>
      <c r="H79" s="51" t="e">
        <f ca="1">_xll.BDP($F79&amp;" comdty","bid")</f>
        <v>#NAME?</v>
      </c>
      <c r="I79" s="51" t="e">
        <f ca="1">_xll.BDP($F79&amp;" comdty","ASK")</f>
        <v>#NAME?</v>
      </c>
      <c r="J79" s="51" t="e">
        <f ca="1">_xll.BDP($F79&amp;" comdty","last price")</f>
        <v>#NAME?</v>
      </c>
      <c r="K79" s="119" t="e">
        <f ca="1">_xll.BDP("FF8 comdty","FUT_CUR_GEN_TICKER")</f>
        <v>#NAME?</v>
      </c>
      <c r="L79" s="123" t="e">
        <f ca="1">_xll.BDP($K79&amp;" comdty","FUT_MONTH_YR")</f>
        <v>#NAME?</v>
      </c>
      <c r="M79" s="51" t="e">
        <f ca="1">_xll.BDP($K79&amp;" comdty","bid")</f>
        <v>#NAME?</v>
      </c>
      <c r="N79" s="51" t="e">
        <f ca="1">_xll.BDP($K79&amp;" comdty","ASK")</f>
        <v>#NAME?</v>
      </c>
      <c r="O79" s="51" t="e">
        <f ca="1">_xll.BDP($K79&amp;" comdty","last price")</f>
        <v>#NAME?</v>
      </c>
      <c r="P79" s="119" t="e">
        <f ca="1">_xll.BDP("EM8 comdty","FUT_CUR_GEN_TICKER")</f>
        <v>#NAME?</v>
      </c>
      <c r="Q79" s="123" t="e">
        <f ca="1">_xll.BDP($P79&amp;" comdty","FUT_MONTH_YR")</f>
        <v>#NAME?</v>
      </c>
      <c r="R79" s="51" t="e">
        <f ca="1">_xll.BDP($P79&amp;" comdty","bid")</f>
        <v>#NAME?</v>
      </c>
      <c r="S79" s="51" t="e">
        <f ca="1">_xll.BDP($P79&amp;" comdty","ASK")</f>
        <v>#NAME?</v>
      </c>
      <c r="T79" s="51" t="e">
        <f ca="1">_xll.BDP($P79&amp;" comdty","last price")</f>
        <v>#NAME?</v>
      </c>
      <c r="U79" s="119" t="e">
        <f ca="1">_xll.BDP("ER8 comdty","FUT_CUR_GEN_TICKER")</f>
        <v>#NAME?</v>
      </c>
      <c r="V79" s="123" t="e">
        <f ca="1">_xll.BDP($U79&amp;" comdty","FUT_MONTH_YR")</f>
        <v>#NAME?</v>
      </c>
      <c r="W79" s="51" t="e">
        <f ca="1">_xll.BDP($U79&amp;" comdty","bid")</f>
        <v>#NAME?</v>
      </c>
      <c r="X79" s="51" t="e">
        <f ca="1">_xll.BDP($U79&amp;" comdty","ASK")</f>
        <v>#NAME?</v>
      </c>
      <c r="Y79" s="52" t="e">
        <f ca="1">_xll.BDP($U79&amp;" comdty","last price")</f>
        <v>#NAME?</v>
      </c>
    </row>
    <row r="80" spans="6:28" ht="15" customHeight="1" x14ac:dyDescent="0.25">
      <c r="F80" s="90" t="e">
        <f ca="1">_xll.BDP("ED9 comdty","FUT_CUR_GEN_TICKER")</f>
        <v>#NAME?</v>
      </c>
      <c r="G80" s="124" t="e">
        <f ca="1">_xll.BDP(F80&amp;" comdty","FUT_MONTH_YR")</f>
        <v>#NAME?</v>
      </c>
      <c r="H80" s="39" t="e">
        <f ca="1">_xll.BDP($F80&amp;" comdty","bid")</f>
        <v>#NAME?</v>
      </c>
      <c r="I80" s="39" t="e">
        <f ca="1">_xll.BDP($F80&amp;" comdty","ASK")</f>
        <v>#NAME?</v>
      </c>
      <c r="J80" s="39" t="e">
        <f ca="1">_xll.BDP($F80&amp;" comdty","last price")</f>
        <v>#NAME?</v>
      </c>
      <c r="K80" s="119" t="e">
        <f ca="1">_xll.BDP("FF9 comdty","FUT_CUR_GEN_TICKER")</f>
        <v>#NAME?</v>
      </c>
      <c r="L80" s="124" t="e">
        <f ca="1">_xll.BDP($K80&amp;" comdty","FUT_MONTH_YR")</f>
        <v>#NAME?</v>
      </c>
      <c r="M80" s="39" t="e">
        <f ca="1">_xll.BDP($K80&amp;" comdty","bid")</f>
        <v>#NAME?</v>
      </c>
      <c r="N80" s="39" t="e">
        <f ca="1">_xll.BDP($K80&amp;" comdty","ASK")</f>
        <v>#NAME?</v>
      </c>
      <c r="O80" s="39" t="e">
        <f ca="1">_xll.BDP($K80&amp;" comdty","last price")</f>
        <v>#NAME?</v>
      </c>
      <c r="P80" s="119" t="e">
        <f ca="1">_xll.BDP("EM9 comdty","FUT_CUR_GEN_TICKER")</f>
        <v>#NAME?</v>
      </c>
      <c r="Q80" s="124" t="e">
        <f ca="1">_xll.BDP($P80&amp;" comdty","FUT_MONTH_YR")</f>
        <v>#NAME?</v>
      </c>
      <c r="R80" s="39" t="e">
        <f ca="1">_xll.BDP($P80&amp;" comdty","bid")</f>
        <v>#NAME?</v>
      </c>
      <c r="S80" s="39" t="e">
        <f ca="1">_xll.BDP($P80&amp;" comdty","ASK")</f>
        <v>#NAME?</v>
      </c>
      <c r="T80" s="39" t="e">
        <f ca="1">_xll.BDP($P80&amp;" comdty","last price")</f>
        <v>#NAME?</v>
      </c>
      <c r="U80" s="119" t="e">
        <f ca="1">_xll.BDP("ER9 comdty","FUT_CUR_GEN_TICKER")</f>
        <v>#NAME?</v>
      </c>
      <c r="V80" s="124" t="e">
        <f ca="1">_xll.BDP($U80&amp;" comdty","FUT_MONTH_YR")</f>
        <v>#NAME?</v>
      </c>
      <c r="W80" s="39" t="e">
        <f ca="1">_xll.BDP($U80&amp;" comdty","bid")</f>
        <v>#NAME?</v>
      </c>
      <c r="X80" s="39" t="e">
        <f ca="1">_xll.BDP($U80&amp;" comdty","ASK")</f>
        <v>#NAME?</v>
      </c>
      <c r="Y80" s="40" t="e">
        <f ca="1">_xll.BDP($U80&amp;" comdty","last price")</f>
        <v>#NAME?</v>
      </c>
    </row>
    <row r="81" spans="6:28" ht="15" customHeight="1" x14ac:dyDescent="0.25">
      <c r="F81" s="90" t="e">
        <f ca="1">_xll.BDP("ED10 comdty","FUT_CUR_GEN_TICKER")</f>
        <v>#NAME?</v>
      </c>
      <c r="G81" s="123" t="e">
        <f ca="1">_xll.BDP(F81&amp;" comdty","FUT_MONTH_YR")</f>
        <v>#NAME?</v>
      </c>
      <c r="H81" s="51" t="e">
        <f ca="1">_xll.BDP($F81&amp;" comdty","bid")</f>
        <v>#NAME?</v>
      </c>
      <c r="I81" s="51" t="e">
        <f ca="1">_xll.BDP($F81&amp;" comdty","ASK")</f>
        <v>#NAME?</v>
      </c>
      <c r="J81" s="51" t="e">
        <f ca="1">_xll.BDP($F81&amp;" comdty","last price")</f>
        <v>#NAME?</v>
      </c>
      <c r="K81" s="119" t="e">
        <f ca="1">_xll.BDP("FF10 comdty","FUT_CUR_GEN_TICKER")</f>
        <v>#NAME?</v>
      </c>
      <c r="L81" s="123" t="e">
        <f ca="1">_xll.BDP($K81&amp;" comdty","FUT_MONTH_YR")</f>
        <v>#NAME?</v>
      </c>
      <c r="M81" s="51" t="e">
        <f ca="1">_xll.BDP($K81&amp;" comdty","bid")</f>
        <v>#NAME?</v>
      </c>
      <c r="N81" s="51" t="e">
        <f ca="1">_xll.BDP($K81&amp;" comdty","ASK")</f>
        <v>#NAME?</v>
      </c>
      <c r="O81" s="51" t="e">
        <f ca="1">_xll.BDP($K81&amp;" comdty","last price")</f>
        <v>#NAME?</v>
      </c>
      <c r="P81" s="119" t="e">
        <f ca="1">_xll.BDP("EM10 comdty","FUT_CUR_GEN_TICKER")</f>
        <v>#NAME?</v>
      </c>
      <c r="Q81" s="123" t="e">
        <f ca="1">_xll.BDP($P81&amp;" comdty","FUT_MONTH_YR")</f>
        <v>#NAME?</v>
      </c>
      <c r="R81" s="51" t="e">
        <f ca="1">_xll.BDP($P81&amp;" comdty","bid")</f>
        <v>#NAME?</v>
      </c>
      <c r="S81" s="51" t="e">
        <f ca="1">_xll.BDP($P81&amp;" comdty","ASK")</f>
        <v>#NAME?</v>
      </c>
      <c r="T81" s="51" t="e">
        <f ca="1">_xll.BDP($P81&amp;" comdty","last price")</f>
        <v>#NAME?</v>
      </c>
      <c r="U81" s="119" t="e">
        <f ca="1">_xll.BDP("ER10 comdty","FUT_CUR_GEN_TICKER")</f>
        <v>#NAME?</v>
      </c>
      <c r="V81" s="123" t="e">
        <f ca="1">_xll.BDP($U81&amp;" comdty","FUT_MONTH_YR")</f>
        <v>#NAME?</v>
      </c>
      <c r="W81" s="51" t="e">
        <f ca="1">_xll.BDP($U81&amp;" comdty","bid")</f>
        <v>#NAME?</v>
      </c>
      <c r="X81" s="51" t="e">
        <f ca="1">_xll.BDP($U81&amp;" comdty","ASK")</f>
        <v>#NAME?</v>
      </c>
      <c r="Y81" s="52" t="e">
        <f ca="1">_xll.BDP($U81&amp;" comdty","last price")</f>
        <v>#NAME?</v>
      </c>
    </row>
    <row r="82" spans="6:28" ht="15" customHeight="1" x14ac:dyDescent="0.25">
      <c r="F82" s="90" t="e">
        <f ca="1">_xll.BDP("ED11 comdty","FUT_CUR_GEN_TICKER")</f>
        <v>#NAME?</v>
      </c>
      <c r="G82" s="124" t="e">
        <f ca="1">_xll.BDP(F82&amp;" comdty","FUT_MONTH_YR")</f>
        <v>#NAME?</v>
      </c>
      <c r="H82" s="39" t="e">
        <f ca="1">_xll.BDP($F82&amp;" comdty","bid")</f>
        <v>#NAME?</v>
      </c>
      <c r="I82" s="39" t="e">
        <f ca="1">_xll.BDP($F82&amp;" comdty","ASK")</f>
        <v>#NAME?</v>
      </c>
      <c r="J82" s="39" t="e">
        <f ca="1">_xll.BDP($F82&amp;" comdty","last price")</f>
        <v>#NAME?</v>
      </c>
      <c r="K82" s="119" t="e">
        <f ca="1">_xll.BDP("FF11 comdty","FUT_CUR_GEN_TICKER")</f>
        <v>#NAME?</v>
      </c>
      <c r="L82" s="124" t="e">
        <f ca="1">_xll.BDP($K82&amp;" comdty","FUT_MONTH_YR")</f>
        <v>#NAME?</v>
      </c>
      <c r="M82" s="39" t="e">
        <f ca="1">_xll.BDP($K82&amp;" comdty","bid")</f>
        <v>#NAME?</v>
      </c>
      <c r="N82" s="39" t="e">
        <f ca="1">_xll.BDP($K82&amp;" comdty","ASK")</f>
        <v>#NAME?</v>
      </c>
      <c r="O82" s="39" t="e">
        <f ca="1">_xll.BDP($K82&amp;" comdty","last price")</f>
        <v>#NAME?</v>
      </c>
      <c r="P82" s="119" t="e">
        <f ca="1">_xll.BDP("EM11 comdty","FUT_CUR_GEN_TICKER")</f>
        <v>#NAME?</v>
      </c>
      <c r="Q82" s="124" t="e">
        <f ca="1">_xll.BDP($P82&amp;" comdty","FUT_MONTH_YR")</f>
        <v>#NAME?</v>
      </c>
      <c r="R82" s="39" t="e">
        <f ca="1">_xll.BDP($P82&amp;" comdty","bid")</f>
        <v>#NAME?</v>
      </c>
      <c r="S82" s="39" t="e">
        <f ca="1">_xll.BDP($P82&amp;" comdty","ASK")</f>
        <v>#NAME?</v>
      </c>
      <c r="T82" s="39" t="e">
        <f ca="1">_xll.BDP($P82&amp;" comdty","last price")</f>
        <v>#NAME?</v>
      </c>
      <c r="U82" s="119" t="e">
        <f ca="1">_xll.BDP("ER11 comdty","FUT_CUR_GEN_TICKER")</f>
        <v>#NAME?</v>
      </c>
      <c r="V82" s="124" t="e">
        <f ca="1">_xll.BDP($U82&amp;" comdty","FUT_MONTH_YR")</f>
        <v>#NAME?</v>
      </c>
      <c r="W82" s="39" t="e">
        <f ca="1">_xll.BDP($U82&amp;" comdty","bid")</f>
        <v>#NAME?</v>
      </c>
      <c r="X82" s="39" t="e">
        <f ca="1">_xll.BDP($U82&amp;" comdty","ASK")</f>
        <v>#NAME?</v>
      </c>
      <c r="Y82" s="40" t="e">
        <f ca="1">_xll.BDP($U82&amp;" comdty","last price")</f>
        <v>#NAME?</v>
      </c>
    </row>
    <row r="83" spans="6:28" ht="15" customHeight="1" x14ac:dyDescent="0.25">
      <c r="F83" s="100" t="e">
        <f ca="1">_xll.BDP("ED12 comdty","FUT_CUR_GEN_TICKER")</f>
        <v>#NAME?</v>
      </c>
      <c r="G83" s="125" t="e">
        <f ca="1">_xll.BDP(F83&amp;" comdty","FUT_MONTH_YR")</f>
        <v>#NAME?</v>
      </c>
      <c r="H83" s="79" t="e">
        <f ca="1">_xll.BDP($F83&amp;" comdty","bid")</f>
        <v>#NAME?</v>
      </c>
      <c r="I83" s="79" t="e">
        <f ca="1">_xll.BDP($F83&amp;" comdty","ASK")</f>
        <v>#NAME?</v>
      </c>
      <c r="J83" s="79" t="e">
        <f ca="1">_xll.BDP($F83&amp;" comdty","last price")</f>
        <v>#NAME?</v>
      </c>
      <c r="K83" s="126" t="e">
        <f ca="1">_xll.BDP("FF12 comdty","FUT_CUR_GEN_TICKER")</f>
        <v>#NAME?</v>
      </c>
      <c r="L83" s="125" t="e">
        <f ca="1">_xll.BDP($K83&amp;" comdty","FUT_MONTH_YR")</f>
        <v>#NAME?</v>
      </c>
      <c r="M83" s="79" t="e">
        <f ca="1">_xll.BDP($K83&amp;" comdty","bid")</f>
        <v>#NAME?</v>
      </c>
      <c r="N83" s="79" t="e">
        <f ca="1">_xll.BDP($K83&amp;" comdty","ASK")</f>
        <v>#NAME?</v>
      </c>
      <c r="O83" s="79" t="e">
        <f ca="1">_xll.BDP($K83&amp;" comdty","last price")</f>
        <v>#NAME?</v>
      </c>
      <c r="P83" s="126" t="e">
        <f ca="1">_xll.BDP("EM12 comdty","FUT_CUR_GEN_TICKER")</f>
        <v>#NAME?</v>
      </c>
      <c r="Q83" s="125" t="e">
        <f ca="1">_xll.BDP($P83&amp;" comdty","FUT_MONTH_YR")</f>
        <v>#NAME?</v>
      </c>
      <c r="R83" s="79" t="e">
        <f ca="1">_xll.BDP($P83&amp;" comdty","bid")</f>
        <v>#NAME?</v>
      </c>
      <c r="S83" s="79" t="e">
        <f ca="1">_xll.BDP($P83&amp;" comdty","ASK")</f>
        <v>#NAME?</v>
      </c>
      <c r="T83" s="79" t="e">
        <f ca="1">_xll.BDP($P83&amp;" comdty","last price")</f>
        <v>#NAME?</v>
      </c>
      <c r="U83" s="126" t="e">
        <f ca="1">_xll.BDP("ER12 comdty","FUT_CUR_GEN_TICKER")</f>
        <v>#NAME?</v>
      </c>
      <c r="V83" s="125" t="e">
        <f ca="1">_xll.BDP($U83&amp;" comdty","FUT_MONTH_YR")</f>
        <v>#NAME?</v>
      </c>
      <c r="W83" s="79" t="e">
        <f ca="1">_xll.BDP($U83&amp;" comdty","bid")</f>
        <v>#NAME?</v>
      </c>
      <c r="X83" s="79" t="e">
        <f ca="1">_xll.BDP($U83&amp;" comdty","ASK")</f>
        <v>#NAME?</v>
      </c>
      <c r="Y83" s="81" t="e">
        <f ca="1">_xll.BDP($U83&amp;" comdty","last price")</f>
        <v>#NAME?</v>
      </c>
    </row>
    <row r="85" spans="6:28" s="219" customFormat="1" ht="35.15" customHeight="1" x14ac:dyDescent="0.3">
      <c r="F85" s="220" t="s">
        <v>69</v>
      </c>
      <c r="G85" s="226" t="s">
        <v>9</v>
      </c>
      <c r="H85" s="226"/>
      <c r="I85" s="229"/>
      <c r="J85" s="226" t="s">
        <v>10</v>
      </c>
      <c r="K85" s="226"/>
      <c r="L85" s="229"/>
      <c r="M85" s="226" t="s">
        <v>13</v>
      </c>
      <c r="N85" s="226"/>
      <c r="O85" s="229"/>
      <c r="P85" s="226" t="s">
        <v>12</v>
      </c>
      <c r="Q85" s="226"/>
      <c r="R85" s="229"/>
      <c r="S85" s="226" t="s">
        <v>14</v>
      </c>
      <c r="T85" s="226"/>
      <c r="U85" s="229"/>
      <c r="V85" s="226" t="s">
        <v>68</v>
      </c>
      <c r="W85" s="226"/>
      <c r="X85" s="227"/>
    </row>
    <row r="86" spans="6:28" ht="15" customHeight="1" x14ac:dyDescent="0.25">
      <c r="F86" s="90" t="s">
        <v>74</v>
      </c>
      <c r="G86" s="103" t="s">
        <v>5</v>
      </c>
      <c r="H86" s="103" t="s">
        <v>6</v>
      </c>
      <c r="I86" s="103" t="s">
        <v>75</v>
      </c>
      <c r="J86" s="103" t="s">
        <v>5</v>
      </c>
      <c r="K86" s="103" t="s">
        <v>6</v>
      </c>
      <c r="L86" s="103" t="s">
        <v>75</v>
      </c>
      <c r="M86" s="103" t="s">
        <v>5</v>
      </c>
      <c r="N86" s="103" t="s">
        <v>6</v>
      </c>
      <c r="O86" s="103" t="s">
        <v>75</v>
      </c>
      <c r="P86" s="103" t="s">
        <v>5</v>
      </c>
      <c r="Q86" s="103" t="s">
        <v>6</v>
      </c>
      <c r="R86" s="103" t="s">
        <v>75</v>
      </c>
      <c r="S86" s="103" t="s">
        <v>5</v>
      </c>
      <c r="T86" s="103" t="s">
        <v>6</v>
      </c>
      <c r="U86" s="103" t="s">
        <v>75</v>
      </c>
      <c r="V86" s="103" t="s">
        <v>5</v>
      </c>
      <c r="W86" s="103" t="s">
        <v>6</v>
      </c>
      <c r="X86" s="104" t="s">
        <v>75</v>
      </c>
      <c r="Y86" s="13"/>
      <c r="Z86" s="13"/>
      <c r="AA86" s="13"/>
      <c r="AB86" s="13"/>
    </row>
    <row r="87" spans="6:28" ht="15" customHeight="1" x14ac:dyDescent="0.25">
      <c r="F87" s="127" t="s">
        <v>87</v>
      </c>
      <c r="G87" s="128" t="e">
        <f ca="1">_xll.BDP($G85&amp;" curncy","bid")</f>
        <v>#NAME?</v>
      </c>
      <c r="H87" s="128" t="e">
        <f ca="1">_xll.BDP($G85&amp;" curncy","ask")</f>
        <v>#NAME?</v>
      </c>
      <c r="I87" s="128" t="e">
        <f ca="1">_xll.BDP($G85&amp;" curncy","last price")</f>
        <v>#NAME?</v>
      </c>
      <c r="J87" s="128" t="e">
        <f ca="1">_xll.BDP($J85&amp;" curncy","bid")</f>
        <v>#NAME?</v>
      </c>
      <c r="K87" s="128" t="e">
        <f ca="1">_xll.BDP($J85&amp;" curncy","ask")</f>
        <v>#NAME?</v>
      </c>
      <c r="L87" s="128" t="e">
        <f ca="1">_xll.BDP($J85&amp;" curncy","last price")</f>
        <v>#NAME?</v>
      </c>
      <c r="M87" s="128" t="e">
        <f ca="1">_xll.BDP($M85&amp;" curncy","bid")</f>
        <v>#NAME?</v>
      </c>
      <c r="N87" s="128" t="e">
        <f ca="1">_xll.BDP($M85&amp;" curncy","ask")</f>
        <v>#NAME?</v>
      </c>
      <c r="O87" s="128" t="e">
        <f ca="1">_xll.BDP($M85&amp;" curncy","last price")</f>
        <v>#NAME?</v>
      </c>
      <c r="P87" s="128" t="e">
        <f ca="1">_xll.BDP($P85&amp;" curncy","bid")</f>
        <v>#NAME?</v>
      </c>
      <c r="Q87" s="128" t="e">
        <f ca="1">_xll.BDP($P85&amp;" curncy","ask")</f>
        <v>#NAME?</v>
      </c>
      <c r="R87" s="128" t="e">
        <f ca="1">_xll.BDP($P85&amp;" curncy","last price")</f>
        <v>#NAME?</v>
      </c>
      <c r="S87" s="128" t="e">
        <f ca="1">_xll.BDP($S85&amp;" curncy","bid")</f>
        <v>#NAME?</v>
      </c>
      <c r="T87" s="128" t="e">
        <f ca="1">_xll.BDP($S85&amp;" curncy","ask")</f>
        <v>#NAME?</v>
      </c>
      <c r="U87" s="128" t="e">
        <f ca="1">_xll.BDP($S85&amp;" curncy","last price")</f>
        <v>#NAME?</v>
      </c>
      <c r="V87" s="128" t="e">
        <f ca="1">_xll.BDP($V85&amp;" curncy","bid")</f>
        <v>#NAME?</v>
      </c>
      <c r="W87" s="128" t="e">
        <f ca="1">_xll.BDP($V85&amp;" curncy","ask")</f>
        <v>#NAME?</v>
      </c>
      <c r="X87" s="129" t="e">
        <f ca="1">_xll.BDP($V85&amp;" curncy","last price")</f>
        <v>#NAME?</v>
      </c>
      <c r="Y87" s="13"/>
      <c r="Z87" s="13"/>
      <c r="AA87" s="13"/>
      <c r="AB87" s="13"/>
    </row>
    <row r="88" spans="6:28" ht="15" customHeight="1" x14ac:dyDescent="0.25">
      <c r="F88" s="127" t="s">
        <v>78</v>
      </c>
      <c r="G88" s="72" t="e">
        <f ca="1">_xll.BDP($G$85&amp;"ON Curncy","BID")</f>
        <v>#NAME?</v>
      </c>
      <c r="H88" s="72" t="e">
        <f ca="1">_xll.BDP($G$85&amp;"ON Curncy","ask")</f>
        <v>#NAME?</v>
      </c>
      <c r="I88" s="72" t="e">
        <f ca="1">_xll.BDP($G$85&amp;"ON Curncy","last price")</f>
        <v>#NAME?</v>
      </c>
      <c r="J88" s="72" t="e">
        <f ca="1">_xll.BDP($J$85&amp;"ON Curncy","BID")</f>
        <v>#NAME?</v>
      </c>
      <c r="K88" s="72" t="e">
        <f ca="1">_xll.BDP($J$85&amp;"ON Curncy","ask")</f>
        <v>#NAME?</v>
      </c>
      <c r="L88" s="72" t="e">
        <f ca="1">_xll.BDP($J$85&amp;"ON Curncy","last price")</f>
        <v>#NAME?</v>
      </c>
      <c r="M88" s="72" t="e">
        <f ca="1">_xll.BDP($M$85&amp;"ON Curncy","BID")</f>
        <v>#NAME?</v>
      </c>
      <c r="N88" s="72" t="e">
        <f ca="1">_xll.BDP($M$85&amp;"ON Curncy","ask")</f>
        <v>#NAME?</v>
      </c>
      <c r="O88" s="72" t="e">
        <f ca="1">_xll.BDP($M$85&amp;"ON Curncy","last price")</f>
        <v>#NAME?</v>
      </c>
      <c r="P88" s="72" t="e">
        <f ca="1">_xll.BDP($P$85&amp;"ON Curncy","BID")</f>
        <v>#NAME?</v>
      </c>
      <c r="Q88" s="72" t="e">
        <f ca="1">_xll.BDP($P$85&amp;"ON Curncy","ask")</f>
        <v>#NAME?</v>
      </c>
      <c r="R88" s="72" t="e">
        <f ca="1">_xll.BDP($P$85&amp;"ON Curncy","last price")</f>
        <v>#NAME?</v>
      </c>
      <c r="S88" s="72" t="e">
        <f ca="1">_xll.BDP($S$85&amp;"ON Curncy","BID")</f>
        <v>#NAME?</v>
      </c>
      <c r="T88" s="72" t="e">
        <f ca="1">_xll.BDP($S$85&amp;"ON Curncy","ask")</f>
        <v>#NAME?</v>
      </c>
      <c r="U88" s="72" t="e">
        <f ca="1">_xll.BDP($S$85&amp;"ON Curncy","last price")</f>
        <v>#NAME?</v>
      </c>
      <c r="V88" s="72" t="e">
        <f ca="1">_xll.BDP($V$85&amp;"ON Curncy","BID")</f>
        <v>#NAME?</v>
      </c>
      <c r="W88" s="72" t="e">
        <f ca="1">_xll.BDP($V$85&amp;"ON Curncy","ask")</f>
        <v>#NAME?</v>
      </c>
      <c r="X88" s="130" t="e">
        <f ca="1">_xll.BDP($V$85&amp;"ON Curncy","last price")</f>
        <v>#NAME?</v>
      </c>
      <c r="Y88" s="13"/>
      <c r="Z88" s="13"/>
      <c r="AA88" s="13"/>
      <c r="AB88" s="13"/>
    </row>
    <row r="89" spans="6:28" ht="15" customHeight="1" x14ac:dyDescent="0.25">
      <c r="F89" s="127" t="s">
        <v>79</v>
      </c>
      <c r="G89" s="131" t="e">
        <f ca="1">_xll.BDP($G$85&amp;"TN Curncy","BID")</f>
        <v>#NAME?</v>
      </c>
      <c r="H89" s="131" t="e">
        <f ca="1">_xll.BDP($G$85&amp;"TN Curncy","ask")</f>
        <v>#NAME?</v>
      </c>
      <c r="I89" s="131" t="e">
        <f ca="1">_xll.BDP($G$85&amp;"TN Curncy","last price")</f>
        <v>#NAME?</v>
      </c>
      <c r="J89" s="131" t="e">
        <f ca="1">_xll.BDP($J$85&amp;"TN Curncy","BID")</f>
        <v>#NAME?</v>
      </c>
      <c r="K89" s="131" t="e">
        <f ca="1">_xll.BDP($J$85&amp;"TN Curncy","ask")</f>
        <v>#NAME?</v>
      </c>
      <c r="L89" s="131" t="e">
        <f ca="1">_xll.BDP($J$85&amp;"TN Curncy","last price")</f>
        <v>#NAME?</v>
      </c>
      <c r="M89" s="131" t="e">
        <f ca="1">_xll.BDP($M$85&amp;"TN Curncy","BID")</f>
        <v>#NAME?</v>
      </c>
      <c r="N89" s="131" t="e">
        <f ca="1">_xll.BDP($M$85&amp;"TN Curncy","ask")</f>
        <v>#NAME?</v>
      </c>
      <c r="O89" s="131" t="e">
        <f ca="1">_xll.BDP($M$85&amp;"TN Curncy","last price")</f>
        <v>#NAME?</v>
      </c>
      <c r="P89" s="131" t="e">
        <f ca="1">_xll.BDP($P$85&amp;"TN Curncy","BID")</f>
        <v>#NAME?</v>
      </c>
      <c r="Q89" s="131" t="e">
        <f ca="1">_xll.BDP($P$85&amp;"TN Curncy","ask")</f>
        <v>#NAME?</v>
      </c>
      <c r="R89" s="131" t="e">
        <f ca="1">_xll.BDP($P$85&amp;"TN Curncy","last price")</f>
        <v>#NAME?</v>
      </c>
      <c r="S89" s="131" t="e">
        <f ca="1">_xll.BDP($S$85&amp;"TN Curncy","BID")</f>
        <v>#NAME?</v>
      </c>
      <c r="T89" s="131" t="e">
        <f ca="1">_xll.BDP($S$85&amp;"TN Curncy","ask")</f>
        <v>#NAME?</v>
      </c>
      <c r="U89" s="131" t="e">
        <f ca="1">_xll.BDP($S$85&amp;"TN Curncy","last price")</f>
        <v>#NAME?</v>
      </c>
      <c r="V89" s="131" t="e">
        <f ca="1">_xll.BDP($V$85&amp;"TN Curncy","BID")</f>
        <v>#NAME?</v>
      </c>
      <c r="W89" s="131" t="e">
        <f ca="1">_xll.BDP($V$85&amp;"TN Curncy","ask")</f>
        <v>#NAME?</v>
      </c>
      <c r="X89" s="89" t="e">
        <f ca="1">_xll.BDP($V$85&amp;"TN Curncy","last price")</f>
        <v>#NAME?</v>
      </c>
      <c r="Y89" s="13"/>
      <c r="Z89" s="13"/>
      <c r="AA89" s="13"/>
      <c r="AB89" s="13"/>
    </row>
    <row r="90" spans="6:28" ht="15" customHeight="1" x14ac:dyDescent="0.25">
      <c r="F90" s="127" t="s">
        <v>80</v>
      </c>
      <c r="G90" s="72" t="e">
        <f ca="1">_xll.BDP($G$85&amp;"1W Curncy","BID")</f>
        <v>#NAME?</v>
      </c>
      <c r="H90" s="72" t="e">
        <f ca="1">_xll.BDP($G$85&amp;"1W Curncy","ask")</f>
        <v>#NAME?</v>
      </c>
      <c r="I90" s="72" t="e">
        <f ca="1">_xll.BDP($G$85&amp;"1W Curncy","last price")</f>
        <v>#NAME?</v>
      </c>
      <c r="J90" s="72" t="e">
        <f ca="1">_xll.BDP($J$85&amp;"1W Curncy","BID")</f>
        <v>#NAME?</v>
      </c>
      <c r="K90" s="72" t="e">
        <f ca="1">_xll.BDP($J$85&amp;"1W Curncy","ask")</f>
        <v>#NAME?</v>
      </c>
      <c r="L90" s="72" t="e">
        <f ca="1">_xll.BDP($J$85&amp;"1W Curncy","last price")</f>
        <v>#NAME?</v>
      </c>
      <c r="M90" s="72" t="e">
        <f ca="1">_xll.BDP($M$85&amp;"1W Curncy","BID")</f>
        <v>#NAME?</v>
      </c>
      <c r="N90" s="72" t="e">
        <f ca="1">_xll.BDP($M$85&amp;"1W Curncy","ask")</f>
        <v>#NAME?</v>
      </c>
      <c r="O90" s="72" t="e">
        <f ca="1">_xll.BDP($M$85&amp;"1W Curncy","last price")</f>
        <v>#NAME?</v>
      </c>
      <c r="P90" s="72" t="e">
        <f ca="1">_xll.BDP($P$85&amp;"1W Curncy","BID")</f>
        <v>#NAME?</v>
      </c>
      <c r="Q90" s="72" t="e">
        <f ca="1">_xll.BDP($P$85&amp;"1W Curncy","ask")</f>
        <v>#NAME?</v>
      </c>
      <c r="R90" s="72" t="e">
        <f ca="1">_xll.BDP($P$85&amp;"1W Curncy","last price")</f>
        <v>#NAME?</v>
      </c>
      <c r="S90" s="72" t="e">
        <f ca="1">_xll.BDP($S$85&amp;"1W Curncy","BID")</f>
        <v>#NAME?</v>
      </c>
      <c r="T90" s="72" t="e">
        <f ca="1">_xll.BDP($S$85&amp;"1W Curncy","ask")</f>
        <v>#NAME?</v>
      </c>
      <c r="U90" s="72" t="e">
        <f ca="1">_xll.BDP($S$85&amp;"1W Curncy","last price")</f>
        <v>#NAME?</v>
      </c>
      <c r="V90" s="72" t="e">
        <f ca="1">_xll.BDP($V$85&amp;"1W Curncy","BID")</f>
        <v>#NAME?</v>
      </c>
      <c r="W90" s="72" t="e">
        <f ca="1">_xll.BDP($V$85&amp;"1W Curncy","ask")</f>
        <v>#NAME?</v>
      </c>
      <c r="X90" s="130" t="e">
        <f ca="1">_xll.BDP($V$85&amp;"1W Curncy","last price")</f>
        <v>#NAME?</v>
      </c>
      <c r="Y90" s="13"/>
      <c r="Z90" s="13"/>
      <c r="AA90" s="13"/>
      <c r="AB90" s="13"/>
    </row>
    <row r="91" spans="6:28" ht="15" customHeight="1" x14ac:dyDescent="0.25">
      <c r="F91" s="127" t="s">
        <v>81</v>
      </c>
      <c r="G91" s="131" t="e">
        <f ca="1">_xll.BDP($G$85&amp;"1M Curncy","BID")</f>
        <v>#NAME?</v>
      </c>
      <c r="H91" s="131" t="e">
        <f ca="1">_xll.BDP($G$85&amp;"1M Curncy","ask")</f>
        <v>#NAME?</v>
      </c>
      <c r="I91" s="131" t="e">
        <f ca="1">_xll.BDP($G$85&amp;"1M Curncy","last price")</f>
        <v>#NAME?</v>
      </c>
      <c r="J91" s="131" t="e">
        <f ca="1">_xll.BDP($J$85&amp;"1M Curncy","BID")</f>
        <v>#NAME?</v>
      </c>
      <c r="K91" s="131" t="e">
        <f ca="1">_xll.BDP($J$85&amp;"1M Curncy","ask")</f>
        <v>#NAME?</v>
      </c>
      <c r="L91" s="131" t="e">
        <f ca="1">_xll.BDP($J$85&amp;"1M Curncy","last price")</f>
        <v>#NAME?</v>
      </c>
      <c r="M91" s="131" t="e">
        <f ca="1">_xll.BDP($M$85&amp;"1M Curncy","BID")</f>
        <v>#NAME?</v>
      </c>
      <c r="N91" s="131" t="e">
        <f ca="1">_xll.BDP($M$85&amp;"1M Curncy","ask")</f>
        <v>#NAME?</v>
      </c>
      <c r="O91" s="131" t="e">
        <f ca="1">_xll.BDP($M$85&amp;"1M Curncy","last price")</f>
        <v>#NAME?</v>
      </c>
      <c r="P91" s="131" t="e">
        <f ca="1">_xll.BDP($P$85&amp;"1M Curncy","BID")</f>
        <v>#NAME?</v>
      </c>
      <c r="Q91" s="131" t="e">
        <f ca="1">_xll.BDP($P$85&amp;"1M Curncy","ask")</f>
        <v>#NAME?</v>
      </c>
      <c r="R91" s="131" t="e">
        <f ca="1">_xll.BDP($P$85&amp;"1M Curncy","last price")</f>
        <v>#NAME?</v>
      </c>
      <c r="S91" s="131" t="e">
        <f ca="1">_xll.BDP($S$85&amp;"1M Curncy","BID")</f>
        <v>#NAME?</v>
      </c>
      <c r="T91" s="131" t="e">
        <f ca="1">_xll.BDP($S$85&amp;"1M Curncy","ask")</f>
        <v>#NAME?</v>
      </c>
      <c r="U91" s="131" t="e">
        <f ca="1">_xll.BDP($S$85&amp;"1M Curncy","last price")</f>
        <v>#NAME?</v>
      </c>
      <c r="V91" s="131" t="e">
        <f ca="1">_xll.BDP($V$85&amp;"1M Curncy","BID")</f>
        <v>#NAME?</v>
      </c>
      <c r="W91" s="131" t="e">
        <f ca="1">_xll.BDP($V$85&amp;"1M Curncy","ask")</f>
        <v>#NAME?</v>
      </c>
      <c r="X91" s="89" t="e">
        <f ca="1">_xll.BDP($V$85&amp;"1M Curncy","last price")</f>
        <v>#NAME?</v>
      </c>
      <c r="Y91" s="13"/>
      <c r="Z91" s="13"/>
      <c r="AA91" s="13"/>
      <c r="AB91" s="13"/>
    </row>
    <row r="92" spans="6:28" ht="15" customHeight="1" x14ac:dyDescent="0.25">
      <c r="F92" s="127" t="s">
        <v>82</v>
      </c>
      <c r="G92" s="72" t="e">
        <f ca="1">_xll.BDP($G$85&amp;"2M Curncy","BID")</f>
        <v>#NAME?</v>
      </c>
      <c r="H92" s="72" t="e">
        <f ca="1">_xll.BDP($G$85&amp;"2M Curncy","ask")</f>
        <v>#NAME?</v>
      </c>
      <c r="I92" s="72" t="e">
        <f ca="1">_xll.BDP($G$85&amp;"2M Curncy","last price")</f>
        <v>#NAME?</v>
      </c>
      <c r="J92" s="72" t="e">
        <f ca="1">_xll.BDP($J$85&amp;"2M Curncy","BID")</f>
        <v>#NAME?</v>
      </c>
      <c r="K92" s="72" t="e">
        <f ca="1">_xll.BDP($J$85&amp;"2M Curncy","ask")</f>
        <v>#NAME?</v>
      </c>
      <c r="L92" s="72" t="e">
        <f ca="1">_xll.BDP($J$85&amp;"2M Curncy","last price")</f>
        <v>#NAME?</v>
      </c>
      <c r="M92" s="72" t="e">
        <f ca="1">_xll.BDP($M$85&amp;"2M Curncy","BID")</f>
        <v>#NAME?</v>
      </c>
      <c r="N92" s="72" t="e">
        <f ca="1">_xll.BDP($M$85&amp;"2M Curncy","ask")</f>
        <v>#NAME?</v>
      </c>
      <c r="O92" s="72" t="e">
        <f ca="1">_xll.BDP($M$85&amp;"2M Curncy","last price")</f>
        <v>#NAME?</v>
      </c>
      <c r="P92" s="72" t="e">
        <f ca="1">_xll.BDP($P$85&amp;"2M Curncy","BID")</f>
        <v>#NAME?</v>
      </c>
      <c r="Q92" s="72" t="e">
        <f ca="1">_xll.BDP($P$85&amp;"2M Curncy","ask")</f>
        <v>#NAME?</v>
      </c>
      <c r="R92" s="72" t="e">
        <f ca="1">_xll.BDP($P$85&amp;"2M Curncy","last price")</f>
        <v>#NAME?</v>
      </c>
      <c r="S92" s="72" t="e">
        <f ca="1">_xll.BDP($S$85&amp;"2M Curncy","BID")</f>
        <v>#NAME?</v>
      </c>
      <c r="T92" s="72" t="e">
        <f ca="1">_xll.BDP($S$85&amp;"2M Curncy","ask")</f>
        <v>#NAME?</v>
      </c>
      <c r="U92" s="72" t="e">
        <f ca="1">_xll.BDP($S$85&amp;"2M Curncy","last price")</f>
        <v>#NAME?</v>
      </c>
      <c r="V92" s="72" t="e">
        <f ca="1">_xll.BDP($V$85&amp;"2M Curncy","BID")</f>
        <v>#NAME?</v>
      </c>
      <c r="W92" s="72" t="e">
        <f ca="1">_xll.BDP($V$85&amp;"2M Curncy","ask")</f>
        <v>#NAME?</v>
      </c>
      <c r="X92" s="130" t="e">
        <f ca="1">_xll.BDP($V$85&amp;"2M Curncy","last price")</f>
        <v>#NAME?</v>
      </c>
      <c r="Y92" s="13"/>
      <c r="Z92" s="13"/>
      <c r="AA92" s="13"/>
      <c r="AB92" s="13"/>
    </row>
    <row r="93" spans="6:28" ht="15" customHeight="1" x14ac:dyDescent="0.25">
      <c r="F93" s="127" t="s">
        <v>83</v>
      </c>
      <c r="G93" s="131" t="e">
        <f ca="1">_xll.BDP($G$85&amp;"3M Curncy","BID")</f>
        <v>#NAME?</v>
      </c>
      <c r="H93" s="131" t="e">
        <f ca="1">_xll.BDP($G$85&amp;"3M Curncy","ask")</f>
        <v>#NAME?</v>
      </c>
      <c r="I93" s="131" t="e">
        <f ca="1">_xll.BDP($G$85&amp;"3M Curncy","last price")</f>
        <v>#NAME?</v>
      </c>
      <c r="J93" s="131" t="e">
        <f ca="1">_xll.BDP($J$85&amp;"3M Curncy","BID")</f>
        <v>#NAME?</v>
      </c>
      <c r="K93" s="131" t="e">
        <f ca="1">_xll.BDP($J$85&amp;"3M Curncy","ask")</f>
        <v>#NAME?</v>
      </c>
      <c r="L93" s="131" t="e">
        <f ca="1">_xll.BDP($J$85&amp;"3M Curncy","last price")</f>
        <v>#NAME?</v>
      </c>
      <c r="M93" s="131" t="e">
        <f ca="1">_xll.BDP($M$85&amp;"3M Curncy","BID")</f>
        <v>#NAME?</v>
      </c>
      <c r="N93" s="131" t="e">
        <f ca="1">_xll.BDP($M$85&amp;"3M Curncy","ask")</f>
        <v>#NAME?</v>
      </c>
      <c r="O93" s="131" t="e">
        <f ca="1">_xll.BDP($M$85&amp;"3M Curncy","last price")</f>
        <v>#NAME?</v>
      </c>
      <c r="P93" s="131" t="e">
        <f ca="1">_xll.BDP($P$85&amp;"3M Curncy","BID")</f>
        <v>#NAME?</v>
      </c>
      <c r="Q93" s="131" t="e">
        <f ca="1">_xll.BDP($P$85&amp;"3M Curncy","ask")</f>
        <v>#NAME?</v>
      </c>
      <c r="R93" s="131" t="e">
        <f ca="1">_xll.BDP($P$85&amp;"3M Curncy","last price")</f>
        <v>#NAME?</v>
      </c>
      <c r="S93" s="131" t="e">
        <f ca="1">_xll.BDP($S$85&amp;"3M Curncy","BID")</f>
        <v>#NAME?</v>
      </c>
      <c r="T93" s="131" t="e">
        <f ca="1">_xll.BDP($S$85&amp;"3M Curncy","ask")</f>
        <v>#NAME?</v>
      </c>
      <c r="U93" s="131" t="e">
        <f ca="1">_xll.BDP($S$85&amp;"3M Curncy","last price")</f>
        <v>#NAME?</v>
      </c>
      <c r="V93" s="131" t="e">
        <f ca="1">_xll.BDP($V$85&amp;"3M Curncy","BID")</f>
        <v>#NAME?</v>
      </c>
      <c r="W93" s="131" t="e">
        <f ca="1">_xll.BDP($V$85&amp;"3M Curncy","ask")</f>
        <v>#NAME?</v>
      </c>
      <c r="X93" s="89" t="e">
        <f ca="1">_xll.BDP($V$85&amp;"3M Curncy","last price")</f>
        <v>#NAME?</v>
      </c>
      <c r="Y93" s="13"/>
      <c r="Z93" s="13"/>
      <c r="AA93" s="13"/>
      <c r="AB93" s="13"/>
    </row>
    <row r="94" spans="6:28" ht="15" customHeight="1" x14ac:dyDescent="0.25">
      <c r="F94" s="127" t="s">
        <v>84</v>
      </c>
      <c r="G94" s="72" t="e">
        <f ca="1">_xll.BDP($G$85&amp;"6M Curncy","BID")</f>
        <v>#NAME?</v>
      </c>
      <c r="H94" s="72" t="e">
        <f ca="1">_xll.BDP($G$85&amp;"6M Curncy","ask")</f>
        <v>#NAME?</v>
      </c>
      <c r="I94" s="72" t="e">
        <f ca="1">_xll.BDP($G$85&amp;"6M Curncy","last price")</f>
        <v>#NAME?</v>
      </c>
      <c r="J94" s="72" t="e">
        <f ca="1">_xll.BDP($J$85&amp;"6M Curncy","BID")</f>
        <v>#NAME?</v>
      </c>
      <c r="K94" s="72" t="e">
        <f ca="1">_xll.BDP($J$85&amp;"6M Curncy","ask")</f>
        <v>#NAME?</v>
      </c>
      <c r="L94" s="72" t="e">
        <f ca="1">_xll.BDP($J$85&amp;"6M Curncy","last price")</f>
        <v>#NAME?</v>
      </c>
      <c r="M94" s="72" t="e">
        <f ca="1">_xll.BDP($M$85&amp;"6M Curncy","BID")</f>
        <v>#NAME?</v>
      </c>
      <c r="N94" s="72" t="e">
        <f ca="1">_xll.BDP($M$85&amp;"6M Curncy","ask")</f>
        <v>#NAME?</v>
      </c>
      <c r="O94" s="72" t="e">
        <f ca="1">_xll.BDP($M$85&amp;"6M Curncy","last price")</f>
        <v>#NAME?</v>
      </c>
      <c r="P94" s="72" t="e">
        <f ca="1">_xll.BDP($P$85&amp;"6M Curncy","BID")</f>
        <v>#NAME?</v>
      </c>
      <c r="Q94" s="72" t="e">
        <f ca="1">_xll.BDP($P$85&amp;"6M Curncy","ask")</f>
        <v>#NAME?</v>
      </c>
      <c r="R94" s="72" t="e">
        <f ca="1">_xll.BDP($P$85&amp;"6M Curncy","last price")</f>
        <v>#NAME?</v>
      </c>
      <c r="S94" s="72" t="e">
        <f ca="1">_xll.BDP($S$85&amp;"6M Curncy","BID")</f>
        <v>#NAME?</v>
      </c>
      <c r="T94" s="72" t="e">
        <f ca="1">_xll.BDP($S$85&amp;"6M Curncy","ask")</f>
        <v>#NAME?</v>
      </c>
      <c r="U94" s="72" t="e">
        <f ca="1">_xll.BDP($S$85&amp;"6M Curncy","last price")</f>
        <v>#NAME?</v>
      </c>
      <c r="V94" s="72" t="e">
        <f ca="1">_xll.BDP($V$85&amp;"6M Curncy","BID")</f>
        <v>#NAME?</v>
      </c>
      <c r="W94" s="72" t="e">
        <f ca="1">_xll.BDP($V$85&amp;"6M Curncy","ask")</f>
        <v>#NAME?</v>
      </c>
      <c r="X94" s="130" t="e">
        <f ca="1">_xll.BDP($V$85&amp;"6M Curncy","last price")</f>
        <v>#NAME?</v>
      </c>
      <c r="Y94" s="13"/>
      <c r="Z94" s="13"/>
      <c r="AA94" s="13"/>
      <c r="AB94" s="13"/>
    </row>
    <row r="95" spans="6:28" ht="15" customHeight="1" x14ac:dyDescent="0.25">
      <c r="F95" s="127" t="s">
        <v>85</v>
      </c>
      <c r="G95" s="131" t="e">
        <f ca="1">_xll.BDP($G$85&amp;"9M Curncy","BID")</f>
        <v>#NAME?</v>
      </c>
      <c r="H95" s="131" t="e">
        <f ca="1">_xll.BDP($G$85&amp;"9M Curncy","ask")</f>
        <v>#NAME?</v>
      </c>
      <c r="I95" s="131" t="e">
        <f ca="1">_xll.BDP($G$85&amp;"9M Curncy","last price")</f>
        <v>#NAME?</v>
      </c>
      <c r="J95" s="131" t="e">
        <f ca="1">_xll.BDP($J$85&amp;"9M Curncy","BID")</f>
        <v>#NAME?</v>
      </c>
      <c r="K95" s="131" t="e">
        <f ca="1">_xll.BDP($J$85&amp;"9M Curncy","ask")</f>
        <v>#NAME?</v>
      </c>
      <c r="L95" s="131" t="e">
        <f ca="1">_xll.BDP($J$85&amp;"9M Curncy","last price")</f>
        <v>#NAME?</v>
      </c>
      <c r="M95" s="131" t="e">
        <f ca="1">_xll.BDP($M$85&amp;"9M Curncy","BID")</f>
        <v>#NAME?</v>
      </c>
      <c r="N95" s="131" t="e">
        <f ca="1">_xll.BDP($M$85&amp;"9M Curncy","ask")</f>
        <v>#NAME?</v>
      </c>
      <c r="O95" s="131" t="e">
        <f ca="1">_xll.BDP($M$85&amp;"9M Curncy","last price")</f>
        <v>#NAME?</v>
      </c>
      <c r="P95" s="131" t="e">
        <f ca="1">_xll.BDP($P$85&amp;"9M Curncy","BID")</f>
        <v>#NAME?</v>
      </c>
      <c r="Q95" s="131" t="e">
        <f ca="1">_xll.BDP($P$85&amp;"9M Curncy","ask")</f>
        <v>#NAME?</v>
      </c>
      <c r="R95" s="131" t="e">
        <f ca="1">_xll.BDP($P$85&amp;"9M Curncy","last price")</f>
        <v>#NAME?</v>
      </c>
      <c r="S95" s="131" t="e">
        <f ca="1">_xll.BDP($S$85&amp;"9M Curncy","BID")</f>
        <v>#NAME?</v>
      </c>
      <c r="T95" s="131" t="e">
        <f ca="1">_xll.BDP($S$85&amp;"9M Curncy","ask")</f>
        <v>#NAME?</v>
      </c>
      <c r="U95" s="131" t="e">
        <f ca="1">_xll.BDP($S$85&amp;"9M Curncy","last price")</f>
        <v>#NAME?</v>
      </c>
      <c r="V95" s="131" t="e">
        <f ca="1">_xll.BDP($V$85&amp;"9M Curncy","BID")</f>
        <v>#NAME?</v>
      </c>
      <c r="W95" s="131" t="e">
        <f ca="1">_xll.BDP($V$85&amp;"9M Curncy","ask")</f>
        <v>#NAME?</v>
      </c>
      <c r="X95" s="89" t="e">
        <f ca="1">_xll.BDP($V$85&amp;"9M Curncy","last price")</f>
        <v>#NAME?</v>
      </c>
      <c r="Y95" s="13"/>
      <c r="Z95" s="13"/>
      <c r="AA95" s="13"/>
      <c r="AB95" s="13"/>
    </row>
    <row r="96" spans="6:28" ht="15" customHeight="1" x14ac:dyDescent="0.25">
      <c r="F96" s="132" t="s">
        <v>86</v>
      </c>
      <c r="G96" s="133" t="e">
        <f ca="1">_xll.BDP($G$85&amp;"12M Curncy","BID")</f>
        <v>#NAME?</v>
      </c>
      <c r="H96" s="133" t="e">
        <f ca="1">_xll.BDP($G$85&amp;"12M Curncy","ask")</f>
        <v>#NAME?</v>
      </c>
      <c r="I96" s="133" t="e">
        <f ca="1">_xll.BDP($G$85&amp;"12M Curncy","last price")</f>
        <v>#NAME?</v>
      </c>
      <c r="J96" s="133" t="e">
        <f ca="1">_xll.BDP($J$85&amp;"12M Curncy","BID")</f>
        <v>#NAME?</v>
      </c>
      <c r="K96" s="133" t="e">
        <f ca="1">_xll.BDP($J$85&amp;"12M Curncy","ask")</f>
        <v>#NAME?</v>
      </c>
      <c r="L96" s="133" t="e">
        <f ca="1">_xll.BDP($J$85&amp;"12M Curncy","last price")</f>
        <v>#NAME?</v>
      </c>
      <c r="M96" s="133" t="e">
        <f ca="1">_xll.BDP($M$85&amp;"12M Curncy","BID")</f>
        <v>#NAME?</v>
      </c>
      <c r="N96" s="133" t="e">
        <f ca="1">_xll.BDP($M$85&amp;"12M Curncy","ask")</f>
        <v>#NAME?</v>
      </c>
      <c r="O96" s="133" t="e">
        <f ca="1">_xll.BDP($M$85&amp;"12M Curncy","last price")</f>
        <v>#NAME?</v>
      </c>
      <c r="P96" s="133" t="e">
        <f ca="1">_xll.BDP($P$85&amp;"12M Curncy","BID")</f>
        <v>#NAME?</v>
      </c>
      <c r="Q96" s="133" t="e">
        <f ca="1">_xll.BDP($P$85&amp;"12M Curncy","ask")</f>
        <v>#NAME?</v>
      </c>
      <c r="R96" s="133" t="e">
        <f ca="1">_xll.BDP($P$85&amp;"12M Curncy","last price")</f>
        <v>#NAME?</v>
      </c>
      <c r="S96" s="133" t="e">
        <f ca="1">_xll.BDP($S$85&amp;"12M Curncy","BID")</f>
        <v>#NAME?</v>
      </c>
      <c r="T96" s="133" t="e">
        <f ca="1">_xll.BDP($S$85&amp;"12M Curncy","ask")</f>
        <v>#NAME?</v>
      </c>
      <c r="U96" s="133" t="e">
        <f ca="1">_xll.BDP($S$85&amp;"12M Curncy","last price")</f>
        <v>#NAME?</v>
      </c>
      <c r="V96" s="133" t="e">
        <f ca="1">_xll.BDP($V$85&amp;"12M Curncy","BID")</f>
        <v>#NAME?</v>
      </c>
      <c r="W96" s="133" t="e">
        <f ca="1">_xll.BDP($V$85&amp;"12M Curncy","ask")</f>
        <v>#NAME?</v>
      </c>
      <c r="X96" s="134" t="e">
        <f ca="1">_xll.BDP($V$85&amp;"12M Curncy","last price")</f>
        <v>#NAME?</v>
      </c>
      <c r="Y96" s="13"/>
      <c r="Z96" s="13"/>
      <c r="AA96" s="13"/>
      <c r="AB96" s="13"/>
    </row>
    <row r="97" spans="6:28" ht="15" customHeight="1" x14ac:dyDescent="0.25"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</row>
    <row r="98" spans="6:28" ht="15" customHeight="1" x14ac:dyDescent="0.25">
      <c r="F98" s="192" t="s">
        <v>11</v>
      </c>
    </row>
    <row r="99" spans="6:28" ht="12" customHeight="1" x14ac:dyDescent="0.25"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</row>
    <row r="100" spans="6:28" s="219" customFormat="1" ht="35.15" customHeight="1" x14ac:dyDescent="0.3">
      <c r="F100" s="225" t="s">
        <v>102</v>
      </c>
      <c r="G100" s="226"/>
      <c r="H100" s="226"/>
      <c r="I100" s="226"/>
      <c r="J100" s="226"/>
      <c r="K100" s="226"/>
      <c r="L100" s="226"/>
      <c r="M100" s="226"/>
      <c r="N100" s="226"/>
      <c r="O100" s="229"/>
      <c r="P100" s="226" t="s">
        <v>88</v>
      </c>
      <c r="Q100" s="226"/>
      <c r="R100" s="226"/>
      <c r="S100" s="226"/>
      <c r="T100" s="226"/>
      <c r="U100" s="226"/>
      <c r="V100" s="226"/>
      <c r="W100" s="226"/>
      <c r="X100" s="227"/>
    </row>
    <row r="101" spans="6:28" ht="15" customHeight="1" x14ac:dyDescent="0.25">
      <c r="F101" s="90" t="s">
        <v>134</v>
      </c>
      <c r="G101" s="208">
        <v>1</v>
      </c>
      <c r="H101" s="208">
        <v>2</v>
      </c>
      <c r="I101" s="208">
        <v>5</v>
      </c>
      <c r="J101" s="208">
        <v>7</v>
      </c>
      <c r="K101" s="208">
        <v>10</v>
      </c>
      <c r="L101" s="208">
        <v>15</v>
      </c>
      <c r="M101" s="208">
        <v>20</v>
      </c>
      <c r="N101" s="208">
        <v>25</v>
      </c>
      <c r="O101" s="209">
        <v>30</v>
      </c>
      <c r="P101" s="208">
        <v>1</v>
      </c>
      <c r="Q101" s="208">
        <v>2</v>
      </c>
      <c r="R101" s="208">
        <v>5</v>
      </c>
      <c r="S101" s="208">
        <v>7</v>
      </c>
      <c r="T101" s="208">
        <v>10</v>
      </c>
      <c r="U101" s="208">
        <v>15</v>
      </c>
      <c r="V101" s="208">
        <v>20</v>
      </c>
      <c r="W101" s="208">
        <v>25</v>
      </c>
      <c r="X101" s="221">
        <v>30</v>
      </c>
      <c r="Z101" s="13"/>
      <c r="AA101" s="13"/>
      <c r="AB101" s="13"/>
    </row>
    <row r="102" spans="6:28" ht="15" customHeight="1" x14ac:dyDescent="0.25">
      <c r="F102" s="127" t="s">
        <v>19</v>
      </c>
      <c r="G102" s="206" t="e">
        <f ca="1">_xll.BDP("USSP0A"&amp;G$101&amp;" "&amp;RIGHT(VolLink,LEN(VolLink)-FIND("/",VolLink))&amp;" curncy","PX LAST")</f>
        <v>#NAME?</v>
      </c>
      <c r="H102" s="206" t="e">
        <f ca="1">_xll.BDP("USSP0A"&amp;H$101&amp;" "&amp;RIGHT(VolLink,LEN(VolLink)-FIND("/",VolLink))&amp;" curncy","PX LAST")</f>
        <v>#NAME?</v>
      </c>
      <c r="I102" s="206" t="e">
        <f ca="1">_xll.BDP("USSP0A"&amp;I$101&amp;" "&amp;RIGHT(VolLink,LEN(VolLink)-FIND("/",VolLink))&amp;" curncy","PX LAST")</f>
        <v>#NAME?</v>
      </c>
      <c r="J102" s="206" t="e">
        <f ca="1">_xll.BDP("USSP0A"&amp;J$101&amp;" "&amp;RIGHT(VolLink,LEN(VolLink)-FIND("/",VolLink))&amp;" curncy","PX LAST")</f>
        <v>#NAME?</v>
      </c>
      <c r="K102" s="206" t="e">
        <f ca="1">_xll.BDP("USSP0A"&amp;K$101&amp;" "&amp;RIGHT(VolLink,LEN(VolLink)-FIND("/",VolLink))&amp;" curncy","PX LAST")</f>
        <v>#NAME?</v>
      </c>
      <c r="L102" s="206" t="e">
        <f ca="1">_xll.BDP("USSP0A"&amp;L$101&amp;" "&amp;RIGHT(VolLink,LEN(VolLink)-FIND("/",VolLink))&amp;" curncy","PX LAST")</f>
        <v>#NAME?</v>
      </c>
      <c r="M102" s="206" t="e">
        <f ca="1">_xll.BDP("USSP0A"&amp;M$101&amp;" "&amp;RIGHT(VolLink,LEN(VolLink)-FIND("/",VolLink))&amp;" curncy","PX LAST")</f>
        <v>#NAME?</v>
      </c>
      <c r="N102" s="206" t="e">
        <f ca="1">_xll.BDP("USSP0A"&amp;N$101&amp;" "&amp;RIGHT(VolLink,LEN(VolLink)-FIND("/",VolLink))&amp;" curncy","PX LAST")</f>
        <v>#NAME?</v>
      </c>
      <c r="O102" s="206" t="e">
        <f ca="1">_xll.BDP("USSP0A"&amp;O$101&amp;" "&amp;RIGHT(VolLink,LEN(VolLink)-FIND("/",VolLink))&amp;" curncy","PX LAST")</f>
        <v>#NAME?</v>
      </c>
      <c r="P102" s="206" t="e">
        <f ca="1">_xll.BDP("USSV0A"&amp;P$101&amp;" "&amp;RIGHT(VolLink,LEN(VolLink)-FIND("/",VolLink))&amp;" curncy","PX LAST")</f>
        <v>#NAME?</v>
      </c>
      <c r="Q102" s="206" t="e">
        <f ca="1">_xll.BDP("USSV0A"&amp;Q$101&amp;" "&amp;RIGHT(VolLink,LEN(VolLink)-FIND("/",VolLink))&amp;" curncy","PX LAST")</f>
        <v>#NAME?</v>
      </c>
      <c r="R102" s="206" t="e">
        <f ca="1">_xll.BDP("USSV0A"&amp;R$101&amp;" "&amp;RIGHT(VolLink,LEN(VolLink)-FIND("/",VolLink))&amp;" curncy","PX LAST")</f>
        <v>#NAME?</v>
      </c>
      <c r="S102" s="206" t="e">
        <f ca="1">_xll.BDP("USSV0A"&amp;S$101&amp;" "&amp;RIGHT(VolLink,LEN(VolLink)-FIND("/",VolLink))&amp;" curncy","PX LAST")</f>
        <v>#NAME?</v>
      </c>
      <c r="T102" s="206" t="e">
        <f ca="1">_xll.BDP("USSV0A"&amp;T$101&amp;" "&amp;RIGHT(VolLink,LEN(VolLink)-FIND("/",VolLink))&amp;" curncy","PX LAST")</f>
        <v>#NAME?</v>
      </c>
      <c r="U102" s="206" t="e">
        <f ca="1">_xll.BDP("USSV0A"&amp;U$101&amp;" "&amp;RIGHT(VolLink,LEN(VolLink)-FIND("/",VolLink))&amp;" curncy","PX LAST")</f>
        <v>#NAME?</v>
      </c>
      <c r="V102" s="206" t="e">
        <f ca="1">_xll.BDP("USSV0A"&amp;V$101&amp;" "&amp;RIGHT(VolLink,LEN(VolLink)-FIND("/",VolLink))&amp;" curncy","PX LAST")</f>
        <v>#NAME?</v>
      </c>
      <c r="W102" s="206" t="e">
        <f ca="1">_xll.BDP("USSV0A"&amp;W$101&amp;" "&amp;RIGHT(VolLink,LEN(VolLink)-FIND("/",VolLink))&amp;" curncy","PX LAST")</f>
        <v>#NAME?</v>
      </c>
      <c r="X102" s="207" t="e">
        <f ca="1">_xll.BDP("USSV0A"&amp;X$101&amp;" "&amp;RIGHT(VolLink,LEN(VolLink)-FIND("/",VolLink))&amp;" curncy","PX LAST")</f>
        <v>#NAME?</v>
      </c>
      <c r="AA102" s="13"/>
      <c r="AB102" s="13"/>
    </row>
    <row r="103" spans="6:28" ht="15" customHeight="1" x14ac:dyDescent="0.25">
      <c r="F103" s="127" t="s">
        <v>21</v>
      </c>
      <c r="G103" s="137" t="e">
        <f ca="1">_xll.BDP("USSP0C"&amp;G$101&amp;" "&amp;RIGHT(VolLink,LEN(VolLink)-FIND("/",VolLink))&amp;" curncy","PX LAST")</f>
        <v>#NAME?</v>
      </c>
      <c r="H103" s="137" t="e">
        <f ca="1">_xll.BDP("USSP0C"&amp;H$101&amp;" "&amp;RIGHT(VolLink,LEN(VolLink)-FIND("/",VolLink))&amp;" curncy","PX LAST")</f>
        <v>#NAME?</v>
      </c>
      <c r="I103" s="137" t="e">
        <f ca="1">_xll.BDP("USSP0C"&amp;I$101&amp;" "&amp;RIGHT(VolLink,LEN(VolLink)-FIND("/",VolLink))&amp;" curncy","PX LAST")</f>
        <v>#NAME?</v>
      </c>
      <c r="J103" s="137" t="e">
        <f ca="1">_xll.BDP("USSP0C"&amp;J$101&amp;" "&amp;RIGHT(VolLink,LEN(VolLink)-FIND("/",VolLink))&amp;" curncy","PX LAST")</f>
        <v>#NAME?</v>
      </c>
      <c r="K103" s="137" t="e">
        <f ca="1">_xll.BDP("USSP0C"&amp;K$101&amp;" "&amp;RIGHT(VolLink,LEN(VolLink)-FIND("/",VolLink))&amp;" curncy","PX LAST")</f>
        <v>#NAME?</v>
      </c>
      <c r="L103" s="137" t="e">
        <f ca="1">_xll.BDP("USSP0C"&amp;L$101&amp;" "&amp;RIGHT(VolLink,LEN(VolLink)-FIND("/",VolLink))&amp;" curncy","PX LAST")</f>
        <v>#NAME?</v>
      </c>
      <c r="M103" s="137" t="e">
        <f ca="1">_xll.BDP("USSP0C"&amp;M$101&amp;" "&amp;RIGHT(VolLink,LEN(VolLink)-FIND("/",VolLink))&amp;" curncy","PX LAST")</f>
        <v>#NAME?</v>
      </c>
      <c r="N103" s="137" t="e">
        <f ca="1">_xll.BDP("USSP0C"&amp;N$101&amp;" "&amp;RIGHT(VolLink,LEN(VolLink)-FIND("/",VolLink))&amp;" curncy","PX LAST")</f>
        <v>#NAME?</v>
      </c>
      <c r="O103" s="137" t="e">
        <f ca="1">_xll.BDP("USSP0C"&amp;O$101&amp;" "&amp;RIGHT(VolLink,LEN(VolLink)-FIND("/",VolLink))&amp;" curncy","PX LAST")</f>
        <v>#NAME?</v>
      </c>
      <c r="P103" s="137" t="e">
        <f ca="1">_xll.BDP("USSV0C"&amp;P$101&amp;" "&amp;RIGHT(VolLink,LEN(VolLink)-FIND("/",VolLink))&amp;" curncy","PX LAST")</f>
        <v>#NAME?</v>
      </c>
      <c r="Q103" s="137" t="e">
        <f ca="1">_xll.BDP("USSV0C"&amp;Q$101&amp;" "&amp;RIGHT(VolLink,LEN(VolLink)-FIND("/",VolLink))&amp;" curncy","PX LAST")</f>
        <v>#NAME?</v>
      </c>
      <c r="R103" s="137" t="e">
        <f ca="1">_xll.BDP("USSV0C"&amp;R$101&amp;" "&amp;RIGHT(VolLink,LEN(VolLink)-FIND("/",VolLink))&amp;" curncy","PX LAST")</f>
        <v>#NAME?</v>
      </c>
      <c r="S103" s="137" t="e">
        <f ca="1">_xll.BDP("USSV0C"&amp;S$101&amp;" "&amp;RIGHT(VolLink,LEN(VolLink)-FIND("/",VolLink))&amp;" curncy","PX LAST")</f>
        <v>#NAME?</v>
      </c>
      <c r="T103" s="137" t="e">
        <f ca="1">_xll.BDP("USSV0C"&amp;T$101&amp;" "&amp;RIGHT(VolLink,LEN(VolLink)-FIND("/",VolLink))&amp;" curncy","PX LAST")</f>
        <v>#NAME?</v>
      </c>
      <c r="U103" s="137" t="e">
        <f ca="1">_xll.BDP("USSV0C"&amp;U$101&amp;" "&amp;RIGHT(VolLink,LEN(VolLink)-FIND("/",VolLink))&amp;" curncy","PX LAST")</f>
        <v>#NAME?</v>
      </c>
      <c r="V103" s="137" t="e">
        <f ca="1">_xll.BDP("USSV0C"&amp;V$101&amp;" "&amp;RIGHT(VolLink,LEN(VolLink)-FIND("/",VolLink))&amp;" curncy","PX LAST")</f>
        <v>#NAME?</v>
      </c>
      <c r="W103" s="137" t="e">
        <f ca="1">_xll.BDP("USSV0C"&amp;W$101&amp;" "&amp;RIGHT(VolLink,LEN(VolLink)-FIND("/",VolLink))&amp;" curncy","PX LAST")</f>
        <v>#NAME?</v>
      </c>
      <c r="X103" s="138" t="e">
        <f ca="1">_xll.BDP("USSV0C"&amp;X$101&amp;" "&amp;RIGHT(VolLink,LEN(VolLink)-FIND("/",VolLink))&amp;" curncy","PX LAST")</f>
        <v>#NAME?</v>
      </c>
      <c r="AA103" s="13"/>
      <c r="AB103" s="13"/>
    </row>
    <row r="104" spans="6:28" ht="15" customHeight="1" x14ac:dyDescent="0.25">
      <c r="F104" s="127" t="s">
        <v>24</v>
      </c>
      <c r="G104" s="135" t="e">
        <f ca="1">_xll.BDP("USSP0F"&amp;G$101&amp;" "&amp;RIGHT(VolLink,LEN(VolLink)-FIND("/",VolLink))&amp;" curncy","PX LAST")</f>
        <v>#NAME?</v>
      </c>
      <c r="H104" s="135" t="e">
        <f ca="1">_xll.BDP("USSP0F"&amp;H$101&amp;" "&amp;RIGHT(VolLink,LEN(VolLink)-FIND("/",VolLink))&amp;" curncy","PX LAST")</f>
        <v>#NAME?</v>
      </c>
      <c r="I104" s="135" t="e">
        <f ca="1">_xll.BDP("USSP0F"&amp;I$101&amp;" "&amp;RIGHT(VolLink,LEN(VolLink)-FIND("/",VolLink))&amp;" curncy","PX LAST")</f>
        <v>#NAME?</v>
      </c>
      <c r="J104" s="135" t="e">
        <f ca="1">_xll.BDP("USSP0F"&amp;J$101&amp;" "&amp;RIGHT(VolLink,LEN(VolLink)-FIND("/",VolLink))&amp;" curncy","PX LAST")</f>
        <v>#NAME?</v>
      </c>
      <c r="K104" s="135" t="e">
        <f ca="1">_xll.BDP("USSP0F"&amp;K$101&amp;" "&amp;RIGHT(VolLink,LEN(VolLink)-FIND("/",VolLink))&amp;" curncy","PX LAST")</f>
        <v>#NAME?</v>
      </c>
      <c r="L104" s="135" t="e">
        <f ca="1">_xll.BDP("USSP0F"&amp;L$101&amp;" "&amp;RIGHT(VolLink,LEN(VolLink)-FIND("/",VolLink))&amp;" curncy","PX LAST")</f>
        <v>#NAME?</v>
      </c>
      <c r="M104" s="135" t="e">
        <f ca="1">_xll.BDP("USSP0F"&amp;M$101&amp;" "&amp;RIGHT(VolLink,LEN(VolLink)-FIND("/",VolLink))&amp;" curncy","PX LAST")</f>
        <v>#NAME?</v>
      </c>
      <c r="N104" s="135" t="e">
        <f ca="1">_xll.BDP("USSP0F"&amp;N$101&amp;" "&amp;RIGHT(VolLink,LEN(VolLink)-FIND("/",VolLink))&amp;" curncy","PX LAST")</f>
        <v>#NAME?</v>
      </c>
      <c r="O104" s="135" t="e">
        <f ca="1">_xll.BDP("USSP0F"&amp;O$101&amp;" "&amp;RIGHT(VolLink,LEN(VolLink)-FIND("/",VolLink))&amp;" curncy","PX LAST")</f>
        <v>#NAME?</v>
      </c>
      <c r="P104" s="135" t="e">
        <f ca="1">_xll.BDP("USSV0F"&amp;P$101&amp;" "&amp;RIGHT(VolLink,LEN(VolLink)-FIND("/",VolLink))&amp;" curncy","PX LAST")</f>
        <v>#NAME?</v>
      </c>
      <c r="Q104" s="135" t="e">
        <f ca="1">_xll.BDP("USSV0F"&amp;Q$101&amp;" "&amp;RIGHT(VolLink,LEN(VolLink)-FIND("/",VolLink))&amp;" curncy","PX LAST")</f>
        <v>#NAME?</v>
      </c>
      <c r="R104" s="135" t="e">
        <f ca="1">_xll.BDP("USSV0F"&amp;R$101&amp;" "&amp;RIGHT(VolLink,LEN(VolLink)-FIND("/",VolLink))&amp;" curncy","PX LAST")</f>
        <v>#NAME?</v>
      </c>
      <c r="S104" s="135" t="e">
        <f ca="1">_xll.BDP("USSV0F"&amp;S$101&amp;" "&amp;RIGHT(VolLink,LEN(VolLink)-FIND("/",VolLink))&amp;" curncy","PX LAST")</f>
        <v>#NAME?</v>
      </c>
      <c r="T104" s="135" t="e">
        <f ca="1">_xll.BDP("USSV0F"&amp;T$101&amp;" "&amp;RIGHT(VolLink,LEN(VolLink)-FIND("/",VolLink))&amp;" curncy","PX LAST")</f>
        <v>#NAME?</v>
      </c>
      <c r="U104" s="135" t="e">
        <f ca="1">_xll.BDP("USSV0F"&amp;U$101&amp;" "&amp;RIGHT(VolLink,LEN(VolLink)-FIND("/",VolLink))&amp;" curncy","PX LAST")</f>
        <v>#NAME?</v>
      </c>
      <c r="V104" s="135" t="e">
        <f ca="1">_xll.BDP("USSV0F"&amp;V$101&amp;" "&amp;RIGHT(VolLink,LEN(VolLink)-FIND("/",VolLink))&amp;" curncy","PX LAST")</f>
        <v>#NAME?</v>
      </c>
      <c r="W104" s="135" t="e">
        <f ca="1">_xll.BDP("USSV0F"&amp;W$101&amp;" "&amp;RIGHT(VolLink,LEN(VolLink)-FIND("/",VolLink))&amp;" curncy","PX LAST")</f>
        <v>#NAME?</v>
      </c>
      <c r="X104" s="136" t="e">
        <f ca="1">_xll.BDP("USSV0F"&amp;X$101&amp;" "&amp;RIGHT(VolLink,LEN(VolLink)-FIND("/",VolLink))&amp;" curncy","PX LAST")</f>
        <v>#NAME?</v>
      </c>
    </row>
    <row r="105" spans="6:28" ht="15" customHeight="1" x14ac:dyDescent="0.25">
      <c r="F105" s="127" t="s">
        <v>36</v>
      </c>
      <c r="G105" s="137" t="e">
        <f ca="1">_xll.BDP("USSP01"&amp;G$101&amp;" "&amp;RIGHT(VolLink,LEN(VolLink)-FIND("/",VolLink))&amp;" curncy","PX LAST")</f>
        <v>#NAME?</v>
      </c>
      <c r="H105" s="137" t="e">
        <f ca="1">_xll.BDP("USSP01"&amp;H$101&amp;" "&amp;RIGHT(VolLink,LEN(VolLink)-FIND("/",VolLink))&amp;" curncy","PX LAST")</f>
        <v>#NAME?</v>
      </c>
      <c r="I105" s="137" t="e">
        <f ca="1">_xll.BDP("USSP01"&amp;I$101&amp;" "&amp;RIGHT(VolLink,LEN(VolLink)-FIND("/",VolLink))&amp;" curncy","PX LAST")</f>
        <v>#NAME?</v>
      </c>
      <c r="J105" s="137" t="e">
        <f ca="1">_xll.BDP("USSP01"&amp;J$101&amp;" "&amp;RIGHT(VolLink,LEN(VolLink)-FIND("/",VolLink))&amp;" curncy","PX LAST")</f>
        <v>#NAME?</v>
      </c>
      <c r="K105" s="137" t="e">
        <f ca="1">_xll.BDP("USSP01"&amp;K$101&amp;" "&amp;RIGHT(VolLink,LEN(VolLink)-FIND("/",VolLink))&amp;" curncy","PX LAST")</f>
        <v>#NAME?</v>
      </c>
      <c r="L105" s="137" t="e">
        <f ca="1">_xll.BDP("USSP01"&amp;L$101&amp;" "&amp;RIGHT(VolLink,LEN(VolLink)-FIND("/",VolLink))&amp;" curncy","PX LAST")</f>
        <v>#NAME?</v>
      </c>
      <c r="M105" s="137" t="e">
        <f ca="1">_xll.BDP("USSP01"&amp;M$101&amp;" "&amp;RIGHT(VolLink,LEN(VolLink)-FIND("/",VolLink))&amp;" curncy","PX LAST")</f>
        <v>#NAME?</v>
      </c>
      <c r="N105" s="137" t="e">
        <f ca="1">_xll.BDP("USSP01"&amp;N$101&amp;" "&amp;RIGHT(VolLink,LEN(VolLink)-FIND("/",VolLink))&amp;" curncy","PX LAST")</f>
        <v>#NAME?</v>
      </c>
      <c r="O105" s="137" t="e">
        <f ca="1">_xll.BDP("USSP01"&amp;O$101&amp;" "&amp;RIGHT(VolLink,LEN(VolLink)-FIND("/",VolLink))&amp;" curncy","PX LAST")</f>
        <v>#NAME?</v>
      </c>
      <c r="P105" s="137" t="e">
        <f ca="1">_xll.BDP("USSV01"&amp;P$101&amp;" "&amp;RIGHT(VolLink,LEN(VolLink)-FIND("/",VolLink))&amp;" curncy","PX LAST")</f>
        <v>#NAME?</v>
      </c>
      <c r="Q105" s="137" t="e">
        <f ca="1">_xll.BDP("USSV01"&amp;Q$101&amp;" "&amp;RIGHT(VolLink,LEN(VolLink)-FIND("/",VolLink))&amp;" curncy","PX LAST")</f>
        <v>#NAME?</v>
      </c>
      <c r="R105" s="137" t="e">
        <f ca="1">_xll.BDP("USSV01"&amp;R$101&amp;" "&amp;RIGHT(VolLink,LEN(VolLink)-FIND("/",VolLink))&amp;" curncy","PX LAST")</f>
        <v>#NAME?</v>
      </c>
      <c r="S105" s="137" t="e">
        <f ca="1">_xll.BDP("USSV01"&amp;S$101&amp;" "&amp;RIGHT(VolLink,LEN(VolLink)-FIND("/",VolLink))&amp;" curncy","PX LAST")</f>
        <v>#NAME?</v>
      </c>
      <c r="T105" s="137" t="e">
        <f ca="1">_xll.BDP("USSV01"&amp;T$101&amp;" "&amp;RIGHT(VolLink,LEN(VolLink)-FIND("/",VolLink))&amp;" curncy","PX LAST")</f>
        <v>#NAME?</v>
      </c>
      <c r="U105" s="137" t="e">
        <f ca="1">_xll.BDP("USSV01"&amp;U$101&amp;" "&amp;RIGHT(VolLink,LEN(VolLink)-FIND("/",VolLink))&amp;" curncy","PX LAST")</f>
        <v>#NAME?</v>
      </c>
      <c r="V105" s="137" t="e">
        <f ca="1">_xll.BDP("USSV01"&amp;V$101&amp;" "&amp;RIGHT(VolLink,LEN(VolLink)-FIND("/",VolLink))&amp;" curncy","PX LAST")</f>
        <v>#NAME?</v>
      </c>
      <c r="W105" s="137" t="e">
        <f ca="1">_xll.BDP("USSV01"&amp;W$101&amp;" "&amp;RIGHT(VolLink,LEN(VolLink)-FIND("/",VolLink))&amp;" curncy","PX LAST")</f>
        <v>#NAME?</v>
      </c>
      <c r="X105" s="138" t="e">
        <f ca="1">_xll.BDP("USSV01"&amp;X$101&amp;" "&amp;RIGHT(VolLink,LEN(VolLink)-FIND("/",VolLink))&amp;" curncy","PX LAST")</f>
        <v>#NAME?</v>
      </c>
    </row>
    <row r="106" spans="6:28" ht="15" customHeight="1" x14ac:dyDescent="0.25">
      <c r="F106" s="127" t="s">
        <v>37</v>
      </c>
      <c r="G106" s="135" t="e">
        <f ca="1">_xll.BDP("USSP02"&amp;G$101&amp;" "&amp;RIGHT(VolLink,LEN(VolLink)-FIND("/",VolLink))&amp;" curncy","PX LAST")</f>
        <v>#NAME?</v>
      </c>
      <c r="H106" s="135" t="e">
        <f ca="1">_xll.BDP("USSP02"&amp;H$101&amp;" "&amp;RIGHT(VolLink,LEN(VolLink)-FIND("/",VolLink))&amp;" curncy","PX LAST")</f>
        <v>#NAME?</v>
      </c>
      <c r="I106" s="135" t="e">
        <f ca="1">_xll.BDP("USSP02"&amp;I$101&amp;" "&amp;RIGHT(VolLink,LEN(VolLink)-FIND("/",VolLink))&amp;" curncy","PX LAST")</f>
        <v>#NAME?</v>
      </c>
      <c r="J106" s="135" t="e">
        <f ca="1">_xll.BDP("USSP02"&amp;J$101&amp;" "&amp;RIGHT(VolLink,LEN(VolLink)-FIND("/",VolLink))&amp;" curncy","PX LAST")</f>
        <v>#NAME?</v>
      </c>
      <c r="K106" s="135" t="e">
        <f ca="1">_xll.BDP("USSP02"&amp;K$101&amp;" "&amp;RIGHT(VolLink,LEN(VolLink)-FIND("/",VolLink))&amp;" curncy","PX LAST")</f>
        <v>#NAME?</v>
      </c>
      <c r="L106" s="135" t="e">
        <f ca="1">_xll.BDP("USSP02"&amp;L$101&amp;" "&amp;RIGHT(VolLink,LEN(VolLink)-FIND("/",VolLink))&amp;" curncy","PX LAST")</f>
        <v>#NAME?</v>
      </c>
      <c r="M106" s="135" t="e">
        <f ca="1">_xll.BDP("USSP02"&amp;M$101&amp;" "&amp;RIGHT(VolLink,LEN(VolLink)-FIND("/",VolLink))&amp;" curncy","PX LAST")</f>
        <v>#NAME?</v>
      </c>
      <c r="N106" s="135" t="e">
        <f ca="1">_xll.BDP("USSP02"&amp;N$101&amp;" "&amp;RIGHT(VolLink,LEN(VolLink)-FIND("/",VolLink))&amp;" curncy","PX LAST")</f>
        <v>#NAME?</v>
      </c>
      <c r="O106" s="135" t="e">
        <f ca="1">_xll.BDP("USSP02"&amp;O$101&amp;" "&amp;RIGHT(VolLink,LEN(VolLink)-FIND("/",VolLink))&amp;" curncy","PX LAST")</f>
        <v>#NAME?</v>
      </c>
      <c r="P106" s="135" t="e">
        <f ca="1">_xll.BDP("USSV02"&amp;P$101&amp;" "&amp;RIGHT(VolLink,LEN(VolLink)-FIND("/",VolLink))&amp;" curncy","PX LAST")</f>
        <v>#NAME?</v>
      </c>
      <c r="Q106" s="135" t="e">
        <f ca="1">_xll.BDP("USSV02"&amp;Q$101&amp;" "&amp;RIGHT(VolLink,LEN(VolLink)-FIND("/",VolLink))&amp;" curncy","PX LAST")</f>
        <v>#NAME?</v>
      </c>
      <c r="R106" s="135" t="e">
        <f ca="1">_xll.BDP("USSV02"&amp;R$101&amp;" "&amp;RIGHT(VolLink,LEN(VolLink)-FIND("/",VolLink))&amp;" curncy","PX LAST")</f>
        <v>#NAME?</v>
      </c>
      <c r="S106" s="135" t="e">
        <f ca="1">_xll.BDP("USSV02"&amp;S$101&amp;" "&amp;RIGHT(VolLink,LEN(VolLink)-FIND("/",VolLink))&amp;" curncy","PX LAST")</f>
        <v>#NAME?</v>
      </c>
      <c r="T106" s="135" t="e">
        <f ca="1">_xll.BDP("USSV02"&amp;T$101&amp;" "&amp;RIGHT(VolLink,LEN(VolLink)-FIND("/",VolLink))&amp;" curncy","PX LAST")</f>
        <v>#NAME?</v>
      </c>
      <c r="U106" s="135" t="e">
        <f ca="1">_xll.BDP("USSV02"&amp;U$101&amp;" "&amp;RIGHT(VolLink,LEN(VolLink)-FIND("/",VolLink))&amp;" curncy","PX LAST")</f>
        <v>#NAME?</v>
      </c>
      <c r="V106" s="135" t="e">
        <f ca="1">_xll.BDP("USSV02"&amp;V$101&amp;" "&amp;RIGHT(VolLink,LEN(VolLink)-FIND("/",VolLink))&amp;" curncy","PX LAST")</f>
        <v>#NAME?</v>
      </c>
      <c r="W106" s="135" t="e">
        <f ca="1">_xll.BDP("USSV02"&amp;W$101&amp;" "&amp;RIGHT(VolLink,LEN(VolLink)-FIND("/",VolLink))&amp;" curncy","PX LAST")</f>
        <v>#NAME?</v>
      </c>
      <c r="X106" s="136" t="e">
        <f ca="1">_xll.BDP("USSV02"&amp;X$101&amp;" "&amp;RIGHT(VolLink,LEN(VolLink)-FIND("/",VolLink))&amp;" curncy","PX LAST")</f>
        <v>#NAME?</v>
      </c>
    </row>
    <row r="107" spans="6:28" ht="15" customHeight="1" x14ac:dyDescent="0.25">
      <c r="F107" s="127" t="s">
        <v>38</v>
      </c>
      <c r="G107" s="137" t="e">
        <f ca="1">_xll.BDP("USSP03"&amp;G$101&amp;" "&amp;RIGHT(VolLink,LEN(VolLink)-FIND("/",VolLink))&amp;" curncy","PX LAST")</f>
        <v>#NAME?</v>
      </c>
      <c r="H107" s="137" t="e">
        <f ca="1">_xll.BDP("USSP03"&amp;H$101&amp;" "&amp;RIGHT(VolLink,LEN(VolLink)-FIND("/",VolLink))&amp;" curncy","PX LAST")</f>
        <v>#NAME?</v>
      </c>
      <c r="I107" s="137" t="e">
        <f ca="1">_xll.BDP("USSP03"&amp;I$101&amp;" "&amp;RIGHT(VolLink,LEN(VolLink)-FIND("/",VolLink))&amp;" curncy","PX LAST")</f>
        <v>#NAME?</v>
      </c>
      <c r="J107" s="137" t="e">
        <f ca="1">_xll.BDP("USSP03"&amp;J$101&amp;" "&amp;RIGHT(VolLink,LEN(VolLink)-FIND("/",VolLink))&amp;" curncy","PX LAST")</f>
        <v>#NAME?</v>
      </c>
      <c r="K107" s="137" t="e">
        <f ca="1">_xll.BDP("USSP03"&amp;K$101&amp;" "&amp;RIGHT(VolLink,LEN(VolLink)-FIND("/",VolLink))&amp;" curncy","PX LAST")</f>
        <v>#NAME?</v>
      </c>
      <c r="L107" s="137" t="e">
        <f ca="1">_xll.BDP("USSP03"&amp;L$101&amp;" "&amp;RIGHT(VolLink,LEN(VolLink)-FIND("/",VolLink))&amp;" curncy","PX LAST")</f>
        <v>#NAME?</v>
      </c>
      <c r="M107" s="137" t="e">
        <f ca="1">_xll.BDP("USSP03"&amp;M$101&amp;" "&amp;RIGHT(VolLink,LEN(VolLink)-FIND("/",VolLink))&amp;" curncy","PX LAST")</f>
        <v>#NAME?</v>
      </c>
      <c r="N107" s="137" t="e">
        <f ca="1">_xll.BDP("USSP03"&amp;N$101&amp;" "&amp;RIGHT(VolLink,LEN(VolLink)-FIND("/",VolLink))&amp;" curncy","PX LAST")</f>
        <v>#NAME?</v>
      </c>
      <c r="O107" s="137" t="e">
        <f ca="1">_xll.BDP("USSP03"&amp;O$101&amp;" "&amp;RIGHT(VolLink,LEN(VolLink)-FIND("/",VolLink))&amp;" curncy","PX LAST")</f>
        <v>#NAME?</v>
      </c>
      <c r="P107" s="137" t="e">
        <f ca="1">_xll.BDP("USSV03"&amp;P$101&amp;" "&amp;RIGHT(VolLink,LEN(VolLink)-FIND("/",VolLink))&amp;" curncy","PX LAST")</f>
        <v>#NAME?</v>
      </c>
      <c r="Q107" s="137" t="e">
        <f ca="1">_xll.BDP("USSV03"&amp;Q$101&amp;" "&amp;RIGHT(VolLink,LEN(VolLink)-FIND("/",VolLink))&amp;" curncy","PX LAST")</f>
        <v>#NAME?</v>
      </c>
      <c r="R107" s="137" t="e">
        <f ca="1">_xll.BDP("USSV03"&amp;R$101&amp;" "&amp;RIGHT(VolLink,LEN(VolLink)-FIND("/",VolLink))&amp;" curncy","PX LAST")</f>
        <v>#NAME?</v>
      </c>
      <c r="S107" s="137" t="e">
        <f ca="1">_xll.BDP("USSV03"&amp;S$101&amp;" "&amp;RIGHT(VolLink,LEN(VolLink)-FIND("/",VolLink))&amp;" curncy","PX LAST")</f>
        <v>#NAME?</v>
      </c>
      <c r="T107" s="137" t="e">
        <f ca="1">_xll.BDP("USSV03"&amp;T$101&amp;" "&amp;RIGHT(VolLink,LEN(VolLink)-FIND("/",VolLink))&amp;" curncy","PX LAST")</f>
        <v>#NAME?</v>
      </c>
      <c r="U107" s="137" t="e">
        <f ca="1">_xll.BDP("USSV03"&amp;U$101&amp;" "&amp;RIGHT(VolLink,LEN(VolLink)-FIND("/",VolLink))&amp;" curncy","PX LAST")</f>
        <v>#NAME?</v>
      </c>
      <c r="V107" s="137" t="e">
        <f ca="1">_xll.BDP("USSV03"&amp;V$101&amp;" "&amp;RIGHT(VolLink,LEN(VolLink)-FIND("/",VolLink))&amp;" curncy","PX LAST")</f>
        <v>#NAME?</v>
      </c>
      <c r="W107" s="137" t="e">
        <f ca="1">_xll.BDP("USSV03"&amp;W$101&amp;" "&amp;RIGHT(VolLink,LEN(VolLink)-FIND("/",VolLink))&amp;" curncy","PX LAST")</f>
        <v>#NAME?</v>
      </c>
      <c r="X107" s="138" t="e">
        <f ca="1">_xll.BDP("USSV03"&amp;X$101&amp;" "&amp;RIGHT(VolLink,LEN(VolLink)-FIND("/",VolLink))&amp;" curncy","PX LAST")</f>
        <v>#NAME?</v>
      </c>
    </row>
    <row r="108" spans="6:28" ht="15" customHeight="1" x14ac:dyDescent="0.25">
      <c r="F108" s="127" t="s">
        <v>39</v>
      </c>
      <c r="G108" s="135" t="e">
        <f ca="1">_xll.BDP("USSP04"&amp;G$101&amp;" "&amp;RIGHT(VolLink,LEN(VolLink)-FIND("/",VolLink))&amp;" curncy","PX LAST")</f>
        <v>#NAME?</v>
      </c>
      <c r="H108" s="135" t="e">
        <f ca="1">_xll.BDP("USSP04"&amp;H$101&amp;" "&amp;RIGHT(VolLink,LEN(VolLink)-FIND("/",VolLink))&amp;" curncy","PX LAST")</f>
        <v>#NAME?</v>
      </c>
      <c r="I108" s="135" t="e">
        <f ca="1">_xll.BDP("USSP04"&amp;I$101&amp;" "&amp;RIGHT(VolLink,LEN(VolLink)-FIND("/",VolLink))&amp;" curncy","PX LAST")</f>
        <v>#NAME?</v>
      </c>
      <c r="J108" s="135" t="e">
        <f ca="1">_xll.BDP("USSP04"&amp;J$101&amp;" "&amp;RIGHT(VolLink,LEN(VolLink)-FIND("/",VolLink))&amp;" curncy","PX LAST")</f>
        <v>#NAME?</v>
      </c>
      <c r="K108" s="135" t="e">
        <f ca="1">_xll.BDP("USSP04"&amp;K$101&amp;" "&amp;RIGHT(VolLink,LEN(VolLink)-FIND("/",VolLink))&amp;" curncy","PX LAST")</f>
        <v>#NAME?</v>
      </c>
      <c r="L108" s="135" t="e">
        <f ca="1">_xll.BDP("USSP04"&amp;L$101&amp;" "&amp;RIGHT(VolLink,LEN(VolLink)-FIND("/",VolLink))&amp;" curncy","PX LAST")</f>
        <v>#NAME?</v>
      </c>
      <c r="M108" s="135" t="e">
        <f ca="1">_xll.BDP("USSP04"&amp;M$101&amp;" "&amp;RIGHT(VolLink,LEN(VolLink)-FIND("/",VolLink))&amp;" curncy","PX LAST")</f>
        <v>#NAME?</v>
      </c>
      <c r="N108" s="135" t="e">
        <f ca="1">_xll.BDP("USSP04"&amp;N$101&amp;" "&amp;RIGHT(VolLink,LEN(VolLink)-FIND("/",VolLink))&amp;" curncy","PX LAST")</f>
        <v>#NAME?</v>
      </c>
      <c r="O108" s="135" t="e">
        <f ca="1">_xll.BDP("USSP04"&amp;O$101&amp;" "&amp;RIGHT(VolLink,LEN(VolLink)-FIND("/",VolLink))&amp;" curncy","PX LAST")</f>
        <v>#NAME?</v>
      </c>
      <c r="P108" s="135" t="e">
        <f ca="1">_xll.BDP("USSV04"&amp;P$101&amp;" "&amp;RIGHT(VolLink,LEN(VolLink)-FIND("/",VolLink))&amp;" curncy","PX LAST")</f>
        <v>#NAME?</v>
      </c>
      <c r="Q108" s="135" t="e">
        <f ca="1">_xll.BDP("USSV04"&amp;Q$101&amp;" "&amp;RIGHT(VolLink,LEN(VolLink)-FIND("/",VolLink))&amp;" curncy","PX LAST")</f>
        <v>#NAME?</v>
      </c>
      <c r="R108" s="135" t="e">
        <f ca="1">_xll.BDP("USSV04"&amp;R$101&amp;" "&amp;RIGHT(VolLink,LEN(VolLink)-FIND("/",VolLink))&amp;" curncy","PX LAST")</f>
        <v>#NAME?</v>
      </c>
      <c r="S108" s="135" t="e">
        <f ca="1">_xll.BDP("USSV04"&amp;S$101&amp;" "&amp;RIGHT(VolLink,LEN(VolLink)-FIND("/",VolLink))&amp;" curncy","PX LAST")</f>
        <v>#NAME?</v>
      </c>
      <c r="T108" s="135" t="e">
        <f ca="1">_xll.BDP("USSV04"&amp;T$101&amp;" "&amp;RIGHT(VolLink,LEN(VolLink)-FIND("/",VolLink))&amp;" curncy","PX LAST")</f>
        <v>#NAME?</v>
      </c>
      <c r="U108" s="135" t="e">
        <f ca="1">_xll.BDP("USSV04"&amp;U$101&amp;" "&amp;RIGHT(VolLink,LEN(VolLink)-FIND("/",VolLink))&amp;" curncy","PX LAST")</f>
        <v>#NAME?</v>
      </c>
      <c r="V108" s="135" t="e">
        <f ca="1">_xll.BDP("USSV04"&amp;V$101&amp;" "&amp;RIGHT(VolLink,LEN(VolLink)-FIND("/",VolLink))&amp;" curncy","PX LAST")</f>
        <v>#NAME?</v>
      </c>
      <c r="W108" s="135" t="e">
        <f ca="1">_xll.BDP("USSV04"&amp;W$101&amp;" "&amp;RIGHT(VolLink,LEN(VolLink)-FIND("/",VolLink))&amp;" curncy","PX LAST")</f>
        <v>#NAME?</v>
      </c>
      <c r="X108" s="136" t="e">
        <f ca="1">_xll.BDP("USSV04"&amp;X$101&amp;" "&amp;RIGHT(VolLink,LEN(VolLink)-FIND("/",VolLink))&amp;" curncy","PX LAST")</f>
        <v>#NAME?</v>
      </c>
    </row>
    <row r="109" spans="6:28" ht="15" customHeight="1" x14ac:dyDescent="0.25">
      <c r="F109" s="127" t="s">
        <v>40</v>
      </c>
      <c r="G109" s="137" t="e">
        <f ca="1">_xll.BDP("USSP05"&amp;G$101&amp;" "&amp;RIGHT(VolLink,LEN(VolLink)-FIND("/",VolLink))&amp;" curncy","PX LAST")</f>
        <v>#NAME?</v>
      </c>
      <c r="H109" s="137" t="e">
        <f ca="1">_xll.BDP("USSP05"&amp;H$101&amp;" "&amp;RIGHT(VolLink,LEN(VolLink)-FIND("/",VolLink))&amp;" curncy","PX LAST")</f>
        <v>#NAME?</v>
      </c>
      <c r="I109" s="137" t="e">
        <f ca="1">_xll.BDP("USSP05"&amp;I$101&amp;" "&amp;RIGHT(VolLink,LEN(VolLink)-FIND("/",VolLink))&amp;" curncy","PX LAST")</f>
        <v>#NAME?</v>
      </c>
      <c r="J109" s="137" t="e">
        <f ca="1">_xll.BDP("USSP05"&amp;J$101&amp;" "&amp;RIGHT(VolLink,LEN(VolLink)-FIND("/",VolLink))&amp;" curncy","PX LAST")</f>
        <v>#NAME?</v>
      </c>
      <c r="K109" s="137" t="e">
        <f ca="1">_xll.BDP("USSP05"&amp;K$101&amp;" "&amp;RIGHT(VolLink,LEN(VolLink)-FIND("/",VolLink))&amp;" curncy","PX LAST")</f>
        <v>#NAME?</v>
      </c>
      <c r="L109" s="137" t="e">
        <f ca="1">_xll.BDP("USSP05"&amp;L$101&amp;" "&amp;RIGHT(VolLink,LEN(VolLink)-FIND("/",VolLink))&amp;" curncy","PX LAST")</f>
        <v>#NAME?</v>
      </c>
      <c r="M109" s="137" t="e">
        <f ca="1">_xll.BDP("USSP05"&amp;M$101&amp;" "&amp;RIGHT(VolLink,LEN(VolLink)-FIND("/",VolLink))&amp;" curncy","PX LAST")</f>
        <v>#NAME?</v>
      </c>
      <c r="N109" s="137" t="e">
        <f ca="1">_xll.BDP("USSP05"&amp;N$101&amp;" "&amp;RIGHT(VolLink,LEN(VolLink)-FIND("/",VolLink))&amp;" curncy","PX LAST")</f>
        <v>#NAME?</v>
      </c>
      <c r="O109" s="137" t="e">
        <f ca="1">_xll.BDP("USSP05"&amp;O$101&amp;" "&amp;RIGHT(VolLink,LEN(VolLink)-FIND("/",VolLink))&amp;" curncy","PX LAST")</f>
        <v>#NAME?</v>
      </c>
      <c r="P109" s="137" t="e">
        <f ca="1">_xll.BDP("USSV05"&amp;P$101&amp;" "&amp;RIGHT(VolLink,LEN(VolLink)-FIND("/",VolLink))&amp;" curncy","PX LAST")</f>
        <v>#NAME?</v>
      </c>
      <c r="Q109" s="137" t="e">
        <f ca="1">_xll.BDP("USSV05"&amp;Q$101&amp;" "&amp;RIGHT(VolLink,LEN(VolLink)-FIND("/",VolLink))&amp;" curncy","PX LAST")</f>
        <v>#NAME?</v>
      </c>
      <c r="R109" s="137" t="e">
        <f ca="1">_xll.BDP("USSV05"&amp;R$101&amp;" "&amp;RIGHT(VolLink,LEN(VolLink)-FIND("/",VolLink))&amp;" curncy","PX LAST")</f>
        <v>#NAME?</v>
      </c>
      <c r="S109" s="137" t="e">
        <f ca="1">_xll.BDP("USSV05"&amp;S$101&amp;" "&amp;RIGHT(VolLink,LEN(VolLink)-FIND("/",VolLink))&amp;" curncy","PX LAST")</f>
        <v>#NAME?</v>
      </c>
      <c r="T109" s="137" t="e">
        <f ca="1">_xll.BDP("USSV05"&amp;T$101&amp;" "&amp;RIGHT(VolLink,LEN(VolLink)-FIND("/",VolLink))&amp;" curncy","PX LAST")</f>
        <v>#NAME?</v>
      </c>
      <c r="U109" s="137" t="e">
        <f ca="1">_xll.BDP("USSV05"&amp;U$101&amp;" "&amp;RIGHT(VolLink,LEN(VolLink)-FIND("/",VolLink))&amp;" curncy","PX LAST")</f>
        <v>#NAME?</v>
      </c>
      <c r="V109" s="137" t="e">
        <f ca="1">_xll.BDP("USSV05"&amp;V$101&amp;" "&amp;RIGHT(VolLink,LEN(VolLink)-FIND("/",VolLink))&amp;" curncy","PX LAST")</f>
        <v>#NAME?</v>
      </c>
      <c r="W109" s="137" t="e">
        <f ca="1">_xll.BDP("USSV05"&amp;W$101&amp;" "&amp;RIGHT(VolLink,LEN(VolLink)-FIND("/",VolLink))&amp;" curncy","PX LAST")</f>
        <v>#NAME?</v>
      </c>
      <c r="X109" s="138" t="e">
        <f ca="1">_xll.BDP("USSV05"&amp;X$101&amp;" "&amp;RIGHT(VolLink,LEN(VolLink)-FIND("/",VolLink))&amp;" curncy","PX LAST")</f>
        <v>#NAME?</v>
      </c>
    </row>
    <row r="110" spans="6:28" ht="15" customHeight="1" x14ac:dyDescent="0.25">
      <c r="F110" s="127" t="s">
        <v>41</v>
      </c>
      <c r="G110" s="135" t="e">
        <f ca="1">_xll.BDP("USSP07"&amp;G$101&amp;" "&amp;RIGHT(VolLink,LEN(VolLink)-FIND("/",VolLink))&amp;" curncy","PX LAST")</f>
        <v>#NAME?</v>
      </c>
      <c r="H110" s="135" t="e">
        <f ca="1">_xll.BDP("USSP07"&amp;H$101&amp;" "&amp;RIGHT(VolLink,LEN(VolLink)-FIND("/",VolLink))&amp;" curncy","PX LAST")</f>
        <v>#NAME?</v>
      </c>
      <c r="I110" s="135" t="e">
        <f ca="1">_xll.BDP("USSP07"&amp;I$101&amp;" "&amp;RIGHT(VolLink,LEN(VolLink)-FIND("/",VolLink))&amp;" curncy","PX LAST")</f>
        <v>#NAME?</v>
      </c>
      <c r="J110" s="135" t="e">
        <f ca="1">_xll.BDP("USSP07"&amp;J$101&amp;" "&amp;RIGHT(VolLink,LEN(VolLink)-FIND("/",VolLink))&amp;" curncy","PX LAST")</f>
        <v>#NAME?</v>
      </c>
      <c r="K110" s="135" t="e">
        <f ca="1">_xll.BDP("USSP07"&amp;K$101&amp;" "&amp;RIGHT(VolLink,LEN(VolLink)-FIND("/",VolLink))&amp;" curncy","PX LAST")</f>
        <v>#NAME?</v>
      </c>
      <c r="L110" s="135" t="e">
        <f ca="1">_xll.BDP("USSP07"&amp;L$101&amp;" "&amp;RIGHT(VolLink,LEN(VolLink)-FIND("/",VolLink))&amp;" curncy","PX LAST")</f>
        <v>#NAME?</v>
      </c>
      <c r="M110" s="135" t="e">
        <f ca="1">_xll.BDP("USSP07"&amp;M$101&amp;" "&amp;RIGHT(VolLink,LEN(VolLink)-FIND("/",VolLink))&amp;" curncy","PX LAST")</f>
        <v>#NAME?</v>
      </c>
      <c r="N110" s="135" t="e">
        <f ca="1">_xll.BDP("USSP07"&amp;N$101&amp;" "&amp;RIGHT(VolLink,LEN(VolLink)-FIND("/",VolLink))&amp;" curncy","PX LAST")</f>
        <v>#NAME?</v>
      </c>
      <c r="O110" s="135" t="e">
        <f ca="1">_xll.BDP("USSP07"&amp;O$101&amp;" "&amp;RIGHT(VolLink,LEN(VolLink)-FIND("/",VolLink))&amp;" curncy","PX LAST")</f>
        <v>#NAME?</v>
      </c>
      <c r="P110" s="135" t="e">
        <f ca="1">_xll.BDP("USSV07"&amp;P$101&amp;" "&amp;RIGHT(VolLink,LEN(VolLink)-FIND("/",VolLink))&amp;" curncy","PX LAST")</f>
        <v>#NAME?</v>
      </c>
      <c r="Q110" s="135" t="e">
        <f ca="1">_xll.BDP("USSV07"&amp;Q$101&amp;" "&amp;RIGHT(VolLink,LEN(VolLink)-FIND("/",VolLink))&amp;" curncy","PX LAST")</f>
        <v>#NAME?</v>
      </c>
      <c r="R110" s="135" t="e">
        <f ca="1">_xll.BDP("USSV07"&amp;R$101&amp;" "&amp;RIGHT(VolLink,LEN(VolLink)-FIND("/",VolLink))&amp;" curncy","PX LAST")</f>
        <v>#NAME?</v>
      </c>
      <c r="S110" s="135" t="e">
        <f ca="1">_xll.BDP("USSV07"&amp;S$101&amp;" "&amp;RIGHT(VolLink,LEN(VolLink)-FIND("/",VolLink))&amp;" curncy","PX LAST")</f>
        <v>#NAME?</v>
      </c>
      <c r="T110" s="135" t="e">
        <f ca="1">_xll.BDP("USSV07"&amp;T$101&amp;" "&amp;RIGHT(VolLink,LEN(VolLink)-FIND("/",VolLink))&amp;" curncy","PX LAST")</f>
        <v>#NAME?</v>
      </c>
      <c r="U110" s="135" t="e">
        <f ca="1">_xll.BDP("USSV07"&amp;U$101&amp;" "&amp;RIGHT(VolLink,LEN(VolLink)-FIND("/",VolLink))&amp;" curncy","PX LAST")</f>
        <v>#NAME?</v>
      </c>
      <c r="V110" s="135" t="e">
        <f ca="1">_xll.BDP("USSV07"&amp;V$101&amp;" "&amp;RIGHT(VolLink,LEN(VolLink)-FIND("/",VolLink))&amp;" curncy","PX LAST")</f>
        <v>#NAME?</v>
      </c>
      <c r="W110" s="135" t="e">
        <f ca="1">_xll.BDP("USSV07"&amp;W$101&amp;" "&amp;RIGHT(VolLink,LEN(VolLink)-FIND("/",VolLink))&amp;" curncy","PX LAST")</f>
        <v>#NAME?</v>
      </c>
      <c r="X110" s="136" t="e">
        <f ca="1">_xll.BDP("USSV07"&amp;X$101&amp;" "&amp;RIGHT(VolLink,LEN(VolLink)-FIND("/",VolLink))&amp;" curncy","PX LAST")</f>
        <v>#NAME?</v>
      </c>
    </row>
    <row r="111" spans="6:28" ht="15" customHeight="1" x14ac:dyDescent="0.25">
      <c r="F111" s="127" t="s">
        <v>42</v>
      </c>
      <c r="G111" s="137" t="e">
        <f ca="1">_xll.BDP("USSP10"&amp;G$101&amp;" "&amp;RIGHT(VolLink,LEN(VolLink)-FIND("/",VolLink))&amp;" curncy","PX LAST")</f>
        <v>#NAME?</v>
      </c>
      <c r="H111" s="137" t="e">
        <f ca="1">_xll.BDP("USSP10"&amp;H$101&amp;" "&amp;RIGHT(VolLink,LEN(VolLink)-FIND("/",VolLink))&amp;" curncy","PX LAST")</f>
        <v>#NAME?</v>
      </c>
      <c r="I111" s="137" t="e">
        <f ca="1">_xll.BDP("USSP10"&amp;I$101&amp;" "&amp;RIGHT(VolLink,LEN(VolLink)-FIND("/",VolLink))&amp;" curncy","PX LAST")</f>
        <v>#NAME?</v>
      </c>
      <c r="J111" s="137" t="e">
        <f ca="1">_xll.BDP("USSP10"&amp;J$101&amp;" "&amp;RIGHT(VolLink,LEN(VolLink)-FIND("/",VolLink))&amp;" curncy","PX LAST")</f>
        <v>#NAME?</v>
      </c>
      <c r="K111" s="137" t="e">
        <f ca="1">_xll.BDP("USSP10"&amp;K$101&amp;" "&amp;RIGHT(VolLink,LEN(VolLink)-FIND("/",VolLink))&amp;" curncy","PX LAST")</f>
        <v>#NAME?</v>
      </c>
      <c r="L111" s="137" t="e">
        <f ca="1">_xll.BDP("USSP10"&amp;L$101&amp;" "&amp;RIGHT(VolLink,LEN(VolLink)-FIND("/",VolLink))&amp;" curncy","PX LAST")</f>
        <v>#NAME?</v>
      </c>
      <c r="M111" s="137" t="e">
        <f ca="1">_xll.BDP("USSP10"&amp;M$101&amp;" "&amp;RIGHT(VolLink,LEN(VolLink)-FIND("/",VolLink))&amp;" curncy","PX LAST")</f>
        <v>#NAME?</v>
      </c>
      <c r="N111" s="137" t="e">
        <f ca="1">_xll.BDP("USSP10"&amp;N$101&amp;" "&amp;RIGHT(VolLink,LEN(VolLink)-FIND("/",VolLink))&amp;" curncy","PX LAST")</f>
        <v>#NAME?</v>
      </c>
      <c r="O111" s="137" t="e">
        <f ca="1">_xll.BDP("USSP10"&amp;O$101&amp;" "&amp;RIGHT(VolLink,LEN(VolLink)-FIND("/",VolLink))&amp;" curncy","PX LAST")</f>
        <v>#NAME?</v>
      </c>
      <c r="P111" s="137" t="e">
        <f ca="1">_xll.BDP("USSV10"&amp;P$101&amp;" "&amp;RIGHT(VolLink,LEN(VolLink)-FIND("/",VolLink))&amp;" curncy","PX LAST")</f>
        <v>#NAME?</v>
      </c>
      <c r="Q111" s="137" t="e">
        <f ca="1">_xll.BDP("USSV10"&amp;Q$101&amp;" "&amp;RIGHT(VolLink,LEN(VolLink)-FIND("/",VolLink))&amp;" curncy","PX LAST")</f>
        <v>#NAME?</v>
      </c>
      <c r="R111" s="137" t="e">
        <f ca="1">_xll.BDP("USSV10"&amp;R$101&amp;" "&amp;RIGHT(VolLink,LEN(VolLink)-FIND("/",VolLink))&amp;" curncy","PX LAST")</f>
        <v>#NAME?</v>
      </c>
      <c r="S111" s="137" t="e">
        <f ca="1">_xll.BDP("USSV10"&amp;S$101&amp;" "&amp;RIGHT(VolLink,LEN(VolLink)-FIND("/",VolLink))&amp;" curncy","PX LAST")</f>
        <v>#NAME?</v>
      </c>
      <c r="T111" s="137" t="e">
        <f ca="1">_xll.BDP("USSV10"&amp;T$101&amp;" "&amp;RIGHT(VolLink,LEN(VolLink)-FIND("/",VolLink))&amp;" curncy","PX LAST")</f>
        <v>#NAME?</v>
      </c>
      <c r="U111" s="137" t="e">
        <f ca="1">_xll.BDP("USSV10"&amp;U$101&amp;" "&amp;RIGHT(VolLink,LEN(VolLink)-FIND("/",VolLink))&amp;" curncy","PX LAST")</f>
        <v>#NAME?</v>
      </c>
      <c r="V111" s="137" t="e">
        <f ca="1">_xll.BDP("USSV10"&amp;V$101&amp;" "&amp;RIGHT(VolLink,LEN(VolLink)-FIND("/",VolLink))&amp;" curncy","PX LAST")</f>
        <v>#NAME?</v>
      </c>
      <c r="W111" s="137" t="e">
        <f ca="1">_xll.BDP("USSV10"&amp;W$101&amp;" "&amp;RIGHT(VolLink,LEN(VolLink)-FIND("/",VolLink))&amp;" curncy","PX LAST")</f>
        <v>#NAME?</v>
      </c>
      <c r="X111" s="138" t="e">
        <f ca="1">_xll.BDP("USSV10"&amp;X$101&amp;" "&amp;RIGHT(VolLink,LEN(VolLink)-FIND("/",VolLink))&amp;" curncy","PX LAST")</f>
        <v>#NAME?</v>
      </c>
    </row>
    <row r="112" spans="6:28" ht="15" customHeight="1" x14ac:dyDescent="0.25">
      <c r="F112" s="127" t="s">
        <v>44</v>
      </c>
      <c r="G112" s="135" t="e">
        <f ca="1">_xll.BDP("USSP15"&amp;G$101&amp;" "&amp;RIGHT(VolLink,LEN(VolLink)-FIND("/",VolLink))&amp;" curncy","PX LAST")</f>
        <v>#NAME?</v>
      </c>
      <c r="H112" s="135" t="e">
        <f ca="1">_xll.BDP("USSP15"&amp;H$101&amp;" "&amp;RIGHT(VolLink,LEN(VolLink)-FIND("/",VolLink))&amp;" curncy","PX LAST")</f>
        <v>#NAME?</v>
      </c>
      <c r="I112" s="135" t="e">
        <f ca="1">_xll.BDP("USSP15"&amp;I$101&amp;" "&amp;RIGHT(VolLink,LEN(VolLink)-FIND("/",VolLink))&amp;" curncy","PX LAST")</f>
        <v>#NAME?</v>
      </c>
      <c r="J112" s="135" t="e">
        <f ca="1">_xll.BDP("USSP15"&amp;J$101&amp;" "&amp;RIGHT(VolLink,LEN(VolLink)-FIND("/",VolLink))&amp;" curncy","PX LAST")</f>
        <v>#NAME?</v>
      </c>
      <c r="K112" s="135" t="e">
        <f ca="1">_xll.BDP("USSP15"&amp;K$101&amp;" "&amp;RIGHT(VolLink,LEN(VolLink)-FIND("/",VolLink))&amp;" curncy","PX LAST")</f>
        <v>#NAME?</v>
      </c>
      <c r="L112" s="135" t="e">
        <f ca="1">_xll.BDP("USSP15"&amp;L$101&amp;" "&amp;RIGHT(VolLink,LEN(VolLink)-FIND("/",VolLink))&amp;" curncy","PX LAST")</f>
        <v>#NAME?</v>
      </c>
      <c r="M112" s="135" t="e">
        <f ca="1">_xll.BDP("USSP15"&amp;M$101&amp;" "&amp;RIGHT(VolLink,LEN(VolLink)-FIND("/",VolLink))&amp;" curncy","PX LAST")</f>
        <v>#NAME?</v>
      </c>
      <c r="N112" s="135" t="e">
        <f ca="1">_xll.BDP("USSP15"&amp;N$101&amp;" "&amp;RIGHT(VolLink,LEN(VolLink)-FIND("/",VolLink))&amp;" curncy","PX LAST")</f>
        <v>#NAME?</v>
      </c>
      <c r="O112" s="135" t="e">
        <f ca="1">_xll.BDP("USSP15"&amp;O$101&amp;" "&amp;RIGHT(VolLink,LEN(VolLink)-FIND("/",VolLink))&amp;" curncy","PX LAST")</f>
        <v>#NAME?</v>
      </c>
      <c r="P112" s="135" t="e">
        <f ca="1">_xll.BDP("USSV15"&amp;P$101&amp;" "&amp;RIGHT(VolLink,LEN(VolLink)-FIND("/",VolLink))&amp;" curncy","PX LAST")</f>
        <v>#NAME?</v>
      </c>
      <c r="Q112" s="135" t="e">
        <f ca="1">_xll.BDP("USSV15"&amp;Q$101&amp;" "&amp;RIGHT(VolLink,LEN(VolLink)-FIND("/",VolLink))&amp;" curncy","PX LAST")</f>
        <v>#NAME?</v>
      </c>
      <c r="R112" s="135" t="e">
        <f ca="1">_xll.BDP("USSV15"&amp;R$101&amp;" "&amp;RIGHT(VolLink,LEN(VolLink)-FIND("/",VolLink))&amp;" curncy","PX LAST")</f>
        <v>#NAME?</v>
      </c>
      <c r="S112" s="135" t="e">
        <f ca="1">_xll.BDP("USSV15"&amp;S$101&amp;" "&amp;RIGHT(VolLink,LEN(VolLink)-FIND("/",VolLink))&amp;" curncy","PX LAST")</f>
        <v>#NAME?</v>
      </c>
      <c r="T112" s="135" t="e">
        <f ca="1">_xll.BDP("USSV15"&amp;T$101&amp;" "&amp;RIGHT(VolLink,LEN(VolLink)-FIND("/",VolLink))&amp;" curncy","PX LAST")</f>
        <v>#NAME?</v>
      </c>
      <c r="U112" s="135" t="e">
        <f ca="1">_xll.BDP("USSV15"&amp;U$101&amp;" "&amp;RIGHT(VolLink,LEN(VolLink)-FIND("/",VolLink))&amp;" curncy","PX LAST")</f>
        <v>#NAME?</v>
      </c>
      <c r="V112" s="135" t="e">
        <f ca="1">_xll.BDP("USSV15"&amp;V$101&amp;" "&amp;RIGHT(VolLink,LEN(VolLink)-FIND("/",VolLink))&amp;" curncy","PX LAST")</f>
        <v>#NAME?</v>
      </c>
      <c r="W112" s="135" t="e">
        <f ca="1">_xll.BDP("USSV15"&amp;W$101&amp;" "&amp;RIGHT(VolLink,LEN(VolLink)-FIND("/",VolLink))&amp;" curncy","PX LAST")</f>
        <v>#NAME?</v>
      </c>
      <c r="X112" s="136" t="e">
        <f ca="1">_xll.BDP("USSV15"&amp;X$101&amp;" "&amp;RIGHT(VolLink,LEN(VolLink)-FIND("/",VolLink))&amp;" curncy","PX LAST")</f>
        <v>#NAME?</v>
      </c>
    </row>
    <row r="113" spans="6:40" ht="15" customHeight="1" x14ac:dyDescent="0.25">
      <c r="F113" s="127" t="s">
        <v>45</v>
      </c>
      <c r="G113" s="137" t="e">
        <f ca="1">_xll.BDP("USSP20"&amp;G$101&amp;" "&amp;RIGHT(VolLink,LEN(VolLink)-FIND("/",VolLink))&amp;" curncy","PX LAST")</f>
        <v>#NAME?</v>
      </c>
      <c r="H113" s="137" t="e">
        <f ca="1">_xll.BDP("USSP20"&amp;H$101&amp;" "&amp;RIGHT(VolLink,LEN(VolLink)-FIND("/",VolLink))&amp;" curncy","PX LAST")</f>
        <v>#NAME?</v>
      </c>
      <c r="I113" s="137" t="e">
        <f ca="1">_xll.BDP("USSP20"&amp;I$101&amp;" "&amp;RIGHT(VolLink,LEN(VolLink)-FIND("/",VolLink))&amp;" curncy","PX LAST")</f>
        <v>#NAME?</v>
      </c>
      <c r="J113" s="137" t="e">
        <f ca="1">_xll.BDP("USSP20"&amp;J$101&amp;" "&amp;RIGHT(VolLink,LEN(VolLink)-FIND("/",VolLink))&amp;" curncy","PX LAST")</f>
        <v>#NAME?</v>
      </c>
      <c r="K113" s="137" t="e">
        <f ca="1">_xll.BDP("USSP20"&amp;K$101&amp;" "&amp;RIGHT(VolLink,LEN(VolLink)-FIND("/",VolLink))&amp;" curncy","PX LAST")</f>
        <v>#NAME?</v>
      </c>
      <c r="L113" s="137" t="e">
        <f ca="1">_xll.BDP("USSP20"&amp;L$101&amp;" "&amp;RIGHT(VolLink,LEN(VolLink)-FIND("/",VolLink))&amp;" curncy","PX LAST")</f>
        <v>#NAME?</v>
      </c>
      <c r="M113" s="137" t="e">
        <f ca="1">_xll.BDP("USSP20"&amp;M$101&amp;" "&amp;RIGHT(VolLink,LEN(VolLink)-FIND("/",VolLink))&amp;" curncy","PX LAST")</f>
        <v>#NAME?</v>
      </c>
      <c r="N113" s="137" t="e">
        <f ca="1">_xll.BDP("USSP20"&amp;N$101&amp;" "&amp;RIGHT(VolLink,LEN(VolLink)-FIND("/",VolLink))&amp;" curncy","PX LAST")</f>
        <v>#NAME?</v>
      </c>
      <c r="O113" s="137" t="e">
        <f ca="1">_xll.BDP("USSP20"&amp;O$101&amp;" "&amp;RIGHT(VolLink,LEN(VolLink)-FIND("/",VolLink))&amp;" curncy","PX LAST")</f>
        <v>#NAME?</v>
      </c>
      <c r="P113" s="137" t="e">
        <f ca="1">_xll.BDP("USSV20"&amp;P$101&amp;" "&amp;RIGHT(VolLink,LEN(VolLink)-FIND("/",VolLink))&amp;" curncy","PX LAST")</f>
        <v>#NAME?</v>
      </c>
      <c r="Q113" s="137" t="e">
        <f ca="1">_xll.BDP("USSV20"&amp;Q$101&amp;" "&amp;RIGHT(VolLink,LEN(VolLink)-FIND("/",VolLink))&amp;" curncy","PX LAST")</f>
        <v>#NAME?</v>
      </c>
      <c r="R113" s="137" t="e">
        <f ca="1">_xll.BDP("USSV20"&amp;R$101&amp;" "&amp;RIGHT(VolLink,LEN(VolLink)-FIND("/",VolLink))&amp;" curncy","PX LAST")</f>
        <v>#NAME?</v>
      </c>
      <c r="S113" s="137" t="e">
        <f ca="1">_xll.BDP("USSV20"&amp;S$101&amp;" "&amp;RIGHT(VolLink,LEN(VolLink)-FIND("/",VolLink))&amp;" curncy","PX LAST")</f>
        <v>#NAME?</v>
      </c>
      <c r="T113" s="137" t="e">
        <f ca="1">_xll.BDP("USSV20"&amp;T$101&amp;" "&amp;RIGHT(VolLink,LEN(VolLink)-FIND("/",VolLink))&amp;" curncy","PX LAST")</f>
        <v>#NAME?</v>
      </c>
      <c r="U113" s="137" t="e">
        <f ca="1">_xll.BDP("USSV20"&amp;U$101&amp;" "&amp;RIGHT(VolLink,LEN(VolLink)-FIND("/",VolLink))&amp;" curncy","PX LAST")</f>
        <v>#NAME?</v>
      </c>
      <c r="V113" s="137" t="e">
        <f ca="1">_xll.BDP("USSV20"&amp;V$101&amp;" "&amp;RIGHT(VolLink,LEN(VolLink)-FIND("/",VolLink))&amp;" curncy","PX LAST")</f>
        <v>#NAME?</v>
      </c>
      <c r="W113" s="137" t="e">
        <f ca="1">_xll.BDP("USSV20"&amp;W$101&amp;" "&amp;RIGHT(VolLink,LEN(VolLink)-FIND("/",VolLink))&amp;" curncy","PX LAST")</f>
        <v>#NAME?</v>
      </c>
      <c r="X113" s="138" t="e">
        <f ca="1">_xll.BDP("USSV20"&amp;X$101&amp;" "&amp;RIGHT(VolLink,LEN(VolLink)-FIND("/",VolLink))&amp;" curncy","PX LAST")</f>
        <v>#NAME?</v>
      </c>
    </row>
    <row r="114" spans="6:40" ht="15" customHeight="1" x14ac:dyDescent="0.25">
      <c r="F114" s="127" t="s">
        <v>46</v>
      </c>
      <c r="G114" s="135" t="e">
        <f ca="1">_xll.BDP("USSP25"&amp;G$101&amp;" "&amp;RIGHT(VolLink,LEN(VolLink)-FIND("/",VolLink))&amp;" curncy","PX LAST")</f>
        <v>#NAME?</v>
      </c>
      <c r="H114" s="135" t="e">
        <f ca="1">_xll.BDP("USSP25"&amp;H$101&amp;" "&amp;RIGHT(VolLink,LEN(VolLink)-FIND("/",VolLink))&amp;" curncy","PX LAST")</f>
        <v>#NAME?</v>
      </c>
      <c r="I114" s="135" t="e">
        <f ca="1">_xll.BDP("USSP25"&amp;I$101&amp;" "&amp;RIGHT(VolLink,LEN(VolLink)-FIND("/",VolLink))&amp;" curncy","PX LAST")</f>
        <v>#NAME?</v>
      </c>
      <c r="J114" s="135" t="e">
        <f ca="1">_xll.BDP("USSP25"&amp;J$101&amp;" "&amp;RIGHT(VolLink,LEN(VolLink)-FIND("/",VolLink))&amp;" curncy","PX LAST")</f>
        <v>#NAME?</v>
      </c>
      <c r="K114" s="135" t="e">
        <f ca="1">_xll.BDP("USSP25"&amp;K$101&amp;" "&amp;RIGHT(VolLink,LEN(VolLink)-FIND("/",VolLink))&amp;" curncy","PX LAST")</f>
        <v>#NAME?</v>
      </c>
      <c r="L114" s="135" t="e">
        <f ca="1">_xll.BDP("USSP25"&amp;L$101&amp;" "&amp;RIGHT(VolLink,LEN(VolLink)-FIND("/",VolLink))&amp;" curncy","PX LAST")</f>
        <v>#NAME?</v>
      </c>
      <c r="M114" s="135" t="e">
        <f ca="1">_xll.BDP("USSP25"&amp;M$101&amp;" "&amp;RIGHT(VolLink,LEN(VolLink)-FIND("/",VolLink))&amp;" curncy","PX LAST")</f>
        <v>#NAME?</v>
      </c>
      <c r="N114" s="135" t="e">
        <f ca="1">_xll.BDP("USSP25"&amp;N$101&amp;" "&amp;RIGHT(VolLink,LEN(VolLink)-FIND("/",VolLink))&amp;" curncy","PX LAST")</f>
        <v>#NAME?</v>
      </c>
      <c r="O114" s="135" t="e">
        <f ca="1">_xll.BDP("USSP25"&amp;O$101&amp;" "&amp;RIGHT(VolLink,LEN(VolLink)-FIND("/",VolLink))&amp;" curncy","PX LAST")</f>
        <v>#NAME?</v>
      </c>
      <c r="P114" s="135" t="e">
        <f ca="1">_xll.BDP("USSV25"&amp;P$101&amp;" "&amp;RIGHT(VolLink,LEN(VolLink)-FIND("/",VolLink))&amp;" curncy","PX LAST")</f>
        <v>#NAME?</v>
      </c>
      <c r="Q114" s="135" t="e">
        <f ca="1">_xll.BDP("USSV25"&amp;Q$101&amp;" "&amp;RIGHT(VolLink,LEN(VolLink)-FIND("/",VolLink))&amp;" curncy","PX LAST")</f>
        <v>#NAME?</v>
      </c>
      <c r="R114" s="135" t="e">
        <f ca="1">_xll.BDP("USSV25"&amp;R$101&amp;" "&amp;RIGHT(VolLink,LEN(VolLink)-FIND("/",VolLink))&amp;" curncy","PX LAST")</f>
        <v>#NAME?</v>
      </c>
      <c r="S114" s="135" t="e">
        <f ca="1">_xll.BDP("USSV25"&amp;S$101&amp;" "&amp;RIGHT(VolLink,LEN(VolLink)-FIND("/",VolLink))&amp;" curncy","PX LAST")</f>
        <v>#NAME?</v>
      </c>
      <c r="T114" s="135" t="e">
        <f ca="1">_xll.BDP("USSV25"&amp;T$101&amp;" "&amp;RIGHT(VolLink,LEN(VolLink)-FIND("/",VolLink))&amp;" curncy","PX LAST")</f>
        <v>#NAME?</v>
      </c>
      <c r="U114" s="135" t="e">
        <f ca="1">_xll.BDP("USSV25"&amp;U$101&amp;" "&amp;RIGHT(VolLink,LEN(VolLink)-FIND("/",VolLink))&amp;" curncy","PX LAST")</f>
        <v>#NAME?</v>
      </c>
      <c r="V114" s="135" t="e">
        <f ca="1">_xll.BDP("USSV25"&amp;V$101&amp;" "&amp;RIGHT(VolLink,LEN(VolLink)-FIND("/",VolLink))&amp;" curncy","PX LAST")</f>
        <v>#NAME?</v>
      </c>
      <c r="W114" s="135" t="e">
        <f ca="1">_xll.BDP("USSV25"&amp;W$101&amp;" "&amp;RIGHT(VolLink,LEN(VolLink)-FIND("/",VolLink))&amp;" curncy","PX LAST")</f>
        <v>#NAME?</v>
      </c>
      <c r="X114" s="136" t="e">
        <f ca="1">_xll.BDP("USSV25"&amp;X$101&amp;" "&amp;RIGHT(VolLink,LEN(VolLink)-FIND("/",VolLink))&amp;" curncy","PX LAST")</f>
        <v>#NAME?</v>
      </c>
    </row>
    <row r="115" spans="6:40" ht="15" customHeight="1" x14ac:dyDescent="0.25">
      <c r="F115" s="132" t="s">
        <v>47</v>
      </c>
      <c r="G115" s="139" t="e">
        <f ca="1">_xll.BDP("USSP30"&amp;G$101&amp;" "&amp;RIGHT(VolLink,LEN(VolLink)-FIND("/",VolLink))&amp;" curncy","PX LAST")</f>
        <v>#NAME?</v>
      </c>
      <c r="H115" s="139" t="e">
        <f ca="1">_xll.BDP("USSP30"&amp;H$101&amp;" "&amp;RIGHT(VolLink,LEN(VolLink)-FIND("/",VolLink))&amp;" curncy","PX LAST")</f>
        <v>#NAME?</v>
      </c>
      <c r="I115" s="139" t="e">
        <f ca="1">_xll.BDP("USSP30"&amp;I$101&amp;" "&amp;RIGHT(VolLink,LEN(VolLink)-FIND("/",VolLink))&amp;" curncy","PX LAST")</f>
        <v>#NAME?</v>
      </c>
      <c r="J115" s="139" t="e">
        <f ca="1">_xll.BDP("USSP30"&amp;J$101&amp;" "&amp;RIGHT(VolLink,LEN(VolLink)-FIND("/",VolLink))&amp;" curncy","PX LAST")</f>
        <v>#NAME?</v>
      </c>
      <c r="K115" s="139" t="e">
        <f ca="1">_xll.BDP("USSP30"&amp;K$101&amp;" "&amp;RIGHT(VolLink,LEN(VolLink)-FIND("/",VolLink))&amp;" curncy","PX LAST")</f>
        <v>#NAME?</v>
      </c>
      <c r="L115" s="139" t="e">
        <f ca="1">_xll.BDP("USSP30"&amp;L$101&amp;" "&amp;RIGHT(VolLink,LEN(VolLink)-FIND("/",VolLink))&amp;" curncy","PX LAST")</f>
        <v>#NAME?</v>
      </c>
      <c r="M115" s="139" t="e">
        <f ca="1">_xll.BDP("USSP30"&amp;M$101&amp;" "&amp;RIGHT(VolLink,LEN(VolLink)-FIND("/",VolLink))&amp;" curncy","PX LAST")</f>
        <v>#NAME?</v>
      </c>
      <c r="N115" s="139" t="e">
        <f ca="1">_xll.BDP("USSP30"&amp;N$101&amp;" "&amp;RIGHT(VolLink,LEN(VolLink)-FIND("/",VolLink))&amp;" curncy","PX LAST")</f>
        <v>#NAME?</v>
      </c>
      <c r="O115" s="139" t="e">
        <f ca="1">_xll.BDP("USSP30"&amp;O$101&amp;" "&amp;RIGHT(VolLink,LEN(VolLink)-FIND("/",VolLink))&amp;" curncy","PX LAST")</f>
        <v>#NAME?</v>
      </c>
      <c r="P115" s="139" t="e">
        <f ca="1">_xll.BDP("USSV30"&amp;P$101&amp;" "&amp;RIGHT(VolLink,LEN(VolLink)-FIND("/",VolLink))&amp;" curncy","PX LAST")</f>
        <v>#NAME?</v>
      </c>
      <c r="Q115" s="139" t="e">
        <f ca="1">_xll.BDP("USSV30"&amp;Q$101&amp;" "&amp;RIGHT(VolLink,LEN(VolLink)-FIND("/",VolLink))&amp;" curncy","PX LAST")</f>
        <v>#NAME?</v>
      </c>
      <c r="R115" s="139" t="e">
        <f ca="1">_xll.BDP("USSV30"&amp;R$101&amp;" "&amp;RIGHT(VolLink,LEN(VolLink)-FIND("/",VolLink))&amp;" curncy","PX LAST")</f>
        <v>#NAME?</v>
      </c>
      <c r="S115" s="139" t="e">
        <f ca="1">_xll.BDP("USSV30"&amp;S$101&amp;" "&amp;RIGHT(VolLink,LEN(VolLink)-FIND("/",VolLink))&amp;" curncy","PX LAST")</f>
        <v>#NAME?</v>
      </c>
      <c r="T115" s="139" t="e">
        <f ca="1">_xll.BDP("USSV30"&amp;T$101&amp;" "&amp;RIGHT(VolLink,LEN(VolLink)-FIND("/",VolLink))&amp;" curncy","PX LAST")</f>
        <v>#NAME?</v>
      </c>
      <c r="U115" s="139" t="e">
        <f ca="1">_xll.BDP("USSV30"&amp;U$101&amp;" "&amp;RIGHT(VolLink,LEN(VolLink)-FIND("/",VolLink))&amp;" curncy","PX LAST")</f>
        <v>#NAME?</v>
      </c>
      <c r="V115" s="139" t="e">
        <f ca="1">_xll.BDP("USSV30"&amp;V$101&amp;" "&amp;RIGHT(VolLink,LEN(VolLink)-FIND("/",VolLink))&amp;" curncy","PX LAST")</f>
        <v>#NAME?</v>
      </c>
      <c r="W115" s="139" t="e">
        <f ca="1">_xll.BDP("USSV30"&amp;W$101&amp;" "&amp;RIGHT(VolLink,LEN(VolLink)-FIND("/",VolLink))&amp;" curncy","PX LAST")</f>
        <v>#NAME?</v>
      </c>
      <c r="X115" s="140" t="e">
        <f ca="1">_xll.BDP("USSV30"&amp;X$101&amp;" "&amp;RIGHT(VolLink,LEN(VolLink)-FIND("/",VolLink))&amp;" curncy","PX LAST")</f>
        <v>#NAME?</v>
      </c>
    </row>
    <row r="116" spans="6:40" ht="15" customHeight="1" x14ac:dyDescent="0.25">
      <c r="F116" s="193"/>
      <c r="G116" s="194"/>
      <c r="H116" s="194"/>
      <c r="I116" s="194"/>
      <c r="J116" s="194"/>
      <c r="K116" s="194"/>
      <c r="L116" s="194"/>
      <c r="M116" s="194"/>
      <c r="N116" s="194"/>
      <c r="O116" s="194"/>
      <c r="P116" s="195"/>
      <c r="Q116" s="195"/>
      <c r="R116" s="195"/>
      <c r="S116" s="195"/>
      <c r="T116" s="195"/>
      <c r="U116" s="195"/>
      <c r="V116" s="195"/>
      <c r="W116" s="195"/>
      <c r="X116" s="195"/>
    </row>
    <row r="117" spans="6:40" s="211" customFormat="1" ht="35.15" customHeight="1" x14ac:dyDescent="0.3">
      <c r="F117" s="225" t="s">
        <v>104</v>
      </c>
      <c r="G117" s="226"/>
      <c r="H117" s="226"/>
      <c r="I117" s="226"/>
      <c r="J117" s="226"/>
      <c r="K117" s="226"/>
      <c r="L117" s="226"/>
      <c r="M117" s="226"/>
      <c r="N117" s="226"/>
      <c r="O117" s="226"/>
      <c r="P117" s="226"/>
      <c r="Q117" s="226"/>
      <c r="R117" s="226"/>
      <c r="S117" s="226"/>
      <c r="T117" s="226"/>
      <c r="U117" s="226"/>
      <c r="V117" s="226"/>
      <c r="W117" s="227"/>
    </row>
    <row r="118" spans="6:40" ht="15" customHeight="1" x14ac:dyDescent="0.25">
      <c r="F118" s="253" t="s">
        <v>105</v>
      </c>
      <c r="G118" s="249"/>
      <c r="H118" s="251"/>
      <c r="I118" s="249" t="s">
        <v>107</v>
      </c>
      <c r="J118" s="249"/>
      <c r="K118" s="251"/>
      <c r="L118" s="249" t="s">
        <v>106</v>
      </c>
      <c r="M118" s="249"/>
      <c r="N118" s="251"/>
      <c r="O118" s="249" t="s">
        <v>109</v>
      </c>
      <c r="P118" s="249"/>
      <c r="Q118" s="251"/>
      <c r="R118" s="249" t="s">
        <v>108</v>
      </c>
      <c r="S118" s="249"/>
      <c r="T118" s="251"/>
      <c r="U118" s="249" t="s">
        <v>230</v>
      </c>
      <c r="V118" s="249"/>
      <c r="W118" s="250"/>
    </row>
    <row r="119" spans="6:40" ht="15" customHeight="1" x14ac:dyDescent="0.25">
      <c r="F119" s="90" t="s">
        <v>72</v>
      </c>
      <c r="G119" s="103" t="s">
        <v>74</v>
      </c>
      <c r="H119" s="103" t="s">
        <v>75</v>
      </c>
      <c r="I119" s="119" t="s">
        <v>72</v>
      </c>
      <c r="J119" s="103" t="s">
        <v>74</v>
      </c>
      <c r="K119" s="103" t="s">
        <v>75</v>
      </c>
      <c r="L119" s="119" t="s">
        <v>72</v>
      </c>
      <c r="M119" s="103" t="s">
        <v>74</v>
      </c>
      <c r="N119" s="103" t="s">
        <v>75</v>
      </c>
      <c r="O119" s="119" t="s">
        <v>72</v>
      </c>
      <c r="P119" s="103" t="s">
        <v>74</v>
      </c>
      <c r="Q119" s="103" t="s">
        <v>75</v>
      </c>
      <c r="R119" s="119" t="s">
        <v>72</v>
      </c>
      <c r="S119" s="103" t="s">
        <v>74</v>
      </c>
      <c r="T119" s="103" t="s">
        <v>75</v>
      </c>
      <c r="U119" s="119" t="s">
        <v>72</v>
      </c>
      <c r="V119" s="103" t="s">
        <v>74</v>
      </c>
      <c r="W119" s="104" t="s">
        <v>75</v>
      </c>
    </row>
    <row r="120" spans="6:40" ht="15" customHeight="1" x14ac:dyDescent="0.25">
      <c r="F120" s="127" t="e">
        <f ca="1">_xll.BDP("CL1 comdty","FUT_CUR_GEN_TICKER")</f>
        <v>#NAME?</v>
      </c>
      <c r="G120" s="141" t="e">
        <f ca="1">_xll.BDP($F120&amp;" comdty","FUT_MONTH_YR")</f>
        <v>#NAME?</v>
      </c>
      <c r="H120" s="142" t="e">
        <f ca="1">_xll.BDP($F120&amp;" comdty","last price")</f>
        <v>#NAME?</v>
      </c>
      <c r="I120" s="143" t="e">
        <f ca="1">_xll.BDP("NG1 comdty","FUT_CUR_GEN_TICKER")</f>
        <v>#NAME?</v>
      </c>
      <c r="J120" s="141" t="e">
        <f ca="1">_xll.BDP($I120&amp;" comdty","FUT_MONTH_YR")</f>
        <v>#NAME?</v>
      </c>
      <c r="K120" s="142" t="e">
        <f ca="1">_xll.BDP($I120&amp;" comdty","last price")</f>
        <v>#NAME?</v>
      </c>
      <c r="L120" s="143" t="e">
        <f ca="1">_xll.BDP("GC1 comdty","FUT_CUR_GEN_TICKER")</f>
        <v>#NAME?</v>
      </c>
      <c r="M120" s="141" t="e">
        <f ca="1">_xll.BDP($L120&amp;" comdty","FUT_MONTH_YR")</f>
        <v>#NAME?</v>
      </c>
      <c r="N120" s="142" t="e">
        <f ca="1">_xll.BDP($L120&amp;" comdty","last price")</f>
        <v>#NAME?</v>
      </c>
      <c r="O120" s="143" t="e">
        <f ca="1">_xll.BDP("CU1 comdty","FUT_CUR_GEN_TICKER")</f>
        <v>#NAME?</v>
      </c>
      <c r="P120" s="141" t="e">
        <f ca="1">_xll.BDP($O120&amp;" comdty","FUT_MONTH_YR")</f>
        <v>#NAME?</v>
      </c>
      <c r="Q120" s="142" t="e">
        <f ca="1">_xll.BDP($O120&amp;" comdty","last price")</f>
        <v>#NAME?</v>
      </c>
      <c r="R120" s="143" t="e">
        <f ca="1">_xll.BDP("W 1 comdty","FUT_CUR_GEN_TICKER")</f>
        <v>#NAME?</v>
      </c>
      <c r="S120" s="141" t="e">
        <f ca="1">_xll.BDP($R120&amp;" comdty","FUT_MONTH_YR")</f>
        <v>#NAME?</v>
      </c>
      <c r="T120" s="142" t="e">
        <f ca="1">_xll.BDP($R120&amp;" comdty","last price")</f>
        <v>#NAME?</v>
      </c>
      <c r="U120" s="143" t="e">
        <f ca="1">_xll.BDP("C 1 comdty","FUT_CUR_GEN_TICKER")</f>
        <v>#NAME?</v>
      </c>
      <c r="V120" s="141" t="e">
        <f ca="1">_xll.BDP($R120&amp;" comdty","FUT_MONTH_YR")</f>
        <v>#NAME?</v>
      </c>
      <c r="W120" s="144" t="e">
        <f ca="1">_xll.BDP($R120&amp;" comdty","last price")</f>
        <v>#NAME?</v>
      </c>
    </row>
    <row r="121" spans="6:40" ht="15" customHeight="1" x14ac:dyDescent="0.25">
      <c r="F121" s="127" t="e">
        <f ca="1">_xll.BDP("CL2 comdty","FUT_CUR_GEN_TICKER")</f>
        <v>#NAME?</v>
      </c>
      <c r="G121" s="124" t="e">
        <f ca="1">_xll.BDP($F121&amp;" comdty","FUT_MONTH_YR")</f>
        <v>#NAME?</v>
      </c>
      <c r="H121" s="72" t="e">
        <f ca="1">_xll.BDP($F121&amp;" comdty","last price")</f>
        <v>#NAME?</v>
      </c>
      <c r="I121" s="143" t="e">
        <f ca="1">_xll.BDP("NG2 comdty","FUT_CUR_GEN_TICKER")</f>
        <v>#NAME?</v>
      </c>
      <c r="J121" s="124" t="e">
        <f ca="1">_xll.BDP($I121&amp;" comdty","FUT_MONTH_YR")</f>
        <v>#NAME?</v>
      </c>
      <c r="K121" s="72" t="e">
        <f ca="1">_xll.BDP($I121&amp;" comdty","last price")</f>
        <v>#NAME?</v>
      </c>
      <c r="L121" s="143" t="e">
        <f ca="1">_xll.BDP("GC2 comdty","FUT_CUR_GEN_TICKER")</f>
        <v>#NAME?</v>
      </c>
      <c r="M121" s="124" t="e">
        <f ca="1">_xll.BDP($L121&amp;" comdty","FUT_MONTH_YR")</f>
        <v>#NAME?</v>
      </c>
      <c r="N121" s="72" t="e">
        <f ca="1">_xll.BDP($L121&amp;" comdty","last price")</f>
        <v>#NAME?</v>
      </c>
      <c r="O121" s="143" t="e">
        <f ca="1">_xll.BDP("CU2 comdty","FUT_CUR_GEN_TICKER")</f>
        <v>#NAME?</v>
      </c>
      <c r="P121" s="124" t="e">
        <f ca="1">_xll.BDP($O121&amp;" comdty","FUT_MONTH_YR")</f>
        <v>#NAME?</v>
      </c>
      <c r="Q121" s="72" t="e">
        <f ca="1">_xll.BDP($O121&amp;" comdty","last price")</f>
        <v>#NAME?</v>
      </c>
      <c r="R121" s="143" t="e">
        <f ca="1">_xll.BDP("W 2 comdty","FUT_CUR_GEN_TICKER")</f>
        <v>#NAME?</v>
      </c>
      <c r="S121" s="124" t="e">
        <f ca="1">_xll.BDP($R121&amp;" comdty","FUT_MONTH_YR")</f>
        <v>#NAME?</v>
      </c>
      <c r="T121" s="72" t="e">
        <f ca="1">_xll.BDP($R121&amp;" comdty","last price")</f>
        <v>#NAME?</v>
      </c>
      <c r="U121" s="143" t="e">
        <f ca="1">_xll.BDP("C 2 comdty","FUT_CUR_GEN_TICKER")</f>
        <v>#NAME?</v>
      </c>
      <c r="V121" s="124" t="e">
        <f ca="1">_xll.BDP($R121&amp;" comdty","FUT_MONTH_YR")</f>
        <v>#NAME?</v>
      </c>
      <c r="W121" s="130" t="e">
        <f ca="1">_xll.BDP($R121&amp;" comdty","last price")</f>
        <v>#NAME?</v>
      </c>
    </row>
    <row r="122" spans="6:40" ht="15" customHeight="1" x14ac:dyDescent="0.25">
      <c r="F122" s="127" t="e">
        <f ca="1">_xll.BDP("CL3 comdty","FUT_CUR_GEN_TICKER")</f>
        <v>#NAME?</v>
      </c>
      <c r="G122" s="123" t="e">
        <f ca="1">_xll.BDP($F122&amp;" comdty","FUT_MONTH_YR")</f>
        <v>#NAME?</v>
      </c>
      <c r="H122" s="71" t="e">
        <f ca="1">_xll.BDP($F122&amp;" comdty","last price")</f>
        <v>#NAME?</v>
      </c>
      <c r="I122" s="143" t="e">
        <f ca="1">_xll.BDP("NG3 comdty","FUT_CUR_GEN_TICKER")</f>
        <v>#NAME?</v>
      </c>
      <c r="J122" s="123" t="e">
        <f ca="1">_xll.BDP($I122&amp;" comdty","FUT_MONTH_YR")</f>
        <v>#NAME?</v>
      </c>
      <c r="K122" s="71" t="e">
        <f ca="1">_xll.BDP($I122&amp;" comdty","last price")</f>
        <v>#NAME?</v>
      </c>
      <c r="L122" s="143" t="e">
        <f ca="1">_xll.BDP("GC3 comdty","FUT_CUR_GEN_TICKER")</f>
        <v>#NAME?</v>
      </c>
      <c r="M122" s="123" t="e">
        <f ca="1">_xll.BDP($L122&amp;" comdty","FUT_MONTH_YR")</f>
        <v>#NAME?</v>
      </c>
      <c r="N122" s="71" t="e">
        <f ca="1">_xll.BDP($L122&amp;" comdty","last price")</f>
        <v>#NAME?</v>
      </c>
      <c r="O122" s="143" t="e">
        <f ca="1">_xll.BDP("CU3 comdty","FUT_CUR_GEN_TICKER")</f>
        <v>#NAME?</v>
      </c>
      <c r="P122" s="123" t="e">
        <f ca="1">_xll.BDP($O122&amp;" comdty","FUT_MONTH_YR")</f>
        <v>#NAME?</v>
      </c>
      <c r="Q122" s="71" t="e">
        <f ca="1">_xll.BDP($O122&amp;" comdty","last price")</f>
        <v>#NAME?</v>
      </c>
      <c r="R122" s="143" t="e">
        <f ca="1">_xll.BDP("W 3 comdty","FUT_CUR_GEN_TICKER")</f>
        <v>#NAME?</v>
      </c>
      <c r="S122" s="123" t="e">
        <f ca="1">_xll.BDP($R122&amp;" comdty","FUT_MONTH_YR")</f>
        <v>#NAME?</v>
      </c>
      <c r="T122" s="71" t="e">
        <f ca="1">_xll.BDP($R122&amp;" comdty","last price")</f>
        <v>#NAME?</v>
      </c>
      <c r="U122" s="143" t="e">
        <f ca="1">_xll.BDP("C 3 comdty","FUT_CUR_GEN_TICKER")</f>
        <v>#NAME?</v>
      </c>
      <c r="V122" s="123" t="e">
        <f ca="1">_xll.BDP($R122&amp;" comdty","FUT_MONTH_YR")</f>
        <v>#NAME?</v>
      </c>
      <c r="W122" s="145" t="e">
        <f ca="1">_xll.BDP($R122&amp;" comdty","last price")</f>
        <v>#NAME?</v>
      </c>
    </row>
    <row r="123" spans="6:40" ht="15" customHeight="1" x14ac:dyDescent="0.25">
      <c r="F123" s="132" t="e">
        <f ca="1">_xll.BDP("CL4 comdty","FUT_CUR_GEN_TICKER")</f>
        <v>#NAME?</v>
      </c>
      <c r="G123" s="146" t="e">
        <f ca="1">_xll.BDP($F123&amp;" comdty","FUT_MONTH_YR")</f>
        <v>#NAME?</v>
      </c>
      <c r="H123" s="133" t="e">
        <f ca="1">_xll.BDP($F123&amp;" comdty","last price")</f>
        <v>#NAME?</v>
      </c>
      <c r="I123" s="147" t="e">
        <f ca="1">_xll.BDP("NG4 comdty","FUT_CUR_GEN_TICKER")</f>
        <v>#NAME?</v>
      </c>
      <c r="J123" s="146" t="e">
        <f ca="1">_xll.BDP($I123&amp;" comdty","FUT_MONTH_YR")</f>
        <v>#NAME?</v>
      </c>
      <c r="K123" s="133" t="e">
        <f ca="1">_xll.BDP($I123&amp;" comdty","last price")</f>
        <v>#NAME?</v>
      </c>
      <c r="L123" s="147" t="e">
        <f ca="1">_xll.BDP("GC4 comdty","FUT_CUR_GEN_TICKER")</f>
        <v>#NAME?</v>
      </c>
      <c r="M123" s="146" t="e">
        <f ca="1">_xll.BDP($L123&amp;" comdty","FUT_MONTH_YR")</f>
        <v>#NAME?</v>
      </c>
      <c r="N123" s="133" t="e">
        <f ca="1">_xll.BDP($L123&amp;" comdty","last price")</f>
        <v>#NAME?</v>
      </c>
      <c r="O123" s="147" t="e">
        <f ca="1">_xll.BDP("CU4 comdty","FUT_CUR_GEN_TICKER")</f>
        <v>#NAME?</v>
      </c>
      <c r="P123" s="146" t="e">
        <f ca="1">_xll.BDP($O123&amp;" comdty","FUT_MONTH_YR")</f>
        <v>#NAME?</v>
      </c>
      <c r="Q123" s="133" t="e">
        <f ca="1">_xll.BDP($O123&amp;" comdty","last price")</f>
        <v>#NAME?</v>
      </c>
      <c r="R123" s="147" t="e">
        <f ca="1">_xll.BDP("W 4 comdty","FUT_CUR_GEN_TICKER")</f>
        <v>#NAME?</v>
      </c>
      <c r="S123" s="146" t="e">
        <f ca="1">_xll.BDP($R123&amp;" comdty","FUT_MONTH_YR")</f>
        <v>#NAME?</v>
      </c>
      <c r="T123" s="133" t="e">
        <f ca="1">_xll.BDP($R123&amp;" comdty","last price")</f>
        <v>#NAME?</v>
      </c>
      <c r="U123" s="147" t="e">
        <f ca="1">_xll.BDP("C 4 comdty","FUT_CUR_GEN_TICKER")</f>
        <v>#NAME?</v>
      </c>
      <c r="V123" s="146" t="e">
        <f ca="1">_xll.BDP($R123&amp;" comdty","FUT_MONTH_YR")</f>
        <v>#NAME?</v>
      </c>
      <c r="W123" s="134" t="e">
        <f ca="1">_xll.BDP($R123&amp;" comdty","last price")</f>
        <v>#NAME?</v>
      </c>
    </row>
    <row r="125" spans="6:40" ht="15" customHeight="1" x14ac:dyDescent="0.25">
      <c r="F125" s="192" t="s">
        <v>11</v>
      </c>
    </row>
    <row r="126" spans="6:40" ht="12" customHeight="1" x14ac:dyDescent="0.25"/>
    <row r="127" spans="6:40" s="219" customFormat="1" ht="35.15" customHeight="1" x14ac:dyDescent="0.3">
      <c r="F127" s="225" t="s">
        <v>133</v>
      </c>
      <c r="G127" s="226"/>
      <c r="H127" s="226"/>
      <c r="I127" s="226"/>
      <c r="J127" s="226"/>
      <c r="K127" s="226"/>
      <c r="L127" s="226"/>
      <c r="M127" s="227"/>
      <c r="O127" s="225" t="s">
        <v>195</v>
      </c>
      <c r="P127" s="226"/>
      <c r="Q127" s="226"/>
      <c r="R127" s="226"/>
      <c r="S127" s="226"/>
      <c r="T127" s="226"/>
      <c r="U127" s="226"/>
      <c r="V127" s="226"/>
      <c r="W127" s="226"/>
      <c r="X127" s="227"/>
      <c r="AK127" s="222"/>
      <c r="AL127" s="222"/>
      <c r="AM127" s="222"/>
      <c r="AN127" s="222"/>
    </row>
    <row r="128" spans="6:40" ht="15" customHeight="1" x14ac:dyDescent="0.25">
      <c r="F128" s="252" t="s">
        <v>165</v>
      </c>
      <c r="G128" s="241"/>
      <c r="H128" s="240" t="s">
        <v>166</v>
      </c>
      <c r="I128" s="240"/>
      <c r="J128" s="240" t="s">
        <v>167</v>
      </c>
      <c r="K128" s="240"/>
      <c r="L128" s="240" t="s">
        <v>168</v>
      </c>
      <c r="M128" s="242"/>
      <c r="O128" s="252" t="s">
        <v>166</v>
      </c>
      <c r="P128" s="241"/>
      <c r="Q128" s="240" t="s">
        <v>167</v>
      </c>
      <c r="R128" s="241"/>
      <c r="S128" s="240" t="s">
        <v>168</v>
      </c>
      <c r="T128" s="241"/>
      <c r="U128" s="240" t="s">
        <v>200</v>
      </c>
      <c r="V128" s="241"/>
      <c r="W128" s="240" t="s">
        <v>199</v>
      </c>
      <c r="X128" s="242"/>
    </row>
    <row r="129" spans="6:24" ht="15" customHeight="1" x14ac:dyDescent="0.25">
      <c r="F129" s="148" t="s">
        <v>134</v>
      </c>
      <c r="G129" s="72" t="s">
        <v>135</v>
      </c>
      <c r="H129" s="72" t="s">
        <v>134</v>
      </c>
      <c r="I129" s="72" t="s">
        <v>135</v>
      </c>
      <c r="J129" s="72" t="s">
        <v>134</v>
      </c>
      <c r="K129" s="72" t="s">
        <v>135</v>
      </c>
      <c r="L129" s="72" t="s">
        <v>134</v>
      </c>
      <c r="M129" s="130" t="s">
        <v>135</v>
      </c>
      <c r="O129" s="148" t="s">
        <v>87</v>
      </c>
      <c r="P129" s="93" t="e">
        <f ca="1">_xll.BDP("USSA0XF1 "&amp;LEFT(FRALink,LEN(FRALink)-FIND("/",FRALink))&amp;" curncy","last price")</f>
        <v>#NAME?</v>
      </c>
      <c r="Q129" s="72" t="s">
        <v>87</v>
      </c>
      <c r="R129" s="93" t="e">
        <f ca="1">_xll.BDP("USSA0XI1  "&amp;LEFT(FRALink,LEN(FRALink)-FIND("/",FRALink))&amp;" curncy","last price")</f>
        <v>#NAME?</v>
      </c>
      <c r="S129" s="72" t="s">
        <v>87</v>
      </c>
      <c r="T129" s="93" t="e">
        <f ca="1">_xll.BDP("USSA0X1  "&amp;LEFT(FRALink,LEN(FRALink)-FIND("/",FRALink))&amp;" curncy","last price")</f>
        <v>#NAME?</v>
      </c>
      <c r="U129" s="72" t="s">
        <v>87</v>
      </c>
      <c r="V129" s="93" t="e">
        <f ca="1">_xll.BDP("USSA0X1C  "&amp;LEFT(FRALink,LEN(FRALink)-FIND("/",FRALink))&amp;" curncy","last price")</f>
        <v>#NAME?</v>
      </c>
      <c r="W129" s="72" t="s">
        <v>87</v>
      </c>
      <c r="X129" s="94" t="e">
        <f ca="1">_xll.BDP("USSA0X1F  "&amp;LEFT(FRALink,LEN(FRALink)-FIND("/",FRALink))&amp;" curncy","last price")</f>
        <v>#NAME?</v>
      </c>
    </row>
    <row r="130" spans="6:24" ht="15" customHeight="1" x14ac:dyDescent="0.25">
      <c r="F130" s="149" t="s">
        <v>136</v>
      </c>
      <c r="G130" s="91" t="e">
        <f ca="1">_xll.BDP("USFR00c "&amp;LEFT(FRALink,LEN(FRALink)-FIND("/",FRALink))&amp;" curncy","last price")</f>
        <v>#NAME?</v>
      </c>
      <c r="H130" s="71" t="s">
        <v>151</v>
      </c>
      <c r="I130" s="91" t="e">
        <f ca="1">_xll.BDP("USFR00F "&amp;LEFT(FRALink,LEN(FRALink)-FIND("/",FRALink))&amp;" curncy","last price")</f>
        <v>#NAME?</v>
      </c>
      <c r="J130" s="71" t="s">
        <v>169</v>
      </c>
      <c r="K130" s="91" t="e">
        <f ca="1">_xll.BDP("USFR0AJ "&amp;LEFT(FRALink,LEN(FRALink)-FIND("/",FRALink))&amp;" curncy","last price")</f>
        <v>#NAME?</v>
      </c>
      <c r="L130" s="71" t="s">
        <v>176</v>
      </c>
      <c r="M130" s="92" t="e">
        <f ca="1">_xll.BDP("USFR001 "&amp;LEFT(FRALink,LEN(FRALink)-FIND("/",FRALink))&amp;" curncy","last price")</f>
        <v>#NAME?</v>
      </c>
      <c r="O130" s="149" t="s">
        <v>196</v>
      </c>
      <c r="P130" s="91" t="e">
        <f ca="1">_xll.BDP("USSAMXS1 "&amp;LEFT(FRALink,LEN(FRALink)-FIND("/",FRALink))&amp;" curncy","last price")</f>
        <v>#NAME?</v>
      </c>
      <c r="Q130" s="71" t="s">
        <v>213</v>
      </c>
      <c r="R130" s="91" t="e">
        <f ca="1">_xll.BDP("USSAMXD1  "&amp;LEFT(FRALink,LEN(FRALink)-FIND("/",FRALink))&amp;" curncy","last price")</f>
        <v>#NAME?</v>
      </c>
      <c r="S130" s="71" t="s">
        <v>217</v>
      </c>
      <c r="T130" s="91" t="e">
        <f ca="1">_xll.BDP("USSAMR1 "&amp;LEFT(FRALink,LEN(FRALink)-FIND("/",FRALink))&amp;" curncy","last price")</f>
        <v>#NAME?</v>
      </c>
      <c r="U130" s="71" t="s">
        <v>221</v>
      </c>
      <c r="V130" s="91" t="e">
        <f ca="1">_xll.BDP("USSAMJ1C "&amp;LEFT(FRALink,LEN(FRALink)-FIND("/",FRALink))&amp;" curncy","last price")</f>
        <v>#NAME?</v>
      </c>
      <c r="W130" s="71" t="s">
        <v>196</v>
      </c>
      <c r="X130" s="92" t="e">
        <f ca="1">_xll.BDP("USSAMS1F "&amp;LEFT(FRALink,LEN(FRALink)-FIND("/",FRALink))&amp;" curncy","last price")</f>
        <v>#NAME?</v>
      </c>
    </row>
    <row r="131" spans="6:24" ht="15" customHeight="1" x14ac:dyDescent="0.25">
      <c r="F131" s="148" t="s">
        <v>137</v>
      </c>
      <c r="G131" s="93" t="e">
        <f ca="1">_xll.BDP("USFR0AD "&amp;LEFT(FRALink,LEN(FRALink)-FIND("/",FRALink))&amp;" curncy","last price")</f>
        <v>#NAME?</v>
      </c>
      <c r="H131" s="72" t="s">
        <v>152</v>
      </c>
      <c r="I131" s="93" t="e">
        <f ca="1">_xll.BDP("USFR0AG "&amp;LEFT(FRALink,LEN(FRALink)-FIND("/",FRALink))&amp;" curncy","last price")</f>
        <v>#NAME?</v>
      </c>
      <c r="J131" s="72" t="s">
        <v>170</v>
      </c>
      <c r="K131" s="93" t="e">
        <f ca="1">_xll.BDP("USFR0BK "&amp;LEFT(FRALink,LEN(FRALink)-FIND("/",FRALink))&amp;" curncy","last price")</f>
        <v>#NAME?</v>
      </c>
      <c r="L131" s="72" t="s">
        <v>177</v>
      </c>
      <c r="M131" s="94" t="e">
        <f ca="1">_xll.BDP("USFR0A1A "&amp;LEFT(FRALink,LEN(FRALink)-FIND("/",FRALink))&amp;" curncy","last price")</f>
        <v>#NAME?</v>
      </c>
      <c r="O131" s="148" t="s">
        <v>197</v>
      </c>
      <c r="P131" s="93" t="e">
        <f ca="1">_xll.BDP("USSAJXD1 "&amp;LEFT(FRALink,LEN(FRALink)-FIND("/",FRALink))&amp;" curncy","last price")</f>
        <v>#NAME?</v>
      </c>
      <c r="Q131" s="72" t="s">
        <v>214</v>
      </c>
      <c r="R131" s="93" t="e">
        <f ca="1">_xll.BDP("USSAJXM1 "&amp;LEFT(FRALink,LEN(FRALink)-FIND("/",FRALink))&amp;" curncy","last price")</f>
        <v>#NAME?</v>
      </c>
      <c r="S131" s="72" t="s">
        <v>218</v>
      </c>
      <c r="T131" s="93" t="e">
        <f ca="1">_xll.BDP("USSAJN1 "&amp;LEFT(FRALink,LEN(FRALink)-FIND("/",FRALink))&amp;" curncy","last price")</f>
        <v>#NAME?</v>
      </c>
      <c r="U131" s="72" t="s">
        <v>222</v>
      </c>
      <c r="V131" s="93" t="e">
        <f ca="1">_xll.BDP("USSAJS1C "&amp;LEFT(FRALink,LEN(FRALink)-FIND("/",FRALink))&amp;" curncy","last price")</f>
        <v>#NAME?</v>
      </c>
      <c r="W131" s="72" t="s">
        <v>210</v>
      </c>
      <c r="X131" s="94" t="e">
        <f ca="1">_xll.BDP("USSAJD1F "&amp;LEFT(FRALink,LEN(FRALink)-FIND("/",FRALink))&amp;" curncy","last price")</f>
        <v>#NAME?</v>
      </c>
    </row>
    <row r="132" spans="6:24" ht="15" customHeight="1" x14ac:dyDescent="0.25">
      <c r="F132" s="149" t="s">
        <v>138</v>
      </c>
      <c r="G132" s="91" t="e">
        <f ca="1">_xll.BDP("USFR0BE "&amp;LEFT(FRALink,LEN(FRALink)-FIND("/",FRALink))&amp;" curncy","last price")</f>
        <v>#NAME?</v>
      </c>
      <c r="H132" s="71" t="s">
        <v>153</v>
      </c>
      <c r="I132" s="91" t="e">
        <f ca="1">_xll.BDP("USFR0BH "&amp;LEFT(FRALink,LEN(FRALink)-FIND("/",FRALink))&amp;" curncy","last price")</f>
        <v>#NAME?</v>
      </c>
      <c r="J132" s="71" t="s">
        <v>171</v>
      </c>
      <c r="K132" s="91" t="e">
        <f ca="1">_xll.BDP("USFR0C1 "&amp;LEFT(FRALink,LEN(FRALink)-FIND("/",FRALink))&amp;" curncy","last price")</f>
        <v>#NAME?</v>
      </c>
      <c r="L132" s="71" t="s">
        <v>178</v>
      </c>
      <c r="M132" s="92" t="e">
        <f ca="1">_xll.BDP("USFR0B1B "&amp;LEFT(FRALink,LEN(FRALink)-FIND("/",FRALink))&amp;" curncy","last price")</f>
        <v>#NAME?</v>
      </c>
      <c r="O132" s="149" t="s">
        <v>198</v>
      </c>
      <c r="P132" s="91" t="e">
        <f ca="1">_xll.BDP("USSASXM1 "&amp;LEFT(FRALink,LEN(FRALink)-FIND("/",FRALink))&amp;" curncy","last price")</f>
        <v>#NAME?</v>
      </c>
      <c r="Q132" s="71" t="s">
        <v>215</v>
      </c>
      <c r="R132" s="91" t="e">
        <f ca="1">_xll.BDP("USSASXJ1 "&amp;LEFT(FRALink,LEN(FRALink)-FIND("/",FRALink))&amp;" curncy","last price")</f>
        <v>#NAME?</v>
      </c>
      <c r="S132" s="71" t="s">
        <v>219</v>
      </c>
      <c r="T132" s="91" t="e">
        <f ca="1">_xll.BDP("USSASE1 "&amp;LEFT(FRALink,LEN(FRALink)-FIND("/",FRALink))&amp;" curncy","last price")</f>
        <v>#NAME?</v>
      </c>
      <c r="U132" s="71" t="s">
        <v>223</v>
      </c>
      <c r="V132" s="91" t="e">
        <f ca="1">_xll.BDP("USSASD1C "&amp;LEFT(FRALink,LEN(FRALink)-FIND("/",FRALink))&amp;" curncy","last price")</f>
        <v>#NAME?</v>
      </c>
      <c r="W132" s="71" t="s">
        <v>198</v>
      </c>
      <c r="X132" s="92" t="e">
        <f ca="1">_xll.BDP("USSASM1F "&amp;LEFT(FRALink,LEN(FRALink)-FIND("/",FRALink))&amp;" curncy","last price")</f>
        <v>#NAME?</v>
      </c>
    </row>
    <row r="133" spans="6:24" ht="15" customHeight="1" x14ac:dyDescent="0.25">
      <c r="F133" s="148" t="s">
        <v>139</v>
      </c>
      <c r="G133" s="93" t="e">
        <f ca="1">_xll.BDP("USFR0CF "&amp;LEFT(FRALink,LEN(FRALink)-FIND("/",FRALink))&amp;" curncy","last price")</f>
        <v>#NAME?</v>
      </c>
      <c r="H133" s="72" t="s">
        <v>154</v>
      </c>
      <c r="I133" s="93" t="e">
        <f ca="1">_xll.BDP("USFR0CI "&amp;LEFT(FRALink,LEN(FRALink)-FIND("/",FRALink))&amp;" curncy","last price")</f>
        <v>#NAME?</v>
      </c>
      <c r="J133" s="72" t="s">
        <v>172</v>
      </c>
      <c r="K133" s="93" t="e">
        <f ca="1">_xll.BDP("USFR0D1A "&amp;LEFT(FRALink,LEN(FRALink)-FIND("/",FRALink))&amp;" curncy","last price")</f>
        <v>#NAME?</v>
      </c>
      <c r="L133" s="72" t="s">
        <v>179</v>
      </c>
      <c r="M133" s="94" t="e">
        <f ca="1">_xll.BDP("USFR0C1C "&amp;LEFT(FRALink,LEN(FRALink)-FIND("/",FRALink))&amp;" curncy","last price")</f>
        <v>#NAME?</v>
      </c>
      <c r="O133" s="148" t="s">
        <v>209</v>
      </c>
      <c r="P133" s="93" t="e">
        <f ca="1">_xll.BDP("USSADXJ1 "&amp;LEFT(FRALink,LEN(FRALink)-FIND("/",FRALink))&amp;" curncy","last price")</f>
        <v>#NAME?</v>
      </c>
      <c r="Q133" s="72" t="s">
        <v>209</v>
      </c>
      <c r="R133" s="93" t="e">
        <f ca="1">_xll.BDP("USSADXS1 "&amp;LEFT(FRALink,LEN(FRALink)-FIND("/",FRALink))&amp;" curncy","last price")</f>
        <v>#NAME?</v>
      </c>
      <c r="S133" s="72" t="s">
        <v>220</v>
      </c>
      <c r="T133" s="93" t="e">
        <f ca="1">_xll.BDP("USSADE1 "&amp;LEFT(FRALink,LEN(FRALink)-FIND("/",FRALink))&amp;" curncy","last price")</f>
        <v>#NAME?</v>
      </c>
      <c r="U133" s="72" t="s">
        <v>224</v>
      </c>
      <c r="V133" s="93" t="e">
        <f ca="1">_xll.BDP("USSADM1C "&amp;LEFT(FRALink,LEN(FRALink)-FIND("/",FRALink))&amp;" curncy","last price")</f>
        <v>#NAME?</v>
      </c>
      <c r="W133" s="72" t="s">
        <v>209</v>
      </c>
      <c r="X133" s="94" t="e">
        <f ca="1">_xll.BDP("USSADJ1F "&amp;LEFT(FRALink,LEN(FRALink)-FIND("/",FRALink))&amp;" curncy","last price")</f>
        <v>#NAME?</v>
      </c>
    </row>
    <row r="134" spans="6:24" ht="15" customHeight="1" x14ac:dyDescent="0.25">
      <c r="F134" s="149" t="s">
        <v>140</v>
      </c>
      <c r="G134" s="91" t="e">
        <f ca="1">_xll.BDP("USFR0DG "&amp;LEFT(FRALink,LEN(FRALink)-FIND("/",FRALink))&amp;" curncy","last price")</f>
        <v>#NAME?</v>
      </c>
      <c r="H134" s="71" t="s">
        <v>155</v>
      </c>
      <c r="I134" s="91" t="e">
        <f ca="1">_xll.BDP("USFR0DJ "&amp;LEFT(FRALink,LEN(FRALink)-FIND("/",FRALink))&amp;" curncy","last price")</f>
        <v>#NAME?</v>
      </c>
      <c r="J134" s="71" t="s">
        <v>173</v>
      </c>
      <c r="K134" s="91" t="e">
        <f ca="1">_xll.BDP("USFR0E1B "&amp;LEFT(FRALink,LEN(FRALink)-FIND("/",FRALink))&amp;" curncy","last price")</f>
        <v>#NAME?</v>
      </c>
      <c r="L134" s="71" t="s">
        <v>180</v>
      </c>
      <c r="M134" s="92" t="e">
        <f ca="1">_xll.BDP("USFR0D1D "&amp;LEFT(FRALink,LEN(FRALink)-FIND("/",FRALink))&amp;" curncy","last price")</f>
        <v>#NAME?</v>
      </c>
      <c r="O134" s="149" t="s">
        <v>196</v>
      </c>
      <c r="P134" s="91" t="e">
        <f ca="1">_xll.BDP("USSAMXS2 "&amp;LEFT(FRALink,LEN(FRALink)-FIND("/",FRALink))&amp;" curncy","last price")</f>
        <v>#NAME?</v>
      </c>
      <c r="Q134" s="71" t="s">
        <v>213</v>
      </c>
      <c r="R134" s="91" t="e">
        <f ca="1">_xll.BDP("USSAMXD2 "&amp;LEFT(FRALink,LEN(FRALink)-FIND("/",FRALink))&amp;" curncy","last price")</f>
        <v>#NAME?</v>
      </c>
      <c r="S134" s="71" t="s">
        <v>217</v>
      </c>
      <c r="T134" s="91" t="e">
        <f ca="1">_xll.BDP("USSAM21 "&amp;LEFT(FRALink,LEN(FRALink)-FIND("/",FRALink))&amp;" curncy","last price")</f>
        <v>#NAME?</v>
      </c>
      <c r="U134" s="71" t="s">
        <v>221</v>
      </c>
      <c r="V134" s="91" t="e">
        <f ca="1">_xll.BDP("USSAJ1C2 "&amp;LEFT(FRALink,LEN(FRALink)-FIND("/",FRALink))&amp;" curncy","last price")</f>
        <v>#NAME?</v>
      </c>
      <c r="W134" s="71" t="s">
        <v>196</v>
      </c>
      <c r="X134" s="92" t="e">
        <f ca="1">_xll.BDP("USSAM1F2 "&amp;LEFT(FRALink,LEN(FRALink)-FIND("/",FRALink))&amp;" curncy","last price")</f>
        <v>#NAME?</v>
      </c>
    </row>
    <row r="135" spans="6:24" ht="15" customHeight="1" x14ac:dyDescent="0.25">
      <c r="F135" s="148" t="s">
        <v>141</v>
      </c>
      <c r="G135" s="93" t="e">
        <f ca="1">_xll.BDP("USFR0EH "&amp;LEFT(FRALink,LEN(FRALink)-FIND("/",FRALink))&amp;" curncy","last price")</f>
        <v>#NAME?</v>
      </c>
      <c r="H135" s="72" t="s">
        <v>156</v>
      </c>
      <c r="I135" s="93" t="e">
        <f ca="1">_xll.BDP("USFR0EK "&amp;LEFT(FRALink,LEN(FRALink)-FIND("/",FRALink))&amp;" curncy","last price")</f>
        <v>#NAME?</v>
      </c>
      <c r="J135" s="72" t="s">
        <v>174</v>
      </c>
      <c r="K135" s="93" t="e">
        <f ca="1">_xll.BDP("USFR0F1C "&amp;LEFT(FRALink,LEN(FRALink)-FIND("/",FRALink))&amp;" curncy","last price")</f>
        <v>#NAME?</v>
      </c>
      <c r="L135" s="72" t="s">
        <v>181</v>
      </c>
      <c r="M135" s="94" t="e">
        <f ca="1">_xll.BDP("USFR0E1E "&amp;LEFT(FRALink,LEN(FRALink)-FIND("/",FRALink))&amp;" curncy","last price")</f>
        <v>#NAME?</v>
      </c>
      <c r="O135" s="148" t="s">
        <v>210</v>
      </c>
      <c r="P135" s="93" t="e">
        <f ca="1">_xll.BDP("USSAJXD2 "&amp;LEFT(FRALink,LEN(FRALink)-FIND("/",FRALink))&amp;" curncy","last price")</f>
        <v>#NAME?</v>
      </c>
      <c r="Q135" s="72" t="s">
        <v>214</v>
      </c>
      <c r="R135" s="93" t="e">
        <f ca="1">_xll.BDP("USSAJXM21 "&amp;LEFT(FRALink,LEN(FRALink)-FIND("/",FRALink))&amp;" curncy","last price")</f>
        <v>#NAME?</v>
      </c>
      <c r="S135" s="72" t="s">
        <v>218</v>
      </c>
      <c r="T135" s="93" t="e">
        <f ca="1">_xll.BDP("USSAJXJ2 "&amp;LEFT(FRALink,LEN(FRALink)-FIND("/",FRALink))&amp;" curncy","last price")</f>
        <v>#NAME?</v>
      </c>
      <c r="U135" s="150"/>
      <c r="V135" s="150"/>
      <c r="W135" s="150"/>
      <c r="X135" s="151"/>
    </row>
    <row r="136" spans="6:24" ht="15" customHeight="1" x14ac:dyDescent="0.25">
      <c r="F136" s="149" t="s">
        <v>142</v>
      </c>
      <c r="G136" s="91" t="e">
        <f ca="1">_xll.BDP("USFR0FI "&amp;LEFT(FRALink,LEN(FRALink)-FIND("/",FRALink))&amp;" curncy","last price")</f>
        <v>#NAME?</v>
      </c>
      <c r="H136" s="71" t="s">
        <v>157</v>
      </c>
      <c r="I136" s="91" t="e">
        <f ca="1">_xll.BDP("USFR0F1 "&amp;LEFT(FRALink,LEN(FRALink)-FIND("/",FRALink))&amp;" curncy","last price")</f>
        <v>#NAME?</v>
      </c>
      <c r="J136" s="71" t="s">
        <v>175</v>
      </c>
      <c r="K136" s="91" t="e">
        <f ca="1">_xll.BDP("USFR0G1D "&amp;LEFT(FRALink,LEN(FRALink)-FIND("/",FRALink))&amp;" curncy","last price")</f>
        <v>#NAME?</v>
      </c>
      <c r="L136" s="71" t="s">
        <v>182</v>
      </c>
      <c r="M136" s="92" t="e">
        <f ca="1">_xll.BDP("USFR0F1F "&amp;LEFT(FRALink,LEN(FRALink)-FIND("/",FRALink))&amp;" curncy","last price")</f>
        <v>#NAME?</v>
      </c>
      <c r="O136" s="149" t="s">
        <v>211</v>
      </c>
      <c r="P136" s="91" t="e">
        <f ca="1">_xll.BDP("USSASXM2 "&amp;LEFT(FRALink,LEN(FRALink)-FIND("/",FRALink))&amp;" curncy","last price")</f>
        <v>#NAME?</v>
      </c>
      <c r="Q136" s="71" t="s">
        <v>215</v>
      </c>
      <c r="R136" s="91" t="e">
        <f ca="1">_xll.BDP("USSASXJ2 "&amp;LEFT(FRALink,LEN(FRALink)-FIND("/",FRALink))&amp;" curncy","last price")</f>
        <v>#NAME?</v>
      </c>
      <c r="S136" s="71" t="s">
        <v>219</v>
      </c>
      <c r="T136" s="91" t="e">
        <f ca="1">_xll.BDP("USSAS21 "&amp;LEFT(FRALink,LEN(FRALink)-FIND("/",FRALink))&amp;" curncy","last price")</f>
        <v>#NAME?</v>
      </c>
      <c r="U136" s="152"/>
      <c r="V136" s="152"/>
      <c r="W136" s="152"/>
      <c r="X136" s="153"/>
    </row>
    <row r="137" spans="6:24" ht="15" customHeight="1" x14ac:dyDescent="0.25">
      <c r="F137" s="148" t="s">
        <v>143</v>
      </c>
      <c r="G137" s="93" t="e">
        <f ca="1">_xll.BDP("USFR0GJ "&amp;LEFT(FRALink,LEN(FRALink)-FIND("/",FRALink))&amp;" curncy","last price")</f>
        <v>#NAME?</v>
      </c>
      <c r="H137" s="72" t="s">
        <v>158</v>
      </c>
      <c r="I137" s="93" t="e">
        <f ca="1">_xll.BDP("USFR0G1A "&amp;LEFT(FRALink,LEN(FRALink)-FIND("/",FRALink))&amp;" curncy","last price")</f>
        <v>#NAME?</v>
      </c>
      <c r="J137" s="72"/>
      <c r="K137" s="93"/>
      <c r="L137" s="72" t="s">
        <v>183</v>
      </c>
      <c r="M137" s="94" t="e">
        <f ca="1">_xll.BDP("USFR0I1I "&amp;LEFT(FRALink,LEN(FRALink)-FIND("/",FRALink))&amp;" curncy","last price")</f>
        <v>#NAME?</v>
      </c>
      <c r="O137" s="154" t="s">
        <v>212</v>
      </c>
      <c r="P137" s="155" t="e">
        <f ca="1">_xll.BDP("USSADXJ2 "&amp;LEFT(FRALink,LEN(FRALink)-FIND("/",FRALink))&amp;" curncy","last price")</f>
        <v>#NAME?</v>
      </c>
      <c r="Q137" s="156" t="s">
        <v>216</v>
      </c>
      <c r="R137" s="155" t="e">
        <f ca="1">_xll.BDP("USSADXS2 "&amp;LEFT(FRALink,LEN(FRALink)-FIND("/",FRALink))&amp;" curncy","last price")</f>
        <v>#NAME?</v>
      </c>
      <c r="S137" s="156" t="s">
        <v>220</v>
      </c>
      <c r="T137" s="155" t="e">
        <f ca="1">_xll.BDP("USSAD21 "&amp;LEFT(FRALink,LEN(FRALink)-FIND("/",FRALink))&amp;" curncy","last price")</f>
        <v>#NAME?</v>
      </c>
      <c r="U137" s="157"/>
      <c r="V137" s="157"/>
      <c r="W137" s="157"/>
      <c r="X137" s="158"/>
    </row>
    <row r="138" spans="6:24" ht="15" customHeight="1" x14ac:dyDescent="0.25">
      <c r="F138" s="149" t="s">
        <v>144</v>
      </c>
      <c r="G138" s="91" t="e">
        <f ca="1">_xll.BDP("USFR0HK "&amp;LEFT(FRALink,LEN(FRALink)-FIND("/",FRALink))&amp;" curncy","last price")</f>
        <v>#NAME?</v>
      </c>
      <c r="H138" s="71" t="s">
        <v>159</v>
      </c>
      <c r="I138" s="91" t="e">
        <f ca="1">_xll.BDP("USFR0H1B "&amp;LEFT(FRALink,LEN(FRALink)-FIND("/",FRALink))&amp;" curncy","last price")</f>
        <v>#NAME?</v>
      </c>
      <c r="J138" s="71"/>
      <c r="K138" s="91"/>
      <c r="L138" s="71" t="s">
        <v>184</v>
      </c>
      <c r="M138" s="92" t="e">
        <f ca="1">_xll.BDP("USFR012 "&amp;LEFT(FRALink,LEN(FRALink)-FIND("/",FRALink))&amp;" curncy","last price")</f>
        <v>#NAME?</v>
      </c>
      <c r="O138" s="26" t="s">
        <v>201</v>
      </c>
      <c r="P138" s="103"/>
      <c r="Q138" s="103" t="s">
        <v>59</v>
      </c>
      <c r="R138" s="103"/>
      <c r="S138" s="103" t="s">
        <v>202</v>
      </c>
      <c r="T138" s="103"/>
      <c r="U138" s="103" t="s">
        <v>203</v>
      </c>
      <c r="V138" s="103"/>
      <c r="W138" s="103" t="s">
        <v>60</v>
      </c>
      <c r="X138" s="104"/>
    </row>
    <row r="139" spans="6:24" ht="15" customHeight="1" x14ac:dyDescent="0.25">
      <c r="F139" s="148" t="s">
        <v>145</v>
      </c>
      <c r="G139" s="93" t="e">
        <f ca="1">_xll.BDP("USFR0I1 "&amp;LEFT(FRALink,LEN(FRALink)-FIND("/",FRALink))&amp;" curncy","last price")</f>
        <v>#NAME?</v>
      </c>
      <c r="H139" s="72" t="s">
        <v>160</v>
      </c>
      <c r="I139" s="93" t="e">
        <f ca="1">_xll.BDP("USFR0I1C "&amp;LEFT(FRALink,LEN(FRALink)-FIND("/",FRALink))&amp;" curncy","last price")</f>
        <v>#NAME?</v>
      </c>
      <c r="J139" s="72"/>
      <c r="K139" s="93"/>
      <c r="L139" s="72" t="s">
        <v>185</v>
      </c>
      <c r="M139" s="94" t="e">
        <f ca="1">_xll.BDP("USFR1C2C "&amp;LEFT(FRALink,LEN(FRALink)-FIND("/",FRALink))&amp;" curncy","last price")</f>
        <v>#NAME?</v>
      </c>
      <c r="O139" s="159" t="s">
        <v>87</v>
      </c>
      <c r="P139" s="160" t="e">
        <f ca="1">_xll.BDP("USSA0X1I  "&amp;LEFT(FRALink,LEN(FRALink)-FIND("/",FRALink))&amp;" curncy","last price")</f>
        <v>#NAME?</v>
      </c>
      <c r="Q139" s="161" t="s">
        <v>87</v>
      </c>
      <c r="R139" s="160" t="e">
        <f ca="1">_xll.BDP("USSA0X2  "&amp;LEFT(FRALink,LEN(FRALink)-FIND("/",FRALink))&amp;" curncy","last price")</f>
        <v>#NAME?</v>
      </c>
      <c r="S139" s="161" t="s">
        <v>87</v>
      </c>
      <c r="T139" s="160" t="e">
        <f ca="1">_xll.BDP("USSA0X3  "&amp;LEFT(FRALink,LEN(FRALink)-FIND("/",FRALink))&amp;" curncy","last price")</f>
        <v>#NAME?</v>
      </c>
      <c r="U139" s="161" t="s">
        <v>87</v>
      </c>
      <c r="V139" s="160" t="e">
        <f ca="1">_xll.BDP("USSA0X4  "&amp;LEFT(FRALink,LEN(FRALink)-FIND("/",FRALink))&amp;" curncy","last price")</f>
        <v>#NAME?</v>
      </c>
      <c r="W139" s="161" t="s">
        <v>87</v>
      </c>
      <c r="X139" s="162" t="e">
        <f ca="1">_xll.BDP("USSA0X5  "&amp;LEFT(FRALink,LEN(FRALink)-FIND("/",FRALink))&amp;" curncy","last price")</f>
        <v>#NAME?</v>
      </c>
    </row>
    <row r="140" spans="6:24" ht="15" customHeight="1" x14ac:dyDescent="0.25">
      <c r="F140" s="149" t="s">
        <v>146</v>
      </c>
      <c r="G140" s="91" t="e">
        <f ca="1">_xll.BDP("USFR0J1A "&amp;LEFT(FRALink,LEN(FRALink)-FIND("/",FRALink))&amp;" curncy","last price")</f>
        <v>#NAME?</v>
      </c>
      <c r="H140" s="71" t="s">
        <v>161</v>
      </c>
      <c r="I140" s="91" t="e">
        <f ca="1">_xll.BDP("USFR0J1D "&amp;LEFT(FRALink,LEN(FRALink)-FIND("/",FRALink))&amp;" curncy","last price")</f>
        <v>#NAME?</v>
      </c>
      <c r="J140" s="71"/>
      <c r="K140" s="91"/>
      <c r="L140" s="71" t="s">
        <v>186</v>
      </c>
      <c r="M140" s="92" t="e">
        <f ca="1">_xll.BDP("USFR1F2F "&amp;LEFT(FRALink,LEN(FRALink)-FIND("/",FRALink))&amp;" curncy","last price")</f>
        <v>#NAME?</v>
      </c>
      <c r="O140" s="149" t="s">
        <v>215</v>
      </c>
      <c r="P140" s="91" t="e">
        <f ca="1">_xll.BDP("USSASJ1I "&amp;LEFT(FRALink,LEN(FRALink)-FIND("/",FRALink))&amp;" curncy","last price")</f>
        <v>#NAME?</v>
      </c>
      <c r="Q140" s="71" t="s">
        <v>219</v>
      </c>
      <c r="R140" s="91" t="e">
        <f ca="1">_xll.BDP("USSASE2 "&amp;LEFT(FRALink,LEN(FRALink)-FIND("/",FRALink))&amp;" curncy","last price")</f>
        <v>#NAME?</v>
      </c>
      <c r="S140" s="71" t="s">
        <v>219</v>
      </c>
      <c r="T140" s="91" t="e">
        <f ca="1">_xll.BDP("USSASE3  "&amp;LEFT(FRALink,LEN(FRALink)-FIND("/",FRALink))&amp;" curncy","last price")</f>
        <v>#NAME?</v>
      </c>
      <c r="U140" s="71" t="s">
        <v>219</v>
      </c>
      <c r="V140" s="91" t="e">
        <f ca="1">_xll.BDP("USSASE4  "&amp;LEFT(FRALink,LEN(FRALink)-FIND("/",FRALink))&amp;" curncy","last price")</f>
        <v>#NAME?</v>
      </c>
      <c r="W140" s="71" t="s">
        <v>219</v>
      </c>
      <c r="X140" s="92" t="e">
        <f ca="1">_xll.BDP("USSASE5  "&amp;LEFT(FRALink,LEN(FRALink)-FIND("/",FRALink))&amp;" curncy","last price")</f>
        <v>#NAME?</v>
      </c>
    </row>
    <row r="141" spans="6:24" ht="15" customHeight="1" x14ac:dyDescent="0.25">
      <c r="F141" s="148" t="s">
        <v>147</v>
      </c>
      <c r="G141" s="93" t="e">
        <f ca="1">_xll.BDP("USFR0K1B "&amp;LEFT(FRALink,LEN(FRALink)-FIND("/",FRALink))&amp;" curncy","last price")</f>
        <v>#NAME?</v>
      </c>
      <c r="H141" s="72" t="s">
        <v>162</v>
      </c>
      <c r="I141" s="93" t="e">
        <f ca="1">_xll.BDP("USFR011FB "&amp;LEFT(FRALink,LEN(FRALink)-FIND("/",FRALink))&amp;" curncy","last price")</f>
        <v>#NAME?</v>
      </c>
      <c r="J141" s="72"/>
      <c r="K141" s="93"/>
      <c r="L141" s="72" t="s">
        <v>187</v>
      </c>
      <c r="M141" s="94" t="e">
        <f ca="1">_xll.BDP("USFR1I2I "&amp;LEFT(FRALink,LEN(FRALink)-FIND("/",FRALink))&amp;" curncy","last price")</f>
        <v>#NAME?</v>
      </c>
      <c r="O141" s="148" t="s">
        <v>216</v>
      </c>
      <c r="P141" s="93" t="e">
        <f ca="1">_xll.BDP("USSADS1I "&amp;LEFT(FRALink,LEN(FRALink)-FIND("/",FRALink))&amp;" curncy","last price")</f>
        <v>#NAME?</v>
      </c>
      <c r="Q141" s="72" t="s">
        <v>220</v>
      </c>
      <c r="R141" s="93" t="e">
        <f ca="1">_xll.BDP("USSADE2 "&amp;LEFT(FRALink,LEN(FRALink)-FIND("/",FRALink))&amp;" curncy","last price")</f>
        <v>#NAME?</v>
      </c>
      <c r="S141" s="72" t="s">
        <v>220</v>
      </c>
      <c r="T141" s="93" t="e">
        <f ca="1">_xll.BDP("USSADE3  "&amp;LEFT(FRALink,LEN(FRALink)-FIND("/",FRALink))&amp;" curncy","last price")</f>
        <v>#NAME?</v>
      </c>
      <c r="U141" s="72" t="s">
        <v>220</v>
      </c>
      <c r="V141" s="93" t="e">
        <f ca="1">_xll.BDP("USSADE4  "&amp;LEFT(FRALink,LEN(FRALink)-FIND("/",FRALink))&amp;" curncy","last price")</f>
        <v>#NAME?</v>
      </c>
      <c r="W141" s="72" t="s">
        <v>220</v>
      </c>
      <c r="X141" s="94" t="e">
        <f ca="1">_xll.BDP("USSADE5  "&amp;LEFT(FRALink,LEN(FRALink)-FIND("/",FRALink))&amp;" curncy","last price")</f>
        <v>#NAME?</v>
      </c>
    </row>
    <row r="142" spans="6:24" ht="15" customHeight="1" x14ac:dyDescent="0.25">
      <c r="F142" s="149" t="s">
        <v>148</v>
      </c>
      <c r="G142" s="91" t="e">
        <f ca="1">_xll.BDP("USFR011C "&amp;LEFT(FRALink,LEN(FRALink)-FIND("/",FRALink))&amp;" curncy","last price")</f>
        <v>#NAME?</v>
      </c>
      <c r="H142" s="71" t="s">
        <v>163</v>
      </c>
      <c r="I142" s="91" t="e">
        <f ca="1">_xll.BDP("USFR1A1G "&amp;LEFT(FRALink,LEN(FRALink)-FIND("/",FRALink))&amp;" curncy","last price")</f>
        <v>#NAME?</v>
      </c>
      <c r="J142" s="71"/>
      <c r="K142" s="91"/>
      <c r="L142" s="71" t="s">
        <v>188</v>
      </c>
      <c r="M142" s="92" t="e">
        <f ca="1">_xll.BDP("USFR023 "&amp;LEFT(FRALink,LEN(FRALink)-FIND("/",FRALink))&amp;" curncy","last price")</f>
        <v>#NAME?</v>
      </c>
      <c r="O142" s="149" t="s">
        <v>213</v>
      </c>
      <c r="P142" s="91" t="e">
        <f ca="1">_xll.BDP("USSAMD1I "&amp;LEFT(FRALink,LEN(FRALink)-FIND("/",FRALink))&amp;" curncy","last price")</f>
        <v>#NAME?</v>
      </c>
      <c r="Q142" s="71" t="s">
        <v>217</v>
      </c>
      <c r="R142" s="91" t="e">
        <f ca="1">_xll.BDP("USSAMR2 "&amp;LEFT(FRALink,LEN(FRALink)-FIND("/",FRALink))&amp;" curncy","last price")</f>
        <v>#NAME?</v>
      </c>
      <c r="S142" s="71" t="s">
        <v>217</v>
      </c>
      <c r="T142" s="91" t="e">
        <f ca="1">_xll.BDP("USSAMR3  "&amp;LEFT(FRALink,LEN(FRALink)-FIND("/",FRALink))&amp;" curncy","last price")</f>
        <v>#NAME?</v>
      </c>
      <c r="U142" s="71" t="s">
        <v>217</v>
      </c>
      <c r="V142" s="91" t="e">
        <f ca="1">_xll.BDP("USSAMR4  "&amp;LEFT(FRALink,LEN(FRALink)-FIND("/",FRALink))&amp;" curncy","last price")</f>
        <v>#NAME?</v>
      </c>
      <c r="W142" s="71" t="s">
        <v>217</v>
      </c>
      <c r="X142" s="92" t="e">
        <f ca="1">_xll.BDP("USSAMR5  "&amp;LEFT(FRALink,LEN(FRALink)-FIND("/",FRALink))&amp;" curncy","last price")</f>
        <v>#NAME?</v>
      </c>
    </row>
    <row r="143" spans="6:24" ht="15" customHeight="1" x14ac:dyDescent="0.25">
      <c r="F143" s="148" t="s">
        <v>149</v>
      </c>
      <c r="G143" s="93" t="e">
        <f ca="1">_xll.BDP("USFR1F1I "&amp;LEFT(FRALink,LEN(FRALink)-FIND("/",FRALink))&amp;" curncy","last price")</f>
        <v>#NAME?</v>
      </c>
      <c r="H143" s="72" t="s">
        <v>164</v>
      </c>
      <c r="I143" s="93" t="e">
        <f ca="1">_xll.BDP("USFR1F2 "&amp;LEFT(FRALink,LEN(FRALink)-FIND("/",FRALink))&amp;" curncy","last price")</f>
        <v>#NAME?</v>
      </c>
      <c r="J143" s="72"/>
      <c r="K143" s="93"/>
      <c r="L143" s="72" t="s">
        <v>189</v>
      </c>
      <c r="M143" s="94" t="e">
        <f ca="1">_xll.BDP("USFR2C3C "&amp;LEFT(FRALink,LEN(FRALink)-FIND("/",FRALink))&amp;" curncy","last price")</f>
        <v>#NAME?</v>
      </c>
      <c r="O143" s="148" t="s">
        <v>214</v>
      </c>
      <c r="P143" s="93" t="e">
        <f ca="1">_xll.BDP("USSAJM1I "&amp;LEFT(FRALink,LEN(FRALink)-FIND("/",FRALink))&amp;" curncy","last price")</f>
        <v>#NAME?</v>
      </c>
      <c r="Q143" s="72" t="s">
        <v>218</v>
      </c>
      <c r="R143" s="93" t="e">
        <f ca="1">_xll.BDP("USSAJN2 "&amp;LEFT(FRALink,LEN(FRALink)-FIND("/",FRALink))&amp;" curncy","last price")</f>
        <v>#NAME?</v>
      </c>
      <c r="S143" s="72" t="s">
        <v>218</v>
      </c>
      <c r="T143" s="93" t="e">
        <f ca="1">_xll.BDP("USSAJN3  "&amp;LEFT(FRALink,LEN(FRALink)-FIND("/",FRALink))&amp;" curncy","last price")</f>
        <v>#NAME?</v>
      </c>
      <c r="U143" s="72" t="s">
        <v>218</v>
      </c>
      <c r="V143" s="93" t="e">
        <f ca="1">_xll.BDP("USSAJN4  "&amp;LEFT(FRALink,LEN(FRALink)-FIND("/",FRALink))&amp;" curncy","last price")</f>
        <v>#NAME?</v>
      </c>
      <c r="W143" s="72" t="s">
        <v>218</v>
      </c>
      <c r="X143" s="94" t="e">
        <f ca="1">_xll.BDP("USSAJN5  "&amp;LEFT(FRALink,LEN(FRALink)-FIND("/",FRALink))&amp;" curncy","last price")</f>
        <v>#NAME?</v>
      </c>
    </row>
    <row r="144" spans="6:24" ht="15" customHeight="1" x14ac:dyDescent="0.25">
      <c r="F144" s="149" t="s">
        <v>150</v>
      </c>
      <c r="G144" s="91" t="e">
        <f ca="1">_xll.BDP("USFR1I2 "&amp;LEFT(FRALink,LEN(FRALink)-FIND("/",FRALink))&amp;" curncy","last price")</f>
        <v>#NAME?</v>
      </c>
      <c r="H144" s="71"/>
      <c r="I144" s="91"/>
      <c r="J144" s="71"/>
      <c r="K144" s="152"/>
      <c r="L144" s="71" t="s">
        <v>190</v>
      </c>
      <c r="M144" s="92" t="e">
        <f ca="1">_xll.BDP("USFR2F3F "&amp;LEFT(FRALink,LEN(FRALink)-FIND("/",FRALink))&amp;" curncy","last price")</f>
        <v>#NAME?</v>
      </c>
      <c r="O144" s="163" t="s">
        <v>215</v>
      </c>
      <c r="P144" s="164" t="e">
        <f ca="1">_xll.BDP("USSAJ1I2 "&amp;LEFT(FRALink,LEN(FRALink)-FIND("/",FRALink))&amp;" curncy","last price")</f>
        <v>#NAME?</v>
      </c>
      <c r="Q144" s="165"/>
      <c r="R144" s="164"/>
      <c r="S144" s="165"/>
      <c r="T144" s="165"/>
      <c r="U144" s="165"/>
      <c r="V144" s="165"/>
      <c r="W144" s="165"/>
      <c r="X144" s="166"/>
    </row>
    <row r="145" spans="6:26" ht="15" customHeight="1" x14ac:dyDescent="0.25">
      <c r="F145" s="148"/>
      <c r="G145" s="93"/>
      <c r="H145" s="150"/>
      <c r="I145" s="150"/>
      <c r="J145" s="150"/>
      <c r="K145" s="150"/>
      <c r="L145" s="72" t="s">
        <v>191</v>
      </c>
      <c r="M145" s="94" t="e">
        <f ca="1">_xll.BDP("USFR2I3I "&amp;LEFT(FRALink,LEN(FRALink)-FIND("/",FRALink))&amp;" curncy","last price")</f>
        <v>#NAME?</v>
      </c>
      <c r="O145" s="26" t="s">
        <v>204</v>
      </c>
      <c r="P145" s="103"/>
      <c r="Q145" s="103" t="s">
        <v>205</v>
      </c>
      <c r="R145" s="103"/>
      <c r="S145" s="103" t="s">
        <v>206</v>
      </c>
      <c r="T145" s="103"/>
      <c r="U145" s="103" t="s">
        <v>207</v>
      </c>
      <c r="V145" s="103"/>
      <c r="W145" s="103" t="s">
        <v>208</v>
      </c>
      <c r="X145" s="104"/>
    </row>
    <row r="146" spans="6:26" ht="15" customHeight="1" x14ac:dyDescent="0.25">
      <c r="F146" s="167"/>
      <c r="G146" s="91"/>
      <c r="H146" s="152"/>
      <c r="I146" s="152"/>
      <c r="J146" s="152"/>
      <c r="K146" s="152"/>
      <c r="L146" s="71" t="s">
        <v>192</v>
      </c>
      <c r="M146" s="92" t="e">
        <f ca="1">_xll.BDP("USFR0304 "&amp;LEFT(FRALink,LEN(FRALink)-FIND("/",FRALink))&amp;" curncy","last price")</f>
        <v>#NAME?</v>
      </c>
      <c r="O146" s="168" t="s">
        <v>87</v>
      </c>
      <c r="P146" s="169" t="e">
        <f ca="1">_xll.BDP("USSA0X6  "&amp;LEFT(FRALink,LEN(FRALink)-FIND("/",FRALink))&amp;" curncy","last price")</f>
        <v>#NAME?</v>
      </c>
      <c r="Q146" s="142" t="s">
        <v>87</v>
      </c>
      <c r="R146" s="169" t="e">
        <f ca="1">_xll.BDP("USSA0X7  "&amp;LEFT(FRALink,LEN(FRALink)-FIND("/",FRALink))&amp;" curncy","last price")</f>
        <v>#NAME?</v>
      </c>
      <c r="S146" s="142" t="s">
        <v>87</v>
      </c>
      <c r="T146" s="169" t="e">
        <f ca="1">_xll.BDP("USSA0X8  "&amp;LEFT(FRALink,LEN(FRALink)-FIND("/",FRALink))&amp;" curncy","last price")</f>
        <v>#NAME?</v>
      </c>
      <c r="U146" s="142" t="s">
        <v>87</v>
      </c>
      <c r="V146" s="169" t="e">
        <f ca="1">_xll.BDP("USSA0X9  "&amp;LEFT(FRALink,LEN(FRALink)-FIND("/",FRALink))&amp;" curncy","last price")</f>
        <v>#NAME?</v>
      </c>
      <c r="W146" s="142" t="s">
        <v>87</v>
      </c>
      <c r="X146" s="170" t="e">
        <f ca="1">_xll.BDP("USSA0X10  "&amp;LEFT(FRALink,LEN(FRALink)-FIND("/",FRALink))&amp;" curncy","last price")</f>
        <v>#NAME?</v>
      </c>
    </row>
    <row r="147" spans="6:26" ht="15" customHeight="1" x14ac:dyDescent="0.25">
      <c r="F147" s="171"/>
      <c r="G147" s="150"/>
      <c r="H147" s="150"/>
      <c r="I147" s="150"/>
      <c r="J147" s="150"/>
      <c r="K147" s="150"/>
      <c r="L147" s="150"/>
      <c r="M147" s="151"/>
      <c r="O147" s="148" t="s">
        <v>219</v>
      </c>
      <c r="P147" s="93" t="e">
        <f ca="1">_xll.BDP("USSASE6  "&amp;LEFT(FRALink,LEN(FRALink)-FIND("/",FRALink))&amp;" curncy","last price")</f>
        <v>#NAME?</v>
      </c>
      <c r="Q147" s="72" t="s">
        <v>219</v>
      </c>
      <c r="R147" s="93" t="e">
        <f ca="1">_xll.BDP("USSASE7  "&amp;LEFT(FRALink,LEN(FRALink)-FIND("/",FRALink))&amp;" curncy","last price")</f>
        <v>#NAME?</v>
      </c>
      <c r="S147" s="72" t="s">
        <v>219</v>
      </c>
      <c r="T147" s="93" t="e">
        <f ca="1">_xll.BDP("USSASE8  "&amp;LEFT(FRALink,LEN(FRALink)-FIND("/",FRALink))&amp;" curncy","last price")</f>
        <v>#NAME?</v>
      </c>
      <c r="U147" s="72" t="s">
        <v>219</v>
      </c>
      <c r="V147" s="93" t="e">
        <f ca="1">_xll.BDP("USSASE9  "&amp;LEFT(FRALink,LEN(FRALink)-FIND("/",FRALink))&amp;" curncy","last price")</f>
        <v>#NAME?</v>
      </c>
      <c r="W147" s="72" t="s">
        <v>219</v>
      </c>
      <c r="X147" s="94" t="e">
        <f ca="1">_xll.BDP("USSASE10  "&amp;LEFT(FRALink,LEN(FRALink)-FIND("/",FRALink))&amp;" curncy","last price")</f>
        <v>#NAME?</v>
      </c>
    </row>
    <row r="148" spans="6:26" ht="15" customHeight="1" x14ac:dyDescent="0.25">
      <c r="F148" s="167"/>
      <c r="G148" s="152"/>
      <c r="H148" s="152"/>
      <c r="I148" s="152"/>
      <c r="J148" s="152"/>
      <c r="K148" s="152"/>
      <c r="L148" s="152"/>
      <c r="M148" s="153"/>
      <c r="O148" s="149" t="s">
        <v>220</v>
      </c>
      <c r="P148" s="91" t="e">
        <f ca="1">_xll.BDP("USSADE6  "&amp;LEFT(FRALink,LEN(FRALink)-FIND("/",FRALink))&amp;" curncy","last price")</f>
        <v>#NAME?</v>
      </c>
      <c r="Q148" s="71" t="s">
        <v>220</v>
      </c>
      <c r="R148" s="91" t="e">
        <f ca="1">_xll.BDP("USSADE7  "&amp;LEFT(FRALink,LEN(FRALink)-FIND("/",FRALink))&amp;" curncy","last price")</f>
        <v>#NAME?</v>
      </c>
      <c r="S148" s="71" t="s">
        <v>220</v>
      </c>
      <c r="T148" s="91" t="e">
        <f ca="1">_xll.BDP("USSADE8  "&amp;LEFT(FRALink,LEN(FRALink)-FIND("/",FRALink))&amp;" curncy","last price")</f>
        <v>#NAME?</v>
      </c>
      <c r="U148" s="71" t="s">
        <v>220</v>
      </c>
      <c r="V148" s="91" t="e">
        <f ca="1">_xll.BDP("USSADE9  "&amp;LEFT(FRALink,LEN(FRALink)-FIND("/",FRALink))&amp;" curncy","last price")</f>
        <v>#NAME?</v>
      </c>
      <c r="W148" s="71" t="s">
        <v>217</v>
      </c>
      <c r="X148" s="92" t="e">
        <f ca="1">_xll.BDP("USSAMR10  "&amp;LEFT(FRALink,LEN(FRALink)-FIND("/",FRALink))&amp;" curncy","last price")</f>
        <v>#NAME?</v>
      </c>
    </row>
    <row r="149" spans="6:26" ht="15" customHeight="1" x14ac:dyDescent="0.25">
      <c r="F149" s="171"/>
      <c r="G149" s="150"/>
      <c r="H149" s="150"/>
      <c r="I149" s="150"/>
      <c r="J149" s="150"/>
      <c r="K149" s="150"/>
      <c r="L149" s="150"/>
      <c r="M149" s="151"/>
      <c r="O149" s="148" t="s">
        <v>217</v>
      </c>
      <c r="P149" s="93" t="e">
        <f ca="1">_xll.BDP("USSAMR6  "&amp;LEFT(FRALink,LEN(FRALink)-FIND("/",FRALink))&amp;" curncy","last price")</f>
        <v>#NAME?</v>
      </c>
      <c r="Q149" s="72" t="s">
        <v>217</v>
      </c>
      <c r="R149" s="93" t="e">
        <f ca="1">_xll.BDP("USSAMR7  "&amp;LEFT(FRALink,LEN(FRALink)-FIND("/",FRALink))&amp;" curncy","last price")</f>
        <v>#NAME?</v>
      </c>
      <c r="S149" s="72" t="s">
        <v>217</v>
      </c>
      <c r="T149" s="93" t="e">
        <f ca="1">_xll.BDP("USSAMR8  "&amp;LEFT(FRALink,LEN(FRALink)-FIND("/",FRALink))&amp;" curncy","last price")</f>
        <v>#NAME?</v>
      </c>
      <c r="U149" s="72" t="s">
        <v>217</v>
      </c>
      <c r="V149" s="93" t="e">
        <f ca="1">_xll.BDP("USSAMR9  "&amp;LEFT(FRALink,LEN(FRALink)-FIND("/",FRALink))&amp;" curncy","last price")</f>
        <v>#NAME?</v>
      </c>
      <c r="W149" s="150"/>
      <c r="X149" s="151"/>
    </row>
    <row r="150" spans="6:26" ht="15" customHeight="1" x14ac:dyDescent="0.25">
      <c r="F150" s="172"/>
      <c r="G150" s="173"/>
      <c r="H150" s="173"/>
      <c r="I150" s="173"/>
      <c r="J150" s="173"/>
      <c r="K150" s="173"/>
      <c r="L150" s="173"/>
      <c r="M150" s="174"/>
      <c r="O150" s="175" t="s">
        <v>218</v>
      </c>
      <c r="P150" s="176" t="e">
        <f ca="1">_xll.BDP("USSAJN6  "&amp;LEFT(FRALink,LEN(FRALink)-FIND("/",FRALink))&amp;" curncy","last price")</f>
        <v>#NAME?</v>
      </c>
      <c r="Q150" s="80" t="s">
        <v>218</v>
      </c>
      <c r="R150" s="176" t="e">
        <f ca="1">_xll.BDP("USSAJN7  "&amp;LEFT(FRALink,LEN(FRALink)-FIND("/",FRALink))&amp;" curncy","last price")</f>
        <v>#NAME?</v>
      </c>
      <c r="S150" s="80" t="s">
        <v>218</v>
      </c>
      <c r="T150" s="176" t="e">
        <f ca="1">_xll.BDP("USSAJN8  "&amp;LEFT(FRALink,LEN(FRALink)-FIND("/",FRALink))&amp;" curncy","last price")</f>
        <v>#NAME?</v>
      </c>
      <c r="U150" s="80" t="s">
        <v>218</v>
      </c>
      <c r="V150" s="176" t="e">
        <f ca="1">_xll.BDP("USSAJN9  "&amp;LEFT(FRALink,LEN(FRALink)-FIND("/",FRALink))&amp;" curncy","last price")</f>
        <v>#NAME?</v>
      </c>
      <c r="W150" s="80"/>
      <c r="X150" s="177"/>
    </row>
    <row r="152" spans="6:26" s="211" customFormat="1" ht="35.15" customHeight="1" x14ac:dyDescent="0.3">
      <c r="F152" s="225" t="s">
        <v>225</v>
      </c>
      <c r="G152" s="226"/>
      <c r="H152" s="226"/>
      <c r="I152" s="226"/>
      <c r="J152" s="226"/>
      <c r="K152" s="226"/>
      <c r="L152" s="226"/>
      <c r="M152" s="226"/>
      <c r="N152" s="226"/>
      <c r="O152" s="226"/>
      <c r="P152" s="226"/>
      <c r="Q152" s="226"/>
      <c r="R152" s="226"/>
      <c r="S152" s="226"/>
      <c r="T152" s="226"/>
      <c r="U152" s="226"/>
      <c r="V152" s="226"/>
      <c r="W152" s="226"/>
      <c r="X152" s="226"/>
      <c r="Y152" s="226"/>
      <c r="Z152" s="227"/>
    </row>
    <row r="153" spans="6:26" ht="15" customHeight="1" x14ac:dyDescent="0.25">
      <c r="F153" s="178"/>
      <c r="G153" s="240" t="s">
        <v>226</v>
      </c>
      <c r="H153" s="240"/>
      <c r="I153" s="254" t="s">
        <v>59</v>
      </c>
      <c r="J153" s="241"/>
      <c r="K153" s="240" t="s">
        <v>202</v>
      </c>
      <c r="L153" s="241"/>
      <c r="M153" s="240" t="s">
        <v>203</v>
      </c>
      <c r="N153" s="241"/>
      <c r="O153" s="240" t="s">
        <v>60</v>
      </c>
      <c r="P153" s="241"/>
      <c r="Q153" s="240" t="s">
        <v>204</v>
      </c>
      <c r="R153" s="241"/>
      <c r="S153" s="240" t="s">
        <v>205</v>
      </c>
      <c r="T153" s="241"/>
      <c r="U153" s="240" t="s">
        <v>206</v>
      </c>
      <c r="V153" s="241"/>
      <c r="W153" s="240" t="s">
        <v>207</v>
      </c>
      <c r="X153" s="241"/>
      <c r="Y153" s="240" t="s">
        <v>208</v>
      </c>
      <c r="Z153" s="242"/>
    </row>
    <row r="154" spans="6:26" ht="15" customHeight="1" x14ac:dyDescent="0.25">
      <c r="F154" s="179" t="s">
        <v>134</v>
      </c>
      <c r="G154" s="103" t="s">
        <v>5</v>
      </c>
      <c r="H154" s="103" t="s">
        <v>6</v>
      </c>
      <c r="I154" s="103" t="s">
        <v>5</v>
      </c>
      <c r="J154" s="103" t="s">
        <v>6</v>
      </c>
      <c r="K154" s="103" t="s">
        <v>5</v>
      </c>
      <c r="L154" s="103" t="s">
        <v>6</v>
      </c>
      <c r="M154" s="103" t="s">
        <v>5</v>
      </c>
      <c r="N154" s="103" t="s">
        <v>6</v>
      </c>
      <c r="O154" s="103" t="s">
        <v>5</v>
      </c>
      <c r="P154" s="103" t="s">
        <v>6</v>
      </c>
      <c r="Q154" s="103" t="s">
        <v>5</v>
      </c>
      <c r="R154" s="103" t="s">
        <v>6</v>
      </c>
      <c r="S154" s="103" t="s">
        <v>5</v>
      </c>
      <c r="T154" s="103" t="s">
        <v>6</v>
      </c>
      <c r="U154" s="103" t="s">
        <v>5</v>
      </c>
      <c r="V154" s="103" t="s">
        <v>6</v>
      </c>
      <c r="W154" s="103" t="s">
        <v>5</v>
      </c>
      <c r="X154" s="103" t="s">
        <v>6</v>
      </c>
      <c r="Y154" s="103" t="s">
        <v>5</v>
      </c>
      <c r="Z154" s="104" t="s">
        <v>6</v>
      </c>
    </row>
    <row r="155" spans="6:26" ht="15" customHeight="1" x14ac:dyDescent="0.25">
      <c r="F155" s="127" t="s">
        <v>36</v>
      </c>
      <c r="G155" s="180" t="e">
        <f ca="1">_xll.BDP("USCS011 "&amp;LEFT(FRALink,LEN(FRALink)-FIND("/",FRALink))&amp;" curncy","bid")</f>
        <v>#NAME?</v>
      </c>
      <c r="H155" s="180" t="e">
        <f ca="1">_xll.BDP("USCS011 "&amp;LEFT(FRALink,LEN(FRALink)-FIND("/",FRALink))&amp;" curncy","ask")</f>
        <v>#NAME?</v>
      </c>
      <c r="I155" s="180" t="e">
        <f ca="1">_xll.BDP("USCS021 "&amp;LEFT(FRALink,LEN(FRALink)-FIND("/",FRALink))&amp;" curncy","bid")</f>
        <v>#NAME?</v>
      </c>
      <c r="J155" s="180" t="e">
        <f ca="1">_xll.BDP("USCS021 "&amp;LEFT(FRALink,LEN(FRALink)-FIND("/",FRALink))&amp;" curncy","ask")</f>
        <v>#NAME?</v>
      </c>
      <c r="K155" s="180" t="e">
        <f ca="1">_xll.BDP("USCS031 "&amp;LEFT(FRALink,LEN(FRALink)-FIND("/",FRALink))&amp;" curncy","bid")</f>
        <v>#NAME?</v>
      </c>
      <c r="L155" s="180" t="e">
        <f ca="1">_xll.BDP("USCS031 "&amp;LEFT(FRALink,LEN(FRALink)-FIND("/",FRALink))&amp;" curncy","ask")</f>
        <v>#NAME?</v>
      </c>
      <c r="M155" s="180" t="e">
        <f ca="1">_xll.BDP("USCS041 "&amp;LEFT(FRALink,LEN(FRALink)-FIND("/",FRALink))&amp;" curncy","bid")</f>
        <v>#NAME?</v>
      </c>
      <c r="N155" s="180" t="e">
        <f ca="1">_xll.BDP("USCS041 "&amp;LEFT(FRALink,LEN(FRALink)-FIND("/",FRALink))&amp;" curncy","ask")</f>
        <v>#NAME?</v>
      </c>
      <c r="O155" s="180" t="e">
        <f ca="1">_xll.BDP("USCS051 "&amp;LEFT(FRALink,LEN(FRALink)-FIND("/",FRALink))&amp;" curncy","bid")</f>
        <v>#NAME?</v>
      </c>
      <c r="P155" s="180" t="e">
        <f ca="1">_xll.BDP("USCS051 "&amp;LEFT(FRALink,LEN(FRALink)-FIND("/",FRALink))&amp;" curncy","ask")</f>
        <v>#NAME?</v>
      </c>
      <c r="Q155" s="180" t="e">
        <f ca="1">_xll.BDP("USCS061 "&amp;LEFT(FRALink,LEN(FRALink)-FIND("/",FRALink))&amp;" curncy","bid")</f>
        <v>#NAME?</v>
      </c>
      <c r="R155" s="180" t="e">
        <f ca="1">_xll.BDP("USCS061 "&amp;LEFT(FRALink,LEN(FRALink)-FIND("/",FRALink))&amp;" curncy","ask")</f>
        <v>#NAME?</v>
      </c>
      <c r="S155" s="180" t="e">
        <f ca="1">_xll.BDP("USCS071 "&amp;LEFT(FRALink,LEN(FRALink)-FIND("/",FRALink))&amp;" curncy","bid")</f>
        <v>#NAME?</v>
      </c>
      <c r="T155" s="180" t="e">
        <f ca="1">_xll.BDP("USCS071 "&amp;LEFT(FRALink,LEN(FRALink)-FIND("/",FRALink))&amp;" curncy","ask")</f>
        <v>#NAME?</v>
      </c>
      <c r="U155" s="180" t="e">
        <f ca="1">_xll.BDP("USCS081 "&amp;LEFT(FRALink,LEN(FRALink)-FIND("/",FRALink))&amp;" curncy","bid")</f>
        <v>#NAME?</v>
      </c>
      <c r="V155" s="180" t="e">
        <f ca="1">_xll.BDP("USCS081 "&amp;LEFT(FRALink,LEN(FRALink)-FIND("/",FRALink))&amp;" curncy","ask")</f>
        <v>#NAME?</v>
      </c>
      <c r="W155" s="180" t="e">
        <f ca="1">_xll.BDP("USCS091 "&amp;LEFT(FRALink,LEN(FRALink)-FIND("/",FRALink))&amp;" curncy","bid")</f>
        <v>#NAME?</v>
      </c>
      <c r="X155" s="180" t="e">
        <f ca="1">_xll.BDP("USCS091 "&amp;LEFT(FRALink,LEN(FRALink)-FIND("/",FRALink))&amp;" curncy","ask")</f>
        <v>#NAME?</v>
      </c>
      <c r="Y155" s="180" t="e">
        <f ca="1">_xll.BDP("USCS101 "&amp;LEFT(FRALink,LEN(FRALink)-FIND("/",FRALink))&amp;" curncy","bid")</f>
        <v>#NAME?</v>
      </c>
      <c r="Z155" s="181" t="e">
        <f ca="1">_xll.BDP("USCS101 "&amp;LEFT(FRALink,LEN(FRALink)-FIND("/",FRALink))&amp;" curncy","ask")</f>
        <v>#NAME?</v>
      </c>
    </row>
    <row r="156" spans="6:26" ht="15" customHeight="1" x14ac:dyDescent="0.25">
      <c r="F156" s="127" t="s">
        <v>37</v>
      </c>
      <c r="G156" s="182" t="e">
        <f ca="1">_xll.BDP("USCS012 "&amp;LEFT(FRALink,LEN(FRALink)-FIND("/",FRALink))&amp;" curncy","bid")</f>
        <v>#NAME?</v>
      </c>
      <c r="H156" s="182" t="e">
        <f ca="1">_xll.BDP("USCS012 "&amp;LEFT(FRALink,LEN(FRALink)-FIND("/",FRALink))&amp;" curncy","ask")</f>
        <v>#NAME?</v>
      </c>
      <c r="I156" s="182" t="e">
        <f ca="1">_xll.BDP("USCS022 "&amp;LEFT(FRALink,LEN(FRALink)-FIND("/",FRALink))&amp;" curncy","bid")</f>
        <v>#NAME?</v>
      </c>
      <c r="J156" s="182" t="e">
        <f ca="1">_xll.BDP("USCS022 "&amp;LEFT(FRALink,LEN(FRALink)-FIND("/",FRALink))&amp;" curncy","ask")</f>
        <v>#NAME?</v>
      </c>
      <c r="K156" s="182" t="e">
        <f ca="1">_xll.BDP("USCS032 "&amp;LEFT(FRALink,LEN(FRALink)-FIND("/",FRALink))&amp;" curncy","bid")</f>
        <v>#NAME?</v>
      </c>
      <c r="L156" s="182" t="e">
        <f ca="1">_xll.BDP("USCS032 "&amp;LEFT(FRALink,LEN(FRALink)-FIND("/",FRALink))&amp;" curncy","ask")</f>
        <v>#NAME?</v>
      </c>
      <c r="M156" s="182" t="e">
        <f ca="1">_xll.BDP("USCS042 "&amp;LEFT(FRALink,LEN(FRALink)-FIND("/",FRALink))&amp;" curncy","bid")</f>
        <v>#NAME?</v>
      </c>
      <c r="N156" s="182" t="e">
        <f ca="1">_xll.BDP("USCS042 "&amp;LEFT(FRALink,LEN(FRALink)-FIND("/",FRALink))&amp;" curncy","ask")</f>
        <v>#NAME?</v>
      </c>
      <c r="O156" s="182" t="e">
        <f ca="1">_xll.BDP("USCS052 "&amp;LEFT(FRALink,LEN(FRALink)-FIND("/",FRALink))&amp;" curncy","bid")</f>
        <v>#NAME?</v>
      </c>
      <c r="P156" s="182" t="e">
        <f ca="1">_xll.BDP("USCS052 "&amp;LEFT(FRALink,LEN(FRALink)-FIND("/",FRALink))&amp;" curncy","ask")</f>
        <v>#NAME?</v>
      </c>
      <c r="Q156" s="182" t="e">
        <f ca="1">_xll.BDP("USCS062 "&amp;LEFT(FRALink,LEN(FRALink)-FIND("/",FRALink))&amp;" curncy","bid")</f>
        <v>#NAME?</v>
      </c>
      <c r="R156" s="182" t="e">
        <f ca="1">_xll.BDP("USCS062 "&amp;LEFT(FRALink,LEN(FRALink)-FIND("/",FRALink))&amp;" curncy","ask")</f>
        <v>#NAME?</v>
      </c>
      <c r="S156" s="182" t="e">
        <f ca="1">_xll.BDP("USCS072 "&amp;LEFT(FRALink,LEN(FRALink)-FIND("/",FRALink))&amp;" curncy","bid")</f>
        <v>#NAME?</v>
      </c>
      <c r="T156" s="182" t="e">
        <f ca="1">_xll.BDP("USCS072 "&amp;LEFT(FRALink,LEN(FRALink)-FIND("/",FRALink))&amp;" curncy","ask")</f>
        <v>#NAME?</v>
      </c>
      <c r="U156" s="182" t="e">
        <f ca="1">_xll.BDP("USCS082 "&amp;LEFT(FRALink,LEN(FRALink)-FIND("/",FRALink))&amp;" curncy","bid")</f>
        <v>#NAME?</v>
      </c>
      <c r="V156" s="182" t="e">
        <f ca="1">_xll.BDP("USCS082 "&amp;LEFT(FRALink,LEN(FRALink)-FIND("/",FRALink))&amp;" curncy","ask")</f>
        <v>#NAME?</v>
      </c>
      <c r="W156" s="182" t="e">
        <f ca="1">_xll.BDP("USCS092 "&amp;LEFT(FRALink,LEN(FRALink)-FIND("/",FRALink))&amp;" curncy","bid")</f>
        <v>#NAME?</v>
      </c>
      <c r="X156" s="182" t="e">
        <f ca="1">_xll.BDP("USCS092 "&amp;LEFT(FRALink,LEN(FRALink)-FIND("/",FRALink))&amp;" curncy","ask")</f>
        <v>#NAME?</v>
      </c>
      <c r="Y156" s="182" t="e">
        <f ca="1">_xll.BDP("USCS102 "&amp;LEFT(FRALink,LEN(FRALink)-FIND("/",FRALink))&amp;" curncy","bid")</f>
        <v>#NAME?</v>
      </c>
      <c r="Z156" s="183" t="e">
        <f ca="1">_xll.BDP("USCS102 "&amp;LEFT(FRALink,LEN(FRALink)-FIND("/",FRALink))&amp;" curncy","ask")</f>
        <v>#NAME?</v>
      </c>
    </row>
    <row r="157" spans="6:26" ht="15" customHeight="1" x14ac:dyDescent="0.25">
      <c r="F157" s="127" t="s">
        <v>38</v>
      </c>
      <c r="G157" s="184" t="e">
        <f ca="1">_xll.BDP("USCS013 "&amp;LEFT(FRALink,LEN(FRALink)-FIND("/",FRALink))&amp;" curncy","bid")</f>
        <v>#NAME?</v>
      </c>
      <c r="H157" s="184" t="e">
        <f ca="1">_xll.BDP("USCS013 "&amp;LEFT(FRALink,LEN(FRALink)-FIND("/",FRALink))&amp;" curncy","ask")</f>
        <v>#NAME?</v>
      </c>
      <c r="I157" s="184" t="e">
        <f ca="1">_xll.BDP("USCS023 "&amp;LEFT(FRALink,LEN(FRALink)-FIND("/",FRALink))&amp;" curncy","bid")</f>
        <v>#NAME?</v>
      </c>
      <c r="J157" s="184" t="e">
        <f ca="1">_xll.BDP("USCS023 "&amp;LEFT(FRALink,LEN(FRALink)-FIND("/",FRALink))&amp;" curncy","ask")</f>
        <v>#NAME?</v>
      </c>
      <c r="K157" s="184" t="e">
        <f ca="1">_xll.BDP("USCS033 "&amp;LEFT(FRALink,LEN(FRALink)-FIND("/",FRALink))&amp;" curncy","bid")</f>
        <v>#NAME?</v>
      </c>
      <c r="L157" s="184" t="e">
        <f ca="1">_xll.BDP("USCS033 "&amp;LEFT(FRALink,LEN(FRALink)-FIND("/",FRALink))&amp;" curncy","ask")</f>
        <v>#NAME?</v>
      </c>
      <c r="M157" s="184" t="e">
        <f ca="1">_xll.BDP("USCS043 "&amp;LEFT(FRALink,LEN(FRALink)-FIND("/",FRALink))&amp;" curncy","bid")</f>
        <v>#NAME?</v>
      </c>
      <c r="N157" s="184" t="e">
        <f ca="1">_xll.BDP("USCS043 "&amp;LEFT(FRALink,LEN(FRALink)-FIND("/",FRALink))&amp;" curncy","ask")</f>
        <v>#NAME?</v>
      </c>
      <c r="O157" s="184" t="e">
        <f ca="1">_xll.BDP("USCS053 "&amp;LEFT(FRALink,LEN(FRALink)-FIND("/",FRALink))&amp;" curncy","bid")</f>
        <v>#NAME?</v>
      </c>
      <c r="P157" s="184" t="e">
        <f ca="1">_xll.BDP("USCS053 "&amp;LEFT(FRALink,LEN(FRALink)-FIND("/",FRALink))&amp;" curncy","ask")</f>
        <v>#NAME?</v>
      </c>
      <c r="Q157" s="184" t="e">
        <f ca="1">_xll.BDP("USCS063 "&amp;LEFT(FRALink,LEN(FRALink)-FIND("/",FRALink))&amp;" curncy","bid")</f>
        <v>#NAME?</v>
      </c>
      <c r="R157" s="184" t="e">
        <f ca="1">_xll.BDP("USCS063 "&amp;LEFT(FRALink,LEN(FRALink)-FIND("/",FRALink))&amp;" curncy","ask")</f>
        <v>#NAME?</v>
      </c>
      <c r="S157" s="184" t="e">
        <f ca="1">_xll.BDP("USCS073 "&amp;LEFT(FRALink,LEN(FRALink)-FIND("/",FRALink))&amp;" curncy","bid")</f>
        <v>#NAME?</v>
      </c>
      <c r="T157" s="184" t="e">
        <f ca="1">_xll.BDP("USCS073 "&amp;LEFT(FRALink,LEN(FRALink)-FIND("/",FRALink))&amp;" curncy","ask")</f>
        <v>#NAME?</v>
      </c>
      <c r="U157" s="184" t="e">
        <f ca="1">_xll.BDP("USCS083 "&amp;LEFT(FRALink,LEN(FRALink)-FIND("/",FRALink))&amp;" curncy","bid")</f>
        <v>#NAME?</v>
      </c>
      <c r="V157" s="184" t="e">
        <f ca="1">_xll.BDP("USCS083 "&amp;LEFT(FRALink,LEN(FRALink)-FIND("/",FRALink))&amp;" curncy","ask")</f>
        <v>#NAME?</v>
      </c>
      <c r="W157" s="184" t="e">
        <f ca="1">_xll.BDP("USCS093 "&amp;LEFT(FRALink,LEN(FRALink)-FIND("/",FRALink))&amp;" curncy","bid")</f>
        <v>#NAME?</v>
      </c>
      <c r="X157" s="184" t="e">
        <f ca="1">_xll.BDP("USCS093 "&amp;LEFT(FRALink,LEN(FRALink)-FIND("/",FRALink))&amp;" curncy","ask")</f>
        <v>#NAME?</v>
      </c>
      <c r="Y157" s="184" t="e">
        <f ca="1">_xll.BDP("USCS103 "&amp;LEFT(FRALink,LEN(FRALink)-FIND("/",FRALink))&amp;" curncy","bid")</f>
        <v>#NAME?</v>
      </c>
      <c r="Z157" s="185" t="e">
        <f ca="1">_xll.BDP("USCS103 "&amp;LEFT(FRALink,LEN(FRALink)-FIND("/",FRALink))&amp;" curncy","ask")</f>
        <v>#NAME?</v>
      </c>
    </row>
    <row r="158" spans="6:26" ht="15" customHeight="1" x14ac:dyDescent="0.25">
      <c r="F158" s="127" t="s">
        <v>39</v>
      </c>
      <c r="G158" s="182" t="e">
        <f ca="1">_xll.BDP("USCS014 "&amp;LEFT(FRALink,LEN(FRALink)-FIND("/",FRALink))&amp;" curncy","bid")</f>
        <v>#NAME?</v>
      </c>
      <c r="H158" s="182" t="e">
        <f ca="1">_xll.BDP("USCS014 "&amp;LEFT(FRALink,LEN(FRALink)-FIND("/",FRALink))&amp;" curncy","ask")</f>
        <v>#NAME?</v>
      </c>
      <c r="I158" s="182" t="e">
        <f ca="1">_xll.BDP("USCS024 "&amp;LEFT(FRALink,LEN(FRALink)-FIND("/",FRALink))&amp;" curncy","bid")</f>
        <v>#NAME?</v>
      </c>
      <c r="J158" s="182" t="e">
        <f ca="1">_xll.BDP("USCS024 "&amp;LEFT(FRALink,LEN(FRALink)-FIND("/",FRALink))&amp;" curncy","ask")</f>
        <v>#NAME?</v>
      </c>
      <c r="K158" s="182" t="e">
        <f ca="1">_xll.BDP("USCS034 "&amp;LEFT(FRALink,LEN(FRALink)-FIND("/",FRALink))&amp;" curncy","bid")</f>
        <v>#NAME?</v>
      </c>
      <c r="L158" s="182" t="e">
        <f ca="1">_xll.BDP("USCS034 "&amp;LEFT(FRALink,LEN(FRALink)-FIND("/",FRALink))&amp;" curncy","ask")</f>
        <v>#NAME?</v>
      </c>
      <c r="M158" s="182" t="e">
        <f ca="1">_xll.BDP("USCS044 "&amp;LEFT(FRALink,LEN(FRALink)-FIND("/",FRALink))&amp;" curncy","bid")</f>
        <v>#NAME?</v>
      </c>
      <c r="N158" s="182" t="e">
        <f ca="1">_xll.BDP("USCS044 "&amp;LEFT(FRALink,LEN(FRALink)-FIND("/",FRALink))&amp;" curncy","ask")</f>
        <v>#NAME?</v>
      </c>
      <c r="O158" s="182" t="e">
        <f ca="1">_xll.BDP("USCS054 "&amp;LEFT(FRALink,LEN(FRALink)-FIND("/",FRALink))&amp;" curncy","bid")</f>
        <v>#NAME?</v>
      </c>
      <c r="P158" s="182" t="e">
        <f ca="1">_xll.BDP("USCS054 "&amp;LEFT(FRALink,LEN(FRALink)-FIND("/",FRALink))&amp;" curncy","ask")</f>
        <v>#NAME?</v>
      </c>
      <c r="Q158" s="182" t="e">
        <f ca="1">_xll.BDP("USCS064 "&amp;LEFT(FRALink,LEN(FRALink)-FIND("/",FRALink))&amp;" curncy","bid")</f>
        <v>#NAME?</v>
      </c>
      <c r="R158" s="182" t="e">
        <f ca="1">_xll.BDP("USCS064 "&amp;LEFT(FRALink,LEN(FRALink)-FIND("/",FRALink))&amp;" curncy","ask")</f>
        <v>#NAME?</v>
      </c>
      <c r="S158" s="182" t="e">
        <f ca="1">_xll.BDP("USCS074 "&amp;LEFT(FRALink,LEN(FRALink)-FIND("/",FRALink))&amp;" curncy","bid")</f>
        <v>#NAME?</v>
      </c>
      <c r="T158" s="182" t="e">
        <f ca="1">_xll.BDP("USCS074 "&amp;LEFT(FRALink,LEN(FRALink)-FIND("/",FRALink))&amp;" curncy","ask")</f>
        <v>#NAME?</v>
      </c>
      <c r="U158" s="182" t="e">
        <f ca="1">_xll.BDP("USCS084 "&amp;LEFT(FRALink,LEN(FRALink)-FIND("/",FRALink))&amp;" curncy","bid")</f>
        <v>#NAME?</v>
      </c>
      <c r="V158" s="182" t="e">
        <f ca="1">_xll.BDP("USCS084 "&amp;LEFT(FRALink,LEN(FRALink)-FIND("/",FRALink))&amp;" curncy","ask")</f>
        <v>#NAME?</v>
      </c>
      <c r="W158" s="182" t="e">
        <f ca="1">_xll.BDP("USCS094 "&amp;LEFT(FRALink,LEN(FRALink)-FIND("/",FRALink))&amp;" curncy","bid")</f>
        <v>#NAME?</v>
      </c>
      <c r="X158" s="182" t="e">
        <f ca="1">_xll.BDP("USCS094 "&amp;LEFT(FRALink,LEN(FRALink)-FIND("/",FRALink))&amp;" curncy","ask")</f>
        <v>#NAME?</v>
      </c>
      <c r="Y158" s="182" t="e">
        <f ca="1">_xll.BDP("USCS104 "&amp;LEFT(FRALink,LEN(FRALink)-FIND("/",FRALink))&amp;" curncy","bid")</f>
        <v>#NAME?</v>
      </c>
      <c r="Z158" s="183" t="e">
        <f ca="1">_xll.BDP("USCS104 "&amp;LEFT(FRALink,LEN(FRALink)-FIND("/",FRALink))&amp;" curncy","ask")</f>
        <v>#NAME?</v>
      </c>
    </row>
    <row r="159" spans="6:26" ht="15" customHeight="1" x14ac:dyDescent="0.25">
      <c r="F159" s="127" t="s">
        <v>40</v>
      </c>
      <c r="G159" s="184" t="e">
        <f ca="1">_xll.BDP("USCS015 "&amp;LEFT(FRALink,LEN(FRALink)-FIND("/",FRALink))&amp;" curncy","bid")</f>
        <v>#NAME?</v>
      </c>
      <c r="H159" s="184" t="e">
        <f ca="1">_xll.BDP("USCS015 "&amp;LEFT(FRALink,LEN(FRALink)-FIND("/",FRALink))&amp;" curncy","ask")</f>
        <v>#NAME?</v>
      </c>
      <c r="I159" s="184" t="e">
        <f ca="1">_xll.BDP("USCS025 "&amp;LEFT(FRALink,LEN(FRALink)-FIND("/",FRALink))&amp;" curncy","bid")</f>
        <v>#NAME?</v>
      </c>
      <c r="J159" s="184" t="e">
        <f ca="1">_xll.BDP("USCS025 "&amp;LEFT(FRALink,LEN(FRALink)-FIND("/",FRALink))&amp;" curncy","ask")</f>
        <v>#NAME?</v>
      </c>
      <c r="K159" s="184" t="e">
        <f ca="1">_xll.BDP("USCS035 "&amp;LEFT(FRALink,LEN(FRALink)-FIND("/",FRALink))&amp;" curncy","bid")</f>
        <v>#NAME?</v>
      </c>
      <c r="L159" s="184" t="e">
        <f ca="1">_xll.BDP("USCS035 "&amp;LEFT(FRALink,LEN(FRALink)-FIND("/",FRALink))&amp;" curncy","ask")</f>
        <v>#NAME?</v>
      </c>
      <c r="M159" s="184" t="e">
        <f ca="1">_xll.BDP("USCS045 "&amp;LEFT(FRALink,LEN(FRALink)-FIND("/",FRALink))&amp;" curncy","bid")</f>
        <v>#NAME?</v>
      </c>
      <c r="N159" s="184" t="e">
        <f ca="1">_xll.BDP("USCS045 "&amp;LEFT(FRALink,LEN(FRALink)-FIND("/",FRALink))&amp;" curncy","ask")</f>
        <v>#NAME?</v>
      </c>
      <c r="O159" s="184" t="e">
        <f ca="1">_xll.BDP("USCS055 "&amp;LEFT(FRALink,LEN(FRALink)-FIND("/",FRALink))&amp;" curncy","bid")</f>
        <v>#NAME?</v>
      </c>
      <c r="P159" s="184" t="e">
        <f ca="1">_xll.BDP("USCS055 "&amp;LEFT(FRALink,LEN(FRALink)-FIND("/",FRALink))&amp;" curncy","ask")</f>
        <v>#NAME?</v>
      </c>
      <c r="Q159" s="184" t="e">
        <f ca="1">_xll.BDP("USCS065 "&amp;LEFT(FRALink,LEN(FRALink)-FIND("/",FRALink))&amp;" curncy","bid")</f>
        <v>#NAME?</v>
      </c>
      <c r="R159" s="184" t="e">
        <f ca="1">_xll.BDP("USCS065 "&amp;LEFT(FRALink,LEN(FRALink)-FIND("/",FRALink))&amp;" curncy","ask")</f>
        <v>#NAME?</v>
      </c>
      <c r="S159" s="184" t="e">
        <f ca="1">_xll.BDP("USCS075 "&amp;LEFT(FRALink,LEN(FRALink)-FIND("/",FRALink))&amp;" curncy","bid")</f>
        <v>#NAME?</v>
      </c>
      <c r="T159" s="184" t="e">
        <f ca="1">_xll.BDP("USCS075 "&amp;LEFT(FRALink,LEN(FRALink)-FIND("/",FRALink))&amp;" curncy","ask")</f>
        <v>#NAME?</v>
      </c>
      <c r="U159" s="184" t="e">
        <f ca="1">_xll.BDP("USCS085 "&amp;LEFT(FRALink,LEN(FRALink)-FIND("/",FRALink))&amp;" curncy","bid")</f>
        <v>#NAME?</v>
      </c>
      <c r="V159" s="184" t="e">
        <f ca="1">_xll.BDP("USCS085 "&amp;LEFT(FRALink,LEN(FRALink)-FIND("/",FRALink))&amp;" curncy","ask")</f>
        <v>#NAME?</v>
      </c>
      <c r="W159" s="184" t="e">
        <f ca="1">_xll.BDP("USCS095 "&amp;LEFT(FRALink,LEN(FRALink)-FIND("/",FRALink))&amp;" curncy","bid")</f>
        <v>#NAME?</v>
      </c>
      <c r="X159" s="184" t="e">
        <f ca="1">_xll.BDP("USCS095 "&amp;LEFT(FRALink,LEN(FRALink)-FIND("/",FRALink))&amp;" curncy","ask")</f>
        <v>#NAME?</v>
      </c>
      <c r="Y159" s="184" t="e">
        <f ca="1">_xll.BDP("USCS105 "&amp;LEFT(FRALink,LEN(FRALink)-FIND("/",FRALink))&amp;" curncy","bid")</f>
        <v>#NAME?</v>
      </c>
      <c r="Z159" s="185" t="e">
        <f ca="1">_xll.BDP("USCS105 "&amp;LEFT(FRALink,LEN(FRALink)-FIND("/",FRALink))&amp;" curncy","ask")</f>
        <v>#NAME?</v>
      </c>
    </row>
    <row r="160" spans="6:26" ht="15" customHeight="1" x14ac:dyDescent="0.25">
      <c r="F160" s="127" t="s">
        <v>227</v>
      </c>
      <c r="G160" s="182" t="e">
        <f ca="1">_xll.BDP("USCS016 "&amp;LEFT(FRALink,LEN(FRALink)-FIND("/",FRALink))&amp;" curncy","bid")</f>
        <v>#NAME?</v>
      </c>
      <c r="H160" s="182" t="e">
        <f ca="1">_xll.BDP("USCS016 "&amp;LEFT(FRALink,LEN(FRALink)-FIND("/",FRALink))&amp;" curncy","ask")</f>
        <v>#NAME?</v>
      </c>
      <c r="I160" s="182" t="e">
        <f ca="1">_xll.BDP("USCS026 "&amp;LEFT(FRALink,LEN(FRALink)-FIND("/",FRALink))&amp;" curncy","bid")</f>
        <v>#NAME?</v>
      </c>
      <c r="J160" s="182" t="e">
        <f ca="1">_xll.BDP("USCS026 "&amp;LEFT(FRALink,LEN(FRALink)-FIND("/",FRALink))&amp;" curncy","ask")</f>
        <v>#NAME?</v>
      </c>
      <c r="K160" s="182" t="e">
        <f ca="1">_xll.BDP("USCS036 "&amp;LEFT(FRALink,LEN(FRALink)-FIND("/",FRALink))&amp;" curncy","bid")</f>
        <v>#NAME?</v>
      </c>
      <c r="L160" s="182" t="e">
        <f ca="1">_xll.BDP("USCS036 "&amp;LEFT(FRALink,LEN(FRALink)-FIND("/",FRALink))&amp;" curncy","ask")</f>
        <v>#NAME?</v>
      </c>
      <c r="M160" s="182" t="e">
        <f ca="1">_xll.BDP("USCS046 "&amp;LEFT(FRALink,LEN(FRALink)-FIND("/",FRALink))&amp;" curncy","bid")</f>
        <v>#NAME?</v>
      </c>
      <c r="N160" s="182" t="e">
        <f ca="1">_xll.BDP("USCS046 "&amp;LEFT(FRALink,LEN(FRALink)-FIND("/",FRALink))&amp;" curncy","ask")</f>
        <v>#NAME?</v>
      </c>
      <c r="O160" s="182" t="e">
        <f ca="1">_xll.BDP("USCS056 "&amp;LEFT(FRALink,LEN(FRALink)-FIND("/",FRALink))&amp;" curncy","bid")</f>
        <v>#NAME?</v>
      </c>
      <c r="P160" s="182" t="e">
        <f ca="1">_xll.BDP("USCS056 "&amp;LEFT(FRALink,LEN(FRALink)-FIND("/",FRALink))&amp;" curncy","ask")</f>
        <v>#NAME?</v>
      </c>
      <c r="Q160" s="182" t="e">
        <f ca="1">_xll.BDP("USCS066 "&amp;LEFT(FRALink,LEN(FRALink)-FIND("/",FRALink))&amp;" curncy","bid")</f>
        <v>#NAME?</v>
      </c>
      <c r="R160" s="182" t="e">
        <f ca="1">_xll.BDP("USCS066 "&amp;LEFT(FRALink,LEN(FRALink)-FIND("/",FRALink))&amp;" curncy","ask")</f>
        <v>#NAME?</v>
      </c>
      <c r="S160" s="182" t="e">
        <f ca="1">_xll.BDP("USCS076 "&amp;LEFT(FRALink,LEN(FRALink)-FIND("/",FRALink))&amp;" curncy","bid")</f>
        <v>#NAME?</v>
      </c>
      <c r="T160" s="182" t="e">
        <f ca="1">_xll.BDP("USCS076 "&amp;LEFT(FRALink,LEN(FRALink)-FIND("/",FRALink))&amp;" curncy","ask")</f>
        <v>#NAME?</v>
      </c>
      <c r="U160" s="182" t="e">
        <f ca="1">_xll.BDP("USCS086 "&amp;LEFT(FRALink,LEN(FRALink)-FIND("/",FRALink))&amp;" curncy","bid")</f>
        <v>#NAME?</v>
      </c>
      <c r="V160" s="182" t="e">
        <f ca="1">_xll.BDP("USCS086 "&amp;LEFT(FRALink,LEN(FRALink)-FIND("/",FRALink))&amp;" curncy","ask")</f>
        <v>#NAME?</v>
      </c>
      <c r="W160" s="182" t="e">
        <f ca="1">_xll.BDP("USCS096 "&amp;LEFT(FRALink,LEN(FRALink)-FIND("/",FRALink))&amp;" curncy","bid")</f>
        <v>#NAME?</v>
      </c>
      <c r="X160" s="182" t="e">
        <f ca="1">_xll.BDP("USCS096 "&amp;LEFT(FRALink,LEN(FRALink)-FIND("/",FRALink))&amp;" curncy","ask")</f>
        <v>#NAME?</v>
      </c>
      <c r="Y160" s="182" t="e">
        <f ca="1">_xll.BDP("USCS106 "&amp;LEFT(FRALink,LEN(FRALink)-FIND("/",FRALink))&amp;" curncy","bid")</f>
        <v>#NAME?</v>
      </c>
      <c r="Z160" s="183" t="e">
        <f ca="1">_xll.BDP("USCS106 "&amp;LEFT(FRALink,LEN(FRALink)-FIND("/",FRALink))&amp;" curncy","ask")</f>
        <v>#NAME?</v>
      </c>
    </row>
    <row r="161" spans="6:26" ht="15" customHeight="1" x14ac:dyDescent="0.25">
      <c r="F161" s="127" t="s">
        <v>41</v>
      </c>
      <c r="G161" s="184" t="e">
        <f ca="1">_xll.BDP("USCS017 "&amp;LEFT(FRALink,LEN(FRALink)-FIND("/",FRALink))&amp;" curncy","bid")</f>
        <v>#NAME?</v>
      </c>
      <c r="H161" s="184" t="e">
        <f ca="1">_xll.BDP("USCS017 "&amp;LEFT(FRALink,LEN(FRALink)-FIND("/",FRALink))&amp;" curncy","ask")</f>
        <v>#NAME?</v>
      </c>
      <c r="I161" s="184" t="e">
        <f ca="1">_xll.BDP("USCS027 "&amp;LEFT(FRALink,LEN(FRALink)-FIND("/",FRALink))&amp;" curncy","bid")</f>
        <v>#NAME?</v>
      </c>
      <c r="J161" s="184" t="e">
        <f ca="1">_xll.BDP("USCS027 "&amp;LEFT(FRALink,LEN(FRALink)-FIND("/",FRALink))&amp;" curncy","ask")</f>
        <v>#NAME?</v>
      </c>
      <c r="K161" s="184" t="e">
        <f ca="1">_xll.BDP("USCS037 "&amp;LEFT(FRALink,LEN(FRALink)-FIND("/",FRALink))&amp;" curncy","bid")</f>
        <v>#NAME?</v>
      </c>
      <c r="L161" s="184" t="e">
        <f ca="1">_xll.BDP("USCS037 "&amp;LEFT(FRALink,LEN(FRALink)-FIND("/",FRALink))&amp;" curncy","ask")</f>
        <v>#NAME?</v>
      </c>
      <c r="M161" s="184" t="e">
        <f ca="1">_xll.BDP("USCS047 "&amp;LEFT(FRALink,LEN(FRALink)-FIND("/",FRALink))&amp;" curncy","bid")</f>
        <v>#NAME?</v>
      </c>
      <c r="N161" s="184" t="e">
        <f ca="1">_xll.BDP("USCS047 "&amp;LEFT(FRALink,LEN(FRALink)-FIND("/",FRALink))&amp;" curncy","ask")</f>
        <v>#NAME?</v>
      </c>
      <c r="O161" s="184" t="e">
        <f ca="1">_xll.BDP("USCS057 "&amp;LEFT(FRALink,LEN(FRALink)-FIND("/",FRALink))&amp;" curncy","bid")</f>
        <v>#NAME?</v>
      </c>
      <c r="P161" s="184" t="e">
        <f ca="1">_xll.BDP("USCS057 "&amp;LEFT(FRALink,LEN(FRALink)-FIND("/",FRALink))&amp;" curncy","ask")</f>
        <v>#NAME?</v>
      </c>
      <c r="Q161" s="184" t="e">
        <f ca="1">_xll.BDP("USCS067 "&amp;LEFT(FRALink,LEN(FRALink)-FIND("/",FRALink))&amp;" curncy","bid")</f>
        <v>#NAME?</v>
      </c>
      <c r="R161" s="184" t="e">
        <f ca="1">_xll.BDP("USCS067 "&amp;LEFT(FRALink,LEN(FRALink)-FIND("/",FRALink))&amp;" curncy","ask")</f>
        <v>#NAME?</v>
      </c>
      <c r="S161" s="184" t="e">
        <f ca="1">_xll.BDP("USCS077 "&amp;LEFT(FRALink,LEN(FRALink)-FIND("/",FRALink))&amp;" curncy","bid")</f>
        <v>#NAME?</v>
      </c>
      <c r="T161" s="184" t="e">
        <f ca="1">_xll.BDP("USCS077 "&amp;LEFT(FRALink,LEN(FRALink)-FIND("/",FRALink))&amp;" curncy","ask")</f>
        <v>#NAME?</v>
      </c>
      <c r="U161" s="184" t="e">
        <f ca="1">_xll.BDP("USCS087 "&amp;LEFT(FRALink,LEN(FRALink)-FIND("/",FRALink))&amp;" curncy","bid")</f>
        <v>#NAME?</v>
      </c>
      <c r="V161" s="184" t="e">
        <f ca="1">_xll.BDP("USCS087 "&amp;LEFT(FRALink,LEN(FRALink)-FIND("/",FRALink))&amp;" curncy","ask")</f>
        <v>#NAME?</v>
      </c>
      <c r="W161" s="184" t="e">
        <f ca="1">_xll.BDP("USCS097 "&amp;LEFT(FRALink,LEN(FRALink)-FIND("/",FRALink))&amp;" curncy","bid")</f>
        <v>#NAME?</v>
      </c>
      <c r="X161" s="184" t="e">
        <f ca="1">_xll.BDP("USCS097 "&amp;LEFT(FRALink,LEN(FRALink)-FIND("/",FRALink))&amp;" curncy","ask")</f>
        <v>#NAME?</v>
      </c>
      <c r="Y161" s="184" t="e">
        <f ca="1">_xll.BDP("USCS107 "&amp;LEFT(FRALink,LEN(FRALink)-FIND("/",FRALink))&amp;" curncy","bid")</f>
        <v>#NAME?</v>
      </c>
      <c r="Z161" s="185" t="e">
        <f ca="1">_xll.BDP("USCS107 "&amp;LEFT(FRALink,LEN(FRALink)-FIND("/",FRALink))&amp;" curncy","ask")</f>
        <v>#NAME?</v>
      </c>
    </row>
    <row r="162" spans="6:26" ht="15" customHeight="1" x14ac:dyDescent="0.25">
      <c r="F162" s="127" t="s">
        <v>228</v>
      </c>
      <c r="G162" s="182" t="e">
        <f ca="1">_xll.BDP("USCS018 "&amp;LEFT(FRALink,LEN(FRALink)-FIND("/",FRALink))&amp;" curncy","bid")</f>
        <v>#NAME?</v>
      </c>
      <c r="H162" s="182" t="e">
        <f ca="1">_xll.BDP("USCS018 "&amp;LEFT(FRALink,LEN(FRALink)-FIND("/",FRALink))&amp;" curncy","ask")</f>
        <v>#NAME?</v>
      </c>
      <c r="I162" s="182" t="e">
        <f ca="1">_xll.BDP("USCS028 "&amp;LEFT(FRALink,LEN(FRALink)-FIND("/",FRALink))&amp;" curncy","bid")</f>
        <v>#NAME?</v>
      </c>
      <c r="J162" s="182" t="e">
        <f ca="1">_xll.BDP("USCS028 "&amp;LEFT(FRALink,LEN(FRALink)-FIND("/",FRALink))&amp;" curncy","ask")</f>
        <v>#NAME?</v>
      </c>
      <c r="K162" s="182" t="e">
        <f ca="1">_xll.BDP("USCS038 "&amp;LEFT(FRALink,LEN(FRALink)-FIND("/",FRALink))&amp;" curncy","bid")</f>
        <v>#NAME?</v>
      </c>
      <c r="L162" s="182" t="e">
        <f ca="1">_xll.BDP("USCS038 "&amp;LEFT(FRALink,LEN(FRALink)-FIND("/",FRALink))&amp;" curncy","ask")</f>
        <v>#NAME?</v>
      </c>
      <c r="M162" s="182" t="e">
        <f ca="1">_xll.BDP("USCS048 "&amp;LEFT(FRALink,LEN(FRALink)-FIND("/",FRALink))&amp;" curncy","bid")</f>
        <v>#NAME?</v>
      </c>
      <c r="N162" s="182" t="e">
        <f ca="1">_xll.BDP("USCS048 "&amp;LEFT(FRALink,LEN(FRALink)-FIND("/",FRALink))&amp;" curncy","ask")</f>
        <v>#NAME?</v>
      </c>
      <c r="O162" s="182" t="e">
        <f ca="1">_xll.BDP("USCS058 "&amp;LEFT(FRALink,LEN(FRALink)-FIND("/",FRALink))&amp;" curncy","bid")</f>
        <v>#NAME?</v>
      </c>
      <c r="P162" s="182" t="e">
        <f ca="1">_xll.BDP("USCS058 "&amp;LEFT(FRALink,LEN(FRALink)-FIND("/",FRALink))&amp;" curncy","ask")</f>
        <v>#NAME?</v>
      </c>
      <c r="Q162" s="182" t="e">
        <f ca="1">_xll.BDP("USCS068 "&amp;LEFT(FRALink,LEN(FRALink)-FIND("/",FRALink))&amp;" curncy","bid")</f>
        <v>#NAME?</v>
      </c>
      <c r="R162" s="182" t="e">
        <f ca="1">_xll.BDP("USCS068 "&amp;LEFT(FRALink,LEN(FRALink)-FIND("/",FRALink))&amp;" curncy","ask")</f>
        <v>#NAME?</v>
      </c>
      <c r="S162" s="182" t="e">
        <f ca="1">_xll.BDP("USCS078 "&amp;LEFT(FRALink,LEN(FRALink)-FIND("/",FRALink))&amp;" curncy","bid")</f>
        <v>#NAME?</v>
      </c>
      <c r="T162" s="182" t="e">
        <f ca="1">_xll.BDP("USCS078 "&amp;LEFT(FRALink,LEN(FRALink)-FIND("/",FRALink))&amp;" curncy","ask")</f>
        <v>#NAME?</v>
      </c>
      <c r="U162" s="182" t="e">
        <f ca="1">_xll.BDP("USCS088 "&amp;LEFT(FRALink,LEN(FRALink)-FIND("/",FRALink))&amp;" curncy","bid")</f>
        <v>#NAME?</v>
      </c>
      <c r="V162" s="182" t="e">
        <f ca="1">_xll.BDP("USCS088 "&amp;LEFT(FRALink,LEN(FRALink)-FIND("/",FRALink))&amp;" curncy","ask")</f>
        <v>#NAME?</v>
      </c>
      <c r="W162" s="182" t="e">
        <f ca="1">_xll.BDP("USCS098 "&amp;LEFT(FRALink,LEN(FRALink)-FIND("/",FRALink))&amp;" curncy","bid")</f>
        <v>#NAME?</v>
      </c>
      <c r="X162" s="182" t="e">
        <f ca="1">_xll.BDP("USCS098 "&amp;LEFT(FRALink,LEN(FRALink)-FIND("/",FRALink))&amp;" curncy","ask")</f>
        <v>#NAME?</v>
      </c>
      <c r="Y162" s="182" t="e">
        <f ca="1">_xll.BDP("USCS108 "&amp;LEFT(FRALink,LEN(FRALink)-FIND("/",FRALink))&amp;" curncy","bid")</f>
        <v>#NAME?</v>
      </c>
      <c r="Z162" s="183" t="e">
        <f ca="1">_xll.BDP("USCS108 "&amp;LEFT(FRALink,LEN(FRALink)-FIND("/",FRALink))&amp;" curncy","ask")</f>
        <v>#NAME?</v>
      </c>
    </row>
    <row r="163" spans="6:26" ht="15" customHeight="1" x14ac:dyDescent="0.25">
      <c r="F163" s="127" t="s">
        <v>229</v>
      </c>
      <c r="G163" s="184" t="e">
        <f ca="1">_xll.BDP("USCS019 "&amp;LEFT(FRALink,LEN(FRALink)-FIND("/",FRALink))&amp;" curncy","bid")</f>
        <v>#NAME?</v>
      </c>
      <c r="H163" s="184" t="e">
        <f ca="1">_xll.BDP("USCS019 "&amp;LEFT(FRALink,LEN(FRALink)-FIND("/",FRALink))&amp;" curncy","ask")</f>
        <v>#NAME?</v>
      </c>
      <c r="I163" s="184" t="e">
        <f ca="1">_xll.BDP("USCS029 "&amp;LEFT(FRALink,LEN(FRALink)-FIND("/",FRALink))&amp;" curncy","bid")</f>
        <v>#NAME?</v>
      </c>
      <c r="J163" s="184" t="e">
        <f ca="1">_xll.BDP("USCS029 "&amp;LEFT(FRALink,LEN(FRALink)-FIND("/",FRALink))&amp;" curncy","ask")</f>
        <v>#NAME?</v>
      </c>
      <c r="K163" s="184" t="e">
        <f ca="1">_xll.BDP("USCS039 "&amp;LEFT(FRALink,LEN(FRALink)-FIND("/",FRALink))&amp;" curncy","bid")</f>
        <v>#NAME?</v>
      </c>
      <c r="L163" s="184" t="e">
        <f ca="1">_xll.BDP("USCS039 "&amp;LEFT(FRALink,LEN(FRALink)-FIND("/",FRALink))&amp;" curncy","ask")</f>
        <v>#NAME?</v>
      </c>
      <c r="M163" s="184" t="e">
        <f ca="1">_xll.BDP("USCS049 "&amp;LEFT(FRALink,LEN(FRALink)-FIND("/",FRALink))&amp;" curncy","bid")</f>
        <v>#NAME?</v>
      </c>
      <c r="N163" s="184" t="e">
        <f ca="1">_xll.BDP("USCS049 "&amp;LEFT(FRALink,LEN(FRALink)-FIND("/",FRALink))&amp;" curncy","ask")</f>
        <v>#NAME?</v>
      </c>
      <c r="O163" s="184" t="e">
        <f ca="1">_xll.BDP("USCS059 "&amp;LEFT(FRALink,LEN(FRALink)-FIND("/",FRALink))&amp;" curncy","bid")</f>
        <v>#NAME?</v>
      </c>
      <c r="P163" s="184" t="e">
        <f ca="1">_xll.BDP("USCS059 "&amp;LEFT(FRALink,LEN(FRALink)-FIND("/",FRALink))&amp;" curncy","ask")</f>
        <v>#NAME?</v>
      </c>
      <c r="Q163" s="184" t="e">
        <f ca="1">_xll.BDP("USCS069 "&amp;LEFT(FRALink,LEN(FRALink)-FIND("/",FRALink))&amp;" curncy","bid")</f>
        <v>#NAME?</v>
      </c>
      <c r="R163" s="184" t="e">
        <f ca="1">_xll.BDP("USCS069 "&amp;LEFT(FRALink,LEN(FRALink)-FIND("/",FRALink))&amp;" curncy","ask")</f>
        <v>#NAME?</v>
      </c>
      <c r="S163" s="184" t="e">
        <f ca="1">_xll.BDP("USCS079 "&amp;LEFT(FRALink,LEN(FRALink)-FIND("/",FRALink))&amp;" curncy","bid")</f>
        <v>#NAME?</v>
      </c>
      <c r="T163" s="184" t="e">
        <f ca="1">_xll.BDP("USCS079 "&amp;LEFT(FRALink,LEN(FRALink)-FIND("/",FRALink))&amp;" curncy","ask")</f>
        <v>#NAME?</v>
      </c>
      <c r="U163" s="184" t="e">
        <f ca="1">_xll.BDP("USCS089 "&amp;LEFT(FRALink,LEN(FRALink)-FIND("/",FRALink))&amp;" curncy","bid")</f>
        <v>#NAME?</v>
      </c>
      <c r="V163" s="184" t="e">
        <f ca="1">_xll.BDP("USCS089 "&amp;LEFT(FRALink,LEN(FRALink)-FIND("/",FRALink))&amp;" curncy","ask")</f>
        <v>#NAME?</v>
      </c>
      <c r="W163" s="184" t="e">
        <f ca="1">_xll.BDP("USCS099 "&amp;LEFT(FRALink,LEN(FRALink)-FIND("/",FRALink))&amp;" curncy","bid")</f>
        <v>#NAME?</v>
      </c>
      <c r="X163" s="184" t="e">
        <f ca="1">_xll.BDP("USCS099 "&amp;LEFT(FRALink,LEN(FRALink)-FIND("/",FRALink))&amp;" curncy","ask")</f>
        <v>#NAME?</v>
      </c>
      <c r="Y163" s="184" t="e">
        <f ca="1">_xll.BDP("USCS109 "&amp;LEFT(FRALink,LEN(FRALink)-FIND("/",FRALink))&amp;" curncy","bid")</f>
        <v>#NAME?</v>
      </c>
      <c r="Z163" s="185" t="e">
        <f ca="1">_xll.BDP("USCS109 "&amp;LEFT(FRALink,LEN(FRALink)-FIND("/",FRALink))&amp;" curncy","ask")</f>
        <v>#NAME?</v>
      </c>
    </row>
    <row r="164" spans="6:26" ht="15" customHeight="1" x14ac:dyDescent="0.25">
      <c r="F164" s="132" t="s">
        <v>42</v>
      </c>
      <c r="G164" s="186" t="e">
        <f ca="1">_xll.BDP("USCS0110 "&amp;LEFT(FRALink,LEN(FRALink)-FIND("/",FRALink))&amp;" curncy","bid")</f>
        <v>#NAME?</v>
      </c>
      <c r="H164" s="186" t="e">
        <f ca="1">_xll.BDP("USCS0110 "&amp;LEFT(FRALink,LEN(FRALink)-FIND("/",FRALink))&amp;" curncy","ask")</f>
        <v>#NAME?</v>
      </c>
      <c r="I164" s="186" t="e">
        <f ca="1">_xll.BDP("USCS0210 "&amp;LEFT(FRALink,LEN(FRALink)-FIND("/",FRALink))&amp;" curncy","bid")</f>
        <v>#NAME?</v>
      </c>
      <c r="J164" s="186" t="e">
        <f ca="1">_xll.BDP("USCS0210 "&amp;LEFT(FRALink,LEN(FRALink)-FIND("/",FRALink))&amp;" curncy","ask")</f>
        <v>#NAME?</v>
      </c>
      <c r="K164" s="186" t="e">
        <f ca="1">_xll.BDP("USCS0310 "&amp;LEFT(FRALink,LEN(FRALink)-FIND("/",FRALink))&amp;" curncy","bid")</f>
        <v>#NAME?</v>
      </c>
      <c r="L164" s="186" t="e">
        <f ca="1">_xll.BDP("USCS0310 "&amp;LEFT(FRALink,LEN(FRALink)-FIND("/",FRALink))&amp;" curncy","ask")</f>
        <v>#NAME?</v>
      </c>
      <c r="M164" s="186" t="e">
        <f ca="1">_xll.BDP("USCS0410 "&amp;LEFT(FRALink,LEN(FRALink)-FIND("/",FRALink))&amp;" curncy","bid")</f>
        <v>#NAME?</v>
      </c>
      <c r="N164" s="186" t="e">
        <f ca="1">_xll.BDP("USCS0410 "&amp;LEFT(FRALink,LEN(FRALink)-FIND("/",FRALink))&amp;" curncy","ask")</f>
        <v>#NAME?</v>
      </c>
      <c r="O164" s="186" t="e">
        <f ca="1">_xll.BDP("USCS0510 "&amp;LEFT(FRALink,LEN(FRALink)-FIND("/",FRALink))&amp;" curncy","bid")</f>
        <v>#NAME?</v>
      </c>
      <c r="P164" s="186" t="e">
        <f ca="1">_xll.BDP("USCS0510 "&amp;LEFT(FRALink,LEN(FRALink)-FIND("/",FRALink))&amp;" curncy","ask")</f>
        <v>#NAME?</v>
      </c>
      <c r="Q164" s="186" t="e">
        <f ca="1">_xll.BDP("USCS0610 "&amp;LEFT(FRALink,LEN(FRALink)-FIND("/",FRALink))&amp;" curncy","bid")</f>
        <v>#NAME?</v>
      </c>
      <c r="R164" s="186" t="e">
        <f ca="1">_xll.BDP("USCS0610 "&amp;LEFT(FRALink,LEN(FRALink)-FIND("/",FRALink))&amp;" curncy","ask")</f>
        <v>#NAME?</v>
      </c>
      <c r="S164" s="186" t="e">
        <f ca="1">_xll.BDP("USCS0710 "&amp;LEFT(FRALink,LEN(FRALink)-FIND("/",FRALink))&amp;" curncy","bid")</f>
        <v>#NAME?</v>
      </c>
      <c r="T164" s="186" t="e">
        <f ca="1">_xll.BDP("USCS0710 "&amp;LEFT(FRALink,LEN(FRALink)-FIND("/",FRALink))&amp;" curncy","ask")</f>
        <v>#NAME?</v>
      </c>
      <c r="U164" s="186" t="e">
        <f ca="1">_xll.BDP("USCS0810 "&amp;LEFT(FRALink,LEN(FRALink)-FIND("/",FRALink))&amp;" curncy","bid")</f>
        <v>#NAME?</v>
      </c>
      <c r="V164" s="186" t="e">
        <f ca="1">_xll.BDP("USCS0810 "&amp;LEFT(FRALink,LEN(FRALink)-FIND("/",FRALink))&amp;" curncy","ask")</f>
        <v>#NAME?</v>
      </c>
      <c r="W164" s="186" t="e">
        <f ca="1">_xll.BDP("USCS0910 "&amp;LEFT(FRALink,LEN(FRALink)-FIND("/",FRALink))&amp;" curncy","bid")</f>
        <v>#NAME?</v>
      </c>
      <c r="X164" s="186" t="e">
        <f ca="1">_xll.BDP("USCS0910 "&amp;LEFT(FRALink,LEN(FRALink)-FIND("/",FRALink))&amp;" curncy","ask")</f>
        <v>#NAME?</v>
      </c>
      <c r="Y164" s="186" t="e">
        <f ca="1">_xll.BDP("USCS1010 "&amp;LEFT(FRALink,LEN(FRALink)-FIND("/",FRALink))&amp;" curncy","bid")</f>
        <v>#NAME?</v>
      </c>
      <c r="Z164" s="187" t="e">
        <f ca="1">_xll.BDP("USCS1010 "&amp;LEFT(FRALink,LEN(FRALink)-FIND("/",FRALink))&amp;" curncy","ask")</f>
        <v>#NAME?</v>
      </c>
    </row>
  </sheetData>
  <mergeCells count="62">
    <mergeCell ref="J128:K128"/>
    <mergeCell ref="O128:P128"/>
    <mergeCell ref="O153:P153"/>
    <mergeCell ref="I153:J153"/>
    <mergeCell ref="K153:L153"/>
    <mergeCell ref="Y153:Z153"/>
    <mergeCell ref="M153:N153"/>
    <mergeCell ref="Q128:R128"/>
    <mergeCell ref="F9:S9"/>
    <mergeCell ref="U9:AC9"/>
    <mergeCell ref="U20:AF20"/>
    <mergeCell ref="U128:V128"/>
    <mergeCell ref="W128:X128"/>
    <mergeCell ref="P100:X100"/>
    <mergeCell ref="F117:W117"/>
    <mergeCell ref="U118:W118"/>
    <mergeCell ref="S128:T128"/>
    <mergeCell ref="R118:T118"/>
    <mergeCell ref="F128:G128"/>
    <mergeCell ref="L128:M128"/>
    <mergeCell ref="O118:Q118"/>
    <mergeCell ref="G85:I85"/>
    <mergeCell ref="J85:L85"/>
    <mergeCell ref="M85:O85"/>
    <mergeCell ref="W153:X153"/>
    <mergeCell ref="Q153:R153"/>
    <mergeCell ref="S153:T153"/>
    <mergeCell ref="U153:V153"/>
    <mergeCell ref="P85:R85"/>
    <mergeCell ref="S85:U85"/>
    <mergeCell ref="V85:X85"/>
    <mergeCell ref="F118:H118"/>
    <mergeCell ref="I118:K118"/>
    <mergeCell ref="L118:N118"/>
    <mergeCell ref="G153:H153"/>
    <mergeCell ref="F100:O100"/>
    <mergeCell ref="H128:I128"/>
    <mergeCell ref="U47:W47"/>
    <mergeCell ref="X47:Z47"/>
    <mergeCell ref="AA47:AC47"/>
    <mergeCell ref="K28:M28"/>
    <mergeCell ref="W28:Y28"/>
    <mergeCell ref="Z28:AB28"/>
    <mergeCell ref="N28:P28"/>
    <mergeCell ref="Q28:S28"/>
    <mergeCell ref="T28:V28"/>
    <mergeCell ref="AG9:AI9"/>
    <mergeCell ref="F127:M127"/>
    <mergeCell ref="O127:X127"/>
    <mergeCell ref="F152:Z152"/>
    <mergeCell ref="AG47:AI47"/>
    <mergeCell ref="F70:J70"/>
    <mergeCell ref="K70:O70"/>
    <mergeCell ref="P70:T70"/>
    <mergeCell ref="U70:Y70"/>
    <mergeCell ref="AD47:AF47"/>
    <mergeCell ref="AE9:AF9"/>
    <mergeCell ref="AC28:AE28"/>
    <mergeCell ref="F47:I47"/>
    <mergeCell ref="L47:N47"/>
    <mergeCell ref="O47:Q47"/>
    <mergeCell ref="R47:T47"/>
  </mergeCells>
  <phoneticPr fontId="1" type="noConversion"/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18" r:id="rId4" name="cboLiborQuoteType">
          <controlPr defaultSize="0" autoLine="0" r:id="rId5">
            <anchor moveWithCells="1">
              <from>
                <xdr:col>6</xdr:col>
                <xdr:colOff>285750</xdr:colOff>
                <xdr:row>25</xdr:row>
                <xdr:rowOff>0</xdr:rowOff>
              </from>
              <to>
                <xdr:col>8</xdr:col>
                <xdr:colOff>0</xdr:colOff>
                <xdr:row>26</xdr:row>
                <xdr:rowOff>107950</xdr:rowOff>
              </to>
            </anchor>
          </controlPr>
        </control>
      </mc:Choice>
      <mc:Fallback>
        <control shapeId="1318" r:id="rId4" name="cboLiborQuoteType"/>
      </mc:Fallback>
    </mc:AlternateContent>
    <mc:AlternateContent xmlns:mc="http://schemas.openxmlformats.org/markup-compatibility/2006">
      <mc:Choice Requires="x14">
        <control shapeId="1303" r:id="rId6" name="btnIVSP">
          <controlPr defaultSize="0" autoLine="0" r:id="rId7">
            <anchor moveWithCells="1">
              <from>
                <xdr:col>1</xdr:col>
                <xdr:colOff>0</xdr:colOff>
                <xdr:row>41</xdr:row>
                <xdr:rowOff>19050</xdr:rowOff>
              </from>
              <to>
                <xdr:col>2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1303" r:id="rId6" name="btnIVSP"/>
      </mc:Fallback>
    </mc:AlternateContent>
    <mc:AlternateContent xmlns:mc="http://schemas.openxmlformats.org/markup-compatibility/2006">
      <mc:Choice Requires="x14">
        <control shapeId="1276" r:id="rId8" name="btnMARS">
          <controlPr defaultSize="0" autoLine="0" r:id="rId9">
            <anchor moveWithCells="1">
              <from>
                <xdr:col>1</xdr:col>
                <xdr:colOff>0</xdr:colOff>
                <xdr:row>38</xdr:row>
                <xdr:rowOff>107950</xdr:rowOff>
              </from>
              <to>
                <xdr:col>2</xdr:col>
                <xdr:colOff>19050</xdr:colOff>
                <xdr:row>40</xdr:row>
                <xdr:rowOff>88900</xdr:rowOff>
              </to>
            </anchor>
          </controlPr>
        </control>
      </mc:Choice>
      <mc:Fallback>
        <control shapeId="1276" r:id="rId8" name="btnMARS"/>
      </mc:Fallback>
    </mc:AlternateContent>
    <mc:AlternateContent xmlns:mc="http://schemas.openxmlformats.org/markup-compatibility/2006">
      <mc:Choice Requires="x14">
        <control shapeId="1275" r:id="rId10" name="btnXHSSA">
          <controlPr defaultSize="0" autoLine="0" r:id="rId11">
            <anchor moveWithCells="1">
              <from>
                <xdr:col>1</xdr:col>
                <xdr:colOff>0</xdr:colOff>
                <xdr:row>21</xdr:row>
                <xdr:rowOff>107950</xdr:rowOff>
              </from>
              <to>
                <xdr:col>2</xdr:col>
                <xdr:colOff>12700</xdr:colOff>
                <xdr:row>23</xdr:row>
                <xdr:rowOff>184150</xdr:rowOff>
              </to>
            </anchor>
          </controlPr>
        </control>
      </mc:Choice>
      <mc:Fallback>
        <control shapeId="1275" r:id="rId10" name="btnXHSSA"/>
      </mc:Fallback>
    </mc:AlternateContent>
    <mc:AlternateContent xmlns:mc="http://schemas.openxmlformats.org/markup-compatibility/2006">
      <mc:Choice Requires="x14">
        <control shapeId="1092" r:id="rId12" name="btnIRSB">
          <controlPr defaultSize="0" autoLine="0" r:id="rId13">
            <anchor moveWithCells="1">
              <from>
                <xdr:col>1</xdr:col>
                <xdr:colOff>0</xdr:colOff>
                <xdr:row>35</xdr:row>
                <xdr:rowOff>184150</xdr:rowOff>
              </from>
              <to>
                <xdr:col>2</xdr:col>
                <xdr:colOff>19050</xdr:colOff>
                <xdr:row>37</xdr:row>
                <xdr:rowOff>165100</xdr:rowOff>
              </to>
            </anchor>
          </controlPr>
        </control>
      </mc:Choice>
      <mc:Fallback>
        <control shapeId="1092" r:id="rId12" name="btnIRSB"/>
      </mc:Fallback>
    </mc:AlternateContent>
    <mc:AlternateContent xmlns:mc="http://schemas.openxmlformats.org/markup-compatibility/2006">
      <mc:Choice Requires="x14">
        <control shapeId="1091" r:id="rId14" name="btnUSSW">
          <controlPr defaultSize="0" autoLine="0" r:id="rId15">
            <anchor moveWithCells="1">
              <from>
                <xdr:col>1</xdr:col>
                <xdr:colOff>0</xdr:colOff>
                <xdr:row>33</xdr:row>
                <xdr:rowOff>69850</xdr:rowOff>
              </from>
              <to>
                <xdr:col>2</xdr:col>
                <xdr:colOff>19050</xdr:colOff>
                <xdr:row>35</xdr:row>
                <xdr:rowOff>50800</xdr:rowOff>
              </to>
            </anchor>
          </controlPr>
        </control>
      </mc:Choice>
      <mc:Fallback>
        <control shapeId="1091" r:id="rId14" name="btnUSSW"/>
      </mc:Fallback>
    </mc:AlternateContent>
    <mc:AlternateContent xmlns:mc="http://schemas.openxmlformats.org/markup-compatibility/2006">
      <mc:Choice Requires="x14">
        <control shapeId="1090" r:id="rId16" name="btnICVS">
          <controlPr defaultSize="0" autoLine="0" r:id="rId17">
            <anchor moveWithCells="1">
              <from>
                <xdr:col>1</xdr:col>
                <xdr:colOff>0</xdr:colOff>
                <xdr:row>30</xdr:row>
                <xdr:rowOff>152400</xdr:rowOff>
              </from>
              <to>
                <xdr:col>2</xdr:col>
                <xdr:colOff>19050</xdr:colOff>
                <xdr:row>32</xdr:row>
                <xdr:rowOff>133350</xdr:rowOff>
              </to>
            </anchor>
          </controlPr>
        </control>
      </mc:Choice>
      <mc:Fallback>
        <control shapeId="1090" r:id="rId16" name="btnICVS"/>
      </mc:Fallback>
    </mc:AlternateContent>
    <mc:AlternateContent xmlns:mc="http://schemas.openxmlformats.org/markup-compatibility/2006">
      <mc:Choice Requires="x14">
        <control shapeId="1089" r:id="rId18" name="btnBTMM">
          <controlPr defaultSize="0" autoLine="0" r:id="rId19">
            <anchor moveWithCells="1">
              <from>
                <xdr:col>1</xdr:col>
                <xdr:colOff>0</xdr:colOff>
                <xdr:row>28</xdr:row>
                <xdr:rowOff>50800</xdr:rowOff>
              </from>
              <to>
                <xdr:col>2</xdr:col>
                <xdr:colOff>19050</xdr:colOff>
                <xdr:row>30</xdr:row>
                <xdr:rowOff>31750</xdr:rowOff>
              </to>
            </anchor>
          </controlPr>
        </control>
      </mc:Choice>
      <mc:Fallback>
        <control shapeId="1089" r:id="rId18" name="btnBTMM"/>
      </mc:Fallback>
    </mc:AlternateContent>
    <mc:AlternateContent xmlns:mc="http://schemas.openxmlformats.org/markup-compatibility/2006">
      <mc:Choice Requires="x14">
        <control shapeId="1088" r:id="rId20" name="btnSWPM">
          <controlPr defaultSize="0" autoLine="0" r:id="rId21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12700</xdr:colOff>
                <xdr:row>27</xdr:row>
                <xdr:rowOff>361950</xdr:rowOff>
              </to>
            </anchor>
          </controlPr>
        </control>
      </mc:Choice>
      <mc:Fallback>
        <control shapeId="1088" r:id="rId20" name="btnSWPM"/>
      </mc:Fallback>
    </mc:AlternateContent>
    <mc:AlternateContent xmlns:mc="http://schemas.openxmlformats.org/markup-compatibility/2006">
      <mc:Choice Requires="x14">
        <control shapeId="1087" r:id="rId22" name="btnXKRD">
          <controlPr defaultSize="0" autoLine="0" r:id="rId23">
            <anchor moveWithCells="1">
              <from>
                <xdr:col>1</xdr:col>
                <xdr:colOff>0</xdr:colOff>
                <xdr:row>18</xdr:row>
                <xdr:rowOff>57150</xdr:rowOff>
              </from>
              <to>
                <xdr:col>2</xdr:col>
                <xdr:colOff>12700</xdr:colOff>
                <xdr:row>20</xdr:row>
                <xdr:rowOff>133350</xdr:rowOff>
              </to>
            </anchor>
          </controlPr>
        </control>
      </mc:Choice>
      <mc:Fallback>
        <control shapeId="1087" r:id="rId22" name="btnXKRD"/>
      </mc:Fallback>
    </mc:AlternateContent>
    <mc:AlternateContent xmlns:mc="http://schemas.openxmlformats.org/markup-compatibility/2006">
      <mc:Choice Requires="x14">
        <control shapeId="1072" r:id="rId24" name="btnXOIP">
          <controlPr defaultSize="0" autoLine="0" r:id="rId25">
            <anchor moveWithCells="1">
              <from>
                <xdr:col>1</xdr:col>
                <xdr:colOff>0</xdr:colOff>
                <xdr:row>15</xdr:row>
                <xdr:rowOff>12700</xdr:rowOff>
              </from>
              <to>
                <xdr:col>2</xdr:col>
                <xdr:colOff>12700</xdr:colOff>
                <xdr:row>17</xdr:row>
                <xdr:rowOff>88900</xdr:rowOff>
              </to>
            </anchor>
          </controlPr>
        </control>
      </mc:Choice>
      <mc:Fallback>
        <control shapeId="1072" r:id="rId24" name="btnXOIP"/>
      </mc:Fallback>
    </mc:AlternateContent>
    <mc:AlternateContent xmlns:mc="http://schemas.openxmlformats.org/markup-compatibility/2006">
      <mc:Choice Requires="x14">
        <control shapeId="1071" r:id="rId26" name="btnXVLA">
          <controlPr defaultSize="0" autoLine="0" r:id="rId27">
            <anchor moveWithCells="1">
              <from>
                <xdr:col>1</xdr:col>
                <xdr:colOff>0</xdr:colOff>
                <xdr:row>11</xdr:row>
                <xdr:rowOff>133350</xdr:rowOff>
              </from>
              <to>
                <xdr:col>2</xdr:col>
                <xdr:colOff>12700</xdr:colOff>
                <xdr:row>14</xdr:row>
                <xdr:rowOff>19050</xdr:rowOff>
              </to>
            </anchor>
          </controlPr>
        </control>
      </mc:Choice>
      <mc:Fallback>
        <control shapeId="1071" r:id="rId26" name="btnXVLA"/>
      </mc:Fallback>
    </mc:AlternateContent>
    <mc:AlternateContent xmlns:mc="http://schemas.openxmlformats.org/markup-compatibility/2006">
      <mc:Choice Requires="x14">
        <control shapeId="1070" r:id="rId28" name="btnXBCY">
          <controlPr defaultSize="0" autoLine="0" r:id="rId29">
            <anchor moveWithCells="1">
              <from>
                <xdr:col>1</xdr:col>
                <xdr:colOff>0</xdr:colOff>
                <xdr:row>9</xdr:row>
                <xdr:rowOff>165100</xdr:rowOff>
              </from>
              <to>
                <xdr:col>2</xdr:col>
                <xdr:colOff>12700</xdr:colOff>
                <xdr:row>10</xdr:row>
                <xdr:rowOff>184150</xdr:rowOff>
              </to>
            </anchor>
          </controlPr>
        </control>
      </mc:Choice>
      <mc:Fallback>
        <control shapeId="1070" r:id="rId28" name="btnXBCY"/>
      </mc:Fallback>
    </mc:AlternateContent>
    <mc:AlternateContent xmlns:mc="http://schemas.openxmlformats.org/markup-compatibility/2006">
      <mc:Choice Requires="x14">
        <control shapeId="1069" r:id="rId30" name="btnXRLD">
          <controlPr defaultSize="0" autoLine="0" r:id="rId31">
            <anchor moveWithCells="1">
              <from>
                <xdr:col>1</xdr:col>
                <xdr:colOff>0</xdr:colOff>
                <xdr:row>8</xdr:row>
                <xdr:rowOff>19050</xdr:rowOff>
              </from>
              <to>
                <xdr:col>2</xdr:col>
                <xdr:colOff>19050</xdr:colOff>
                <xdr:row>9</xdr:row>
                <xdr:rowOff>31750</xdr:rowOff>
              </to>
            </anchor>
          </controlPr>
        </control>
      </mc:Choice>
      <mc:Fallback>
        <control shapeId="1069" r:id="rId30" name="btnXRLD"/>
      </mc:Fallback>
    </mc:AlternateContent>
    <mc:AlternateContent xmlns:mc="http://schemas.openxmlformats.org/markup-compatibility/2006">
      <mc:Choice Requires="x14">
        <control shapeId="1040" r:id="rId32" name="cboGlobalMaturity">
          <controlPr defaultSize="0" autoFill="0" autoLine="0" r:id="rId33">
            <anchor moveWithCells="1">
              <from>
                <xdr:col>33</xdr:col>
                <xdr:colOff>171450</xdr:colOff>
                <xdr:row>8</xdr:row>
                <xdr:rowOff>50800</xdr:rowOff>
              </from>
              <to>
                <xdr:col>34</xdr:col>
                <xdr:colOff>514350</xdr:colOff>
                <xdr:row>8</xdr:row>
                <xdr:rowOff>342900</xdr:rowOff>
              </to>
            </anchor>
          </controlPr>
        </control>
      </mc:Choice>
      <mc:Fallback>
        <control shapeId="1040" r:id="rId32" name="cboGlobalMaturity"/>
      </mc:Fallback>
    </mc:AlternateContent>
    <mc:AlternateContent xmlns:mc="http://schemas.openxmlformats.org/markup-compatibility/2006">
      <mc:Choice Requires="x14">
        <control shapeId="1039" r:id="rId34" name="cboFRA">
          <controlPr defaultSize="0" autoLine="0" r:id="rId35">
            <anchor moveWithCells="1">
              <from>
                <xdr:col>6</xdr:col>
                <xdr:colOff>12700</xdr:colOff>
                <xdr:row>123</xdr:row>
                <xdr:rowOff>171450</xdr:rowOff>
              </from>
              <to>
                <xdr:col>8</xdr:col>
                <xdr:colOff>355600</xdr:colOff>
                <xdr:row>125</xdr:row>
                <xdr:rowOff>69850</xdr:rowOff>
              </to>
            </anchor>
          </controlPr>
        </control>
      </mc:Choice>
      <mc:Fallback>
        <control shapeId="1039" r:id="rId34" name="cboFRA"/>
      </mc:Fallback>
    </mc:AlternateContent>
    <mc:AlternateContent xmlns:mc="http://schemas.openxmlformats.org/markup-compatibility/2006">
      <mc:Choice Requires="x14">
        <control shapeId="1038" r:id="rId36" name="cboVols">
          <controlPr defaultSize="0" autoLine="0" r:id="rId37">
            <anchor moveWithCells="1">
              <from>
                <xdr:col>6</xdr:col>
                <xdr:colOff>12700</xdr:colOff>
                <xdr:row>97</xdr:row>
                <xdr:rowOff>31750</xdr:rowOff>
              </from>
              <to>
                <xdr:col>8</xdr:col>
                <xdr:colOff>342900</xdr:colOff>
                <xdr:row>98</xdr:row>
                <xdr:rowOff>114300</xdr:rowOff>
              </to>
            </anchor>
          </controlPr>
        </control>
      </mc:Choice>
      <mc:Fallback>
        <control shapeId="1038" r:id="rId36" name="cboVols"/>
      </mc:Fallback>
    </mc:AlternateContent>
    <mc:AlternateContent xmlns:mc="http://schemas.openxmlformats.org/markup-compatibility/2006">
      <mc:Choice Requires="x14">
        <control shapeId="1037" r:id="rId38" name="cboBasisSwaps">
          <controlPr defaultSize="0" autoLine="0" r:id="rId39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13</xdr:col>
                <xdr:colOff>374650</xdr:colOff>
                <xdr:row>45</xdr:row>
                <xdr:rowOff>88900</xdr:rowOff>
              </to>
            </anchor>
          </controlPr>
        </control>
      </mc:Choice>
      <mc:Fallback>
        <control shapeId="1037" r:id="rId38" name="cboBasisSwaps"/>
      </mc:Fallback>
    </mc:AlternateContent>
    <mc:AlternateContent xmlns:mc="http://schemas.openxmlformats.org/markup-compatibility/2006">
      <mc:Choice Requires="x14">
        <control shapeId="1034" r:id="rId40" name="cboOIS">
          <controlPr defaultSize="0" autoLine="0" r:id="rId41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8</xdr:col>
                <xdr:colOff>342900</xdr:colOff>
                <xdr:row>45</xdr:row>
                <xdr:rowOff>88900</xdr:rowOff>
              </to>
            </anchor>
          </controlPr>
        </control>
      </mc:Choice>
      <mc:Fallback>
        <control shapeId="1034" r:id="rId40" name="cboOIS"/>
      </mc:Fallback>
    </mc:AlternateContent>
    <mc:AlternateContent xmlns:mc="http://schemas.openxmlformats.org/markup-compatibility/2006">
      <mc:Choice Requires="x14">
        <control shapeId="1032" r:id="rId42" name="cboDisplayType">
          <controlPr defaultSize="0" autoLine="0" r:id="rId43">
            <anchor moveWithCells="1">
              <from>
                <xdr:col>16</xdr:col>
                <xdr:colOff>0</xdr:colOff>
                <xdr:row>25</xdr:row>
                <xdr:rowOff>0</xdr:rowOff>
              </from>
              <to>
                <xdr:col>17</xdr:col>
                <xdr:colOff>374650</xdr:colOff>
                <xdr:row>26</xdr:row>
                <xdr:rowOff>88900</xdr:rowOff>
              </to>
            </anchor>
          </controlPr>
        </control>
      </mc:Choice>
      <mc:Fallback>
        <control shapeId="1032" r:id="rId42" name="cboDisplayType"/>
      </mc:Fallback>
    </mc:AlternateContent>
    <mc:AlternateContent xmlns:mc="http://schemas.openxmlformats.org/markup-compatibility/2006">
      <mc:Choice Requires="x14">
        <control shapeId="1031" r:id="rId44" name="cboSwapBroker">
          <controlPr defaultSize="0" autoLine="0" r:id="rId45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12</xdr:col>
                <xdr:colOff>374650</xdr:colOff>
                <xdr:row>26</xdr:row>
                <xdr:rowOff>88900</xdr:rowOff>
              </to>
            </anchor>
          </controlPr>
        </control>
      </mc:Choice>
      <mc:Fallback>
        <control shapeId="1031" r:id="rId44" name="cboSwapBroker"/>
      </mc:Fallback>
    </mc:AlternateContent>
    <mc:AlternateContent xmlns:mc="http://schemas.openxmlformats.org/markup-compatibility/2006">
      <mc:Choice Requires="x14">
        <control shapeId="1030" r:id="rId46" name="cboLocator">
          <controlPr defaultSize="0" autoLine="0" r:id="rId47">
            <anchor moveWithCells="1">
              <from>
                <xdr:col>6</xdr:col>
                <xdr:colOff>285750</xdr:colOff>
                <xdr:row>6</xdr:row>
                <xdr:rowOff>12700</xdr:rowOff>
              </from>
              <to>
                <xdr:col>8</xdr:col>
                <xdr:colOff>603250</xdr:colOff>
                <xdr:row>7</xdr:row>
                <xdr:rowOff>95250</xdr:rowOff>
              </to>
            </anchor>
          </controlPr>
        </control>
      </mc:Choice>
      <mc:Fallback>
        <control shapeId="1030" r:id="rId46" name="cboLocato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8"/>
  <sheetViews>
    <sheetView workbookViewId="0">
      <selection activeCell="B8" sqref="B8"/>
    </sheetView>
  </sheetViews>
  <sheetFormatPr defaultRowHeight="12.5" x14ac:dyDescent="0.25"/>
  <cols>
    <col min="1" max="1" width="25.26953125" customWidth="1"/>
  </cols>
  <sheetData>
    <row r="1" spans="1:2" x14ac:dyDescent="0.25">
      <c r="A1" t="s">
        <v>122</v>
      </c>
      <c r="B1" s="2" t="s">
        <v>124</v>
      </c>
    </row>
    <row r="2" spans="1:2" x14ac:dyDescent="0.25">
      <c r="A2" t="s">
        <v>123</v>
      </c>
      <c r="B2" s="1" t="s">
        <v>240</v>
      </c>
    </row>
    <row r="3" spans="1:2" x14ac:dyDescent="0.25">
      <c r="A3" t="s">
        <v>125</v>
      </c>
      <c r="B3" s="3" t="s">
        <v>124</v>
      </c>
    </row>
    <row r="4" spans="1:2" x14ac:dyDescent="0.25">
      <c r="A4" t="s">
        <v>126</v>
      </c>
      <c r="B4" s="4" t="s">
        <v>124</v>
      </c>
    </row>
    <row r="5" spans="1:2" x14ac:dyDescent="0.25">
      <c r="A5" t="s">
        <v>127</v>
      </c>
      <c r="B5" s="5" t="s">
        <v>124</v>
      </c>
    </row>
    <row r="6" spans="1:2" x14ac:dyDescent="0.25">
      <c r="A6" t="s">
        <v>193</v>
      </c>
      <c r="B6" s="3" t="s">
        <v>124</v>
      </c>
    </row>
    <row r="7" spans="1:2" x14ac:dyDescent="0.25">
      <c r="A7" t="s">
        <v>238</v>
      </c>
      <c r="B7" s="7">
        <v>10</v>
      </c>
    </row>
    <row r="8" spans="1:2" x14ac:dyDescent="0.25">
      <c r="A8" t="s">
        <v>254</v>
      </c>
      <c r="B8" s="6" t="s">
        <v>256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B1:X1223"/>
  <sheetViews>
    <sheetView showGridLines="0" showRowColHeaders="0" zoomScale="80" zoomScaleNormal="80" workbookViewId="0">
      <pane ySplit="5" topLeftCell="A6" activePane="bottomLeft" state="frozenSplit"/>
      <selection pane="bottomLeft" activeCell="D10" sqref="D10"/>
    </sheetView>
  </sheetViews>
  <sheetFormatPr defaultColWidth="9.1796875" defaultRowHeight="14" x14ac:dyDescent="0.25"/>
  <cols>
    <col min="1" max="1" width="1.7265625" style="13" customWidth="1"/>
    <col min="2" max="2" width="11.1796875" style="13" customWidth="1"/>
    <col min="3" max="6" width="9.1796875" style="13"/>
    <col min="7" max="7" width="17.54296875" style="13" customWidth="1"/>
    <col min="8" max="16384" width="9.1796875" style="13"/>
  </cols>
  <sheetData>
    <row r="1" spans="2:24" ht="5.15" customHeight="1" x14ac:dyDescent="0.25"/>
    <row r="2" spans="2:24" ht="15" customHeight="1" x14ac:dyDescent="0.25"/>
    <row r="3" spans="2:24" ht="15" customHeight="1" x14ac:dyDescent="0.25"/>
    <row r="4" spans="2:24" ht="15" customHeight="1" x14ac:dyDescent="0.25"/>
    <row r="5" spans="2:24" ht="5.15" customHeight="1" x14ac:dyDescent="0.25"/>
    <row r="6" spans="2:24" x14ac:dyDescent="0.25">
      <c r="B6" s="261"/>
      <c r="C6" s="256"/>
      <c r="D6" s="258"/>
      <c r="E6" s="256"/>
      <c r="F6" s="256"/>
      <c r="G6" s="256"/>
      <c r="H6" s="256"/>
      <c r="I6" s="256"/>
      <c r="J6" s="256"/>
      <c r="K6" s="256"/>
      <c r="L6" s="256"/>
      <c r="M6" s="256"/>
      <c r="N6" s="256"/>
      <c r="O6" s="256"/>
      <c r="P6" s="256"/>
      <c r="Q6" s="256"/>
      <c r="R6" s="256"/>
      <c r="S6" s="262"/>
      <c r="T6" s="256"/>
      <c r="U6" s="257"/>
      <c r="V6" s="256"/>
      <c r="W6" s="256"/>
      <c r="X6" s="256"/>
    </row>
    <row r="7" spans="2:24" x14ac:dyDescent="0.25">
      <c r="B7" s="256"/>
      <c r="C7" s="256"/>
      <c r="D7" s="256"/>
      <c r="E7" s="256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</row>
    <row r="8" spans="2:24" x14ac:dyDescent="0.25"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</row>
    <row r="9" spans="2:24" x14ac:dyDescent="0.25">
      <c r="B9" s="256"/>
      <c r="C9" s="256"/>
      <c r="D9" s="256"/>
      <c r="E9" s="256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</row>
    <row r="10" spans="2:24" ht="14.5" x14ac:dyDescent="0.25">
      <c r="B10" s="257"/>
      <c r="C10" s="256"/>
      <c r="D10" s="188" t="s">
        <v>243</v>
      </c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S10" s="259"/>
      <c r="T10" s="256"/>
      <c r="U10" s="256"/>
      <c r="V10" s="256"/>
      <c r="W10" s="256"/>
      <c r="X10" s="256"/>
    </row>
    <row r="11" spans="2:24" ht="14.5" x14ac:dyDescent="0.25">
      <c r="B11" s="256"/>
      <c r="C11" s="256"/>
      <c r="D11" s="188" t="s">
        <v>241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S11" s="256"/>
      <c r="T11" s="256"/>
      <c r="U11" s="256"/>
      <c r="V11" s="256"/>
      <c r="W11" s="256"/>
      <c r="X11" s="256"/>
    </row>
    <row r="12" spans="2:24" ht="14.5" x14ac:dyDescent="0.25">
      <c r="B12" s="256"/>
      <c r="C12" s="256"/>
      <c r="D12" s="188" t="s">
        <v>242</v>
      </c>
      <c r="E12" s="188"/>
      <c r="F12" s="188"/>
      <c r="G12" s="188"/>
      <c r="H12" s="188"/>
      <c r="I12" s="190"/>
      <c r="J12" s="190"/>
      <c r="K12" s="190"/>
      <c r="L12" s="190"/>
      <c r="M12" s="190"/>
      <c r="N12" s="190"/>
      <c r="O12"/>
      <c r="P12"/>
      <c r="Q12"/>
      <c r="S12" s="256"/>
      <c r="T12" s="256"/>
      <c r="U12" s="256"/>
      <c r="V12" s="256"/>
      <c r="W12" s="256"/>
      <c r="X12" s="256"/>
    </row>
    <row r="13" spans="2:24" ht="14.5" x14ac:dyDescent="0.25">
      <c r="B13" s="256"/>
      <c r="C13" s="256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/>
      <c r="P13"/>
      <c r="Q13"/>
      <c r="S13" s="256"/>
      <c r="T13" s="256"/>
      <c r="U13" s="256"/>
      <c r="V13" s="256"/>
      <c r="W13" s="256"/>
      <c r="X13" s="256"/>
    </row>
    <row r="14" spans="2:24" ht="14.5" x14ac:dyDescent="0.25">
      <c r="B14" s="256"/>
      <c r="C14" s="256"/>
      <c r="D14" s="190" t="s">
        <v>244</v>
      </c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/>
      <c r="Q14"/>
      <c r="S14" s="256"/>
      <c r="T14" s="256"/>
      <c r="U14" s="256"/>
      <c r="V14" s="256"/>
      <c r="W14" s="256"/>
      <c r="X14" s="256"/>
    </row>
    <row r="15" spans="2:24" ht="14.5" x14ac:dyDescent="0.25">
      <c r="B15" s="256"/>
      <c r="C15" s="256"/>
      <c r="D15" s="190" t="s">
        <v>245</v>
      </c>
      <c r="E15" s="190"/>
      <c r="F15" s="190"/>
      <c r="G15" s="190"/>
      <c r="H15" s="190"/>
      <c r="I15" s="190"/>
      <c r="J15" s="190"/>
      <c r="K15" s="190"/>
      <c r="L15" s="190"/>
      <c r="M15" s="190"/>
      <c r="N15" s="190"/>
      <c r="O15" s="190"/>
      <c r="P15"/>
      <c r="Q15"/>
      <c r="S15" s="256"/>
      <c r="T15" s="256"/>
      <c r="U15" s="256"/>
      <c r="V15" s="256"/>
      <c r="W15" s="256"/>
      <c r="X15" s="256"/>
    </row>
    <row r="16" spans="2:24" ht="14.5" x14ac:dyDescent="0.25">
      <c r="B16" s="256"/>
      <c r="C16" s="256"/>
      <c r="D16" s="190"/>
      <c r="E16" s="190"/>
      <c r="F16" s="190"/>
      <c r="G16" s="190"/>
      <c r="H16" s="190"/>
      <c r="I16" s="190"/>
      <c r="J16" s="190"/>
      <c r="K16" s="190"/>
      <c r="L16" s="190"/>
      <c r="M16" s="190"/>
      <c r="N16" s="190"/>
      <c r="O16"/>
      <c r="P16"/>
      <c r="Q16"/>
      <c r="S16" s="256"/>
      <c r="T16" s="256"/>
      <c r="U16" s="256"/>
      <c r="V16" s="256"/>
      <c r="W16" s="256"/>
      <c r="X16" s="256"/>
    </row>
    <row r="17" spans="2:24" ht="14.5" x14ac:dyDescent="0.25">
      <c r="B17" s="256"/>
      <c r="C17" s="256"/>
      <c r="D17" s="190" t="s">
        <v>246</v>
      </c>
      <c r="E17" s="190"/>
      <c r="F17" s="190"/>
      <c r="G17" s="190"/>
      <c r="H17" s="190"/>
      <c r="I17" s="190"/>
      <c r="J17" s="190"/>
      <c r="K17" s="190"/>
      <c r="L17" s="190"/>
      <c r="M17" s="190"/>
      <c r="N17" s="190"/>
      <c r="O17" s="190"/>
      <c r="P17" s="190"/>
      <c r="Q17"/>
      <c r="S17" s="256"/>
      <c r="T17" s="256"/>
      <c r="U17" s="256"/>
      <c r="V17" s="256"/>
      <c r="W17" s="256"/>
      <c r="X17" s="256"/>
    </row>
    <row r="18" spans="2:24" ht="14.5" x14ac:dyDescent="0.25">
      <c r="B18" s="256"/>
      <c r="C18" s="256"/>
      <c r="D18" s="190" t="s">
        <v>247</v>
      </c>
      <c r="E18" s="190"/>
      <c r="F18" s="190"/>
      <c r="G18" s="190"/>
      <c r="H18" s="190"/>
      <c r="I18" s="190"/>
      <c r="J18" s="190"/>
      <c r="K18" s="190"/>
      <c r="L18" s="190"/>
      <c r="M18" s="190"/>
      <c r="N18" s="190"/>
      <c r="O18"/>
      <c r="P18"/>
      <c r="Q18"/>
      <c r="S18" s="256"/>
      <c r="T18" s="256"/>
      <c r="U18" s="256"/>
      <c r="V18" s="256"/>
      <c r="W18" s="256"/>
      <c r="X18" s="256"/>
    </row>
    <row r="19" spans="2:24" ht="14.5" x14ac:dyDescent="0.25">
      <c r="B19" s="256"/>
      <c r="C19" s="256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/>
      <c r="P19"/>
      <c r="Q19"/>
      <c r="S19" s="256"/>
      <c r="T19" s="256"/>
      <c r="U19" s="256"/>
      <c r="V19" s="256"/>
      <c r="W19" s="256"/>
      <c r="X19" s="256"/>
    </row>
    <row r="20" spans="2:24" ht="14.5" x14ac:dyDescent="0.25">
      <c r="B20" s="256"/>
      <c r="C20" s="256"/>
      <c r="D20" s="190" t="s">
        <v>248</v>
      </c>
      <c r="E20" s="190"/>
      <c r="F20" s="190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/>
      <c r="S20" s="256"/>
      <c r="T20" s="256"/>
      <c r="U20" s="256"/>
      <c r="V20" s="256"/>
      <c r="W20" s="256"/>
      <c r="X20" s="256"/>
    </row>
    <row r="21" spans="2:24" ht="14.5" x14ac:dyDescent="0.25">
      <c r="B21" s="256"/>
      <c r="C21" s="256"/>
      <c r="D21" s="190" t="s">
        <v>249</v>
      </c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/>
      <c r="S21" s="256"/>
      <c r="T21" s="256"/>
      <c r="U21" s="256"/>
      <c r="V21" s="256"/>
      <c r="W21" s="256"/>
      <c r="X21" s="256"/>
    </row>
    <row r="22" spans="2:24" ht="14.5" x14ac:dyDescent="0.25">
      <c r="B22" s="256"/>
      <c r="C22" s="256"/>
      <c r="D22" s="190" t="s">
        <v>250</v>
      </c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/>
      <c r="S22" s="256"/>
      <c r="T22" s="256"/>
      <c r="U22" s="256"/>
      <c r="V22" s="256"/>
      <c r="W22" s="256"/>
      <c r="X22" s="256"/>
    </row>
    <row r="23" spans="2:24" ht="14.5" x14ac:dyDescent="0.25">
      <c r="B23" s="256"/>
      <c r="C23" s="256"/>
      <c r="D23" s="260" t="s">
        <v>251</v>
      </c>
      <c r="E23" s="260"/>
      <c r="F23" s="260"/>
      <c r="G23" s="260"/>
      <c r="H23" s="260"/>
      <c r="I23" s="260"/>
      <c r="J23" s="260"/>
      <c r="K23" s="260"/>
      <c r="L23" s="260"/>
      <c r="M23" s="260"/>
      <c r="N23" s="260"/>
      <c r="O23"/>
      <c r="P23"/>
      <c r="Q23"/>
      <c r="S23" s="256"/>
      <c r="T23" s="256"/>
      <c r="U23" s="256"/>
      <c r="V23" s="256"/>
      <c r="W23" s="256"/>
      <c r="X23" s="256"/>
    </row>
    <row r="24" spans="2:24" x14ac:dyDescent="0.25">
      <c r="B24" s="256"/>
      <c r="C24" s="256"/>
      <c r="S24" s="256"/>
      <c r="T24" s="256"/>
      <c r="U24" s="256"/>
      <c r="V24" s="256"/>
      <c r="W24" s="256"/>
      <c r="X24" s="256"/>
    </row>
    <row r="25" spans="2:24" x14ac:dyDescent="0.25">
      <c r="B25" s="256"/>
      <c r="C25" s="256"/>
      <c r="K25" s="189"/>
      <c r="S25" s="256"/>
      <c r="T25" s="256"/>
      <c r="U25" s="256"/>
      <c r="V25" s="256"/>
      <c r="W25" s="256"/>
      <c r="X25" s="256"/>
    </row>
    <row r="26" spans="2:24" x14ac:dyDescent="0.25">
      <c r="B26" s="256"/>
      <c r="C26" s="256"/>
      <c r="K26" s="189"/>
      <c r="S26" s="256"/>
      <c r="T26" s="256"/>
      <c r="U26" s="256"/>
      <c r="V26" s="256"/>
      <c r="W26" s="256"/>
      <c r="X26" s="256"/>
    </row>
    <row r="27" spans="2:24" x14ac:dyDescent="0.25">
      <c r="B27" s="256"/>
      <c r="C27" s="256"/>
      <c r="K27" s="189"/>
      <c r="S27" s="256"/>
      <c r="T27" s="256"/>
      <c r="U27" s="256"/>
      <c r="V27" s="256"/>
      <c r="W27" s="256"/>
      <c r="X27" s="256"/>
    </row>
    <row r="28" spans="2:24" x14ac:dyDescent="0.25">
      <c r="B28" s="256"/>
      <c r="C28" s="256"/>
      <c r="K28" s="189"/>
      <c r="S28" s="256"/>
      <c r="T28" s="256"/>
      <c r="U28" s="256"/>
      <c r="V28" s="256"/>
      <c r="W28" s="256"/>
      <c r="X28" s="256"/>
    </row>
    <row r="29" spans="2:24" x14ac:dyDescent="0.25">
      <c r="B29" s="256"/>
      <c r="C29" s="256"/>
      <c r="S29" s="256"/>
      <c r="T29" s="256"/>
      <c r="U29" s="256"/>
      <c r="V29" s="256"/>
      <c r="W29" s="256"/>
      <c r="X29" s="256"/>
    </row>
    <row r="30" spans="2:24" x14ac:dyDescent="0.25">
      <c r="B30" s="256"/>
      <c r="C30" s="256"/>
      <c r="S30" s="256"/>
      <c r="T30" s="256"/>
      <c r="U30" s="256"/>
      <c r="V30" s="256"/>
      <c r="W30" s="256"/>
      <c r="X30" s="256"/>
    </row>
    <row r="31" spans="2:24" x14ac:dyDescent="0.25">
      <c r="B31" s="256"/>
      <c r="C31" s="256"/>
      <c r="S31" s="256"/>
      <c r="T31" s="256"/>
      <c r="U31" s="256"/>
      <c r="V31" s="256"/>
      <c r="W31" s="256"/>
      <c r="X31" s="256"/>
    </row>
    <row r="32" spans="2:24" x14ac:dyDescent="0.25">
      <c r="B32" s="256"/>
      <c r="C32" s="256"/>
      <c r="S32" s="256"/>
      <c r="T32" s="256"/>
      <c r="U32" s="256"/>
      <c r="V32" s="256"/>
      <c r="W32" s="256"/>
      <c r="X32" s="256"/>
    </row>
    <row r="33" spans="2:24" x14ac:dyDescent="0.25">
      <c r="B33" s="256"/>
      <c r="C33" s="256"/>
      <c r="S33" s="256"/>
      <c r="T33" s="256"/>
      <c r="U33" s="256"/>
      <c r="V33" s="256"/>
      <c r="W33" s="256"/>
      <c r="X33" s="256"/>
    </row>
    <row r="34" spans="2:24" x14ac:dyDescent="0.25">
      <c r="B34" s="256"/>
      <c r="C34" s="256"/>
      <c r="S34" s="256"/>
      <c r="T34" s="256"/>
      <c r="U34" s="256"/>
      <c r="V34" s="256"/>
      <c r="W34" s="256"/>
      <c r="X34" s="256"/>
    </row>
    <row r="35" spans="2:24" x14ac:dyDescent="0.25">
      <c r="B35" s="256"/>
      <c r="C35" s="256"/>
      <c r="S35" s="256"/>
      <c r="T35" s="256"/>
      <c r="U35" s="256"/>
      <c r="V35" s="256"/>
      <c r="W35" s="256"/>
      <c r="X35" s="256"/>
    </row>
    <row r="36" spans="2:24" x14ac:dyDescent="0.25">
      <c r="B36" s="256"/>
      <c r="C36" s="256"/>
      <c r="S36" s="256"/>
      <c r="T36" s="256"/>
      <c r="U36" s="256"/>
      <c r="V36" s="256"/>
      <c r="W36" s="256"/>
      <c r="X36" s="256"/>
    </row>
    <row r="37" spans="2:24" x14ac:dyDescent="0.25">
      <c r="B37" s="256"/>
      <c r="C37" s="256"/>
      <c r="S37" s="256"/>
      <c r="T37" s="256"/>
      <c r="U37" s="256"/>
      <c r="V37" s="256"/>
      <c r="W37" s="256"/>
      <c r="X37" s="256"/>
    </row>
    <row r="38" spans="2:24" x14ac:dyDescent="0.25">
      <c r="B38" s="256"/>
      <c r="C38" s="256"/>
      <c r="S38" s="256"/>
      <c r="T38" s="256"/>
      <c r="U38" s="256"/>
      <c r="V38" s="256"/>
      <c r="W38" s="256"/>
      <c r="X38" s="256"/>
    </row>
    <row r="39" spans="2:24" x14ac:dyDescent="0.25">
      <c r="B39" s="256"/>
      <c r="C39" s="256"/>
      <c r="S39" s="256"/>
      <c r="T39" s="256"/>
      <c r="U39" s="256"/>
      <c r="V39" s="256"/>
      <c r="W39" s="256"/>
      <c r="X39" s="256"/>
    </row>
    <row r="40" spans="2:24" x14ac:dyDescent="0.25">
      <c r="B40" s="264"/>
      <c r="C40" s="256"/>
      <c r="D40" s="263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65"/>
      <c r="T40" s="256"/>
      <c r="U40" s="256"/>
      <c r="V40" s="256"/>
      <c r="W40" s="256"/>
      <c r="X40" s="256"/>
    </row>
    <row r="41" spans="2:24" x14ac:dyDescent="0.25">
      <c r="B41" s="256"/>
      <c r="C41" s="256"/>
      <c r="D41" s="256"/>
      <c r="E41" s="256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256"/>
      <c r="V41" s="256"/>
      <c r="W41" s="256"/>
      <c r="X41" s="256"/>
    </row>
    <row r="42" spans="2:24" x14ac:dyDescent="0.25">
      <c r="B42" s="256"/>
      <c r="C42" s="256"/>
      <c r="D42" s="256"/>
      <c r="E42" s="256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256"/>
      <c r="V42" s="256"/>
      <c r="W42" s="256"/>
      <c r="X42" s="256"/>
    </row>
    <row r="43" spans="2:24" x14ac:dyDescent="0.25">
      <c r="B43" s="256"/>
      <c r="C43" s="256"/>
      <c r="D43" s="256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</row>
    <row r="44" spans="2:24" x14ac:dyDescent="0.25">
      <c r="B44" s="258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5"/>
      <c r="V44" s="256"/>
      <c r="W44" s="256"/>
      <c r="X44" s="256"/>
    </row>
    <row r="45" spans="2:24" x14ac:dyDescent="0.25">
      <c r="B45" s="256"/>
      <c r="C45" s="256"/>
      <c r="D45" s="256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256"/>
      <c r="V45" s="256"/>
      <c r="W45" s="256"/>
      <c r="X45" s="256"/>
    </row>
    <row r="46" spans="2:24" x14ac:dyDescent="0.25">
      <c r="B46" s="256"/>
      <c r="C46" s="256"/>
      <c r="D46" s="256"/>
      <c r="E46" s="256"/>
      <c r="F46" s="256"/>
      <c r="G46" s="256"/>
      <c r="H46" s="256"/>
      <c r="I46" s="256"/>
      <c r="J46" s="256"/>
      <c r="K46" s="256"/>
      <c r="L46" s="256"/>
      <c r="M46" s="256"/>
      <c r="N46" s="256"/>
      <c r="O46" s="256"/>
      <c r="P46" s="256"/>
      <c r="Q46" s="256"/>
      <c r="R46" s="256"/>
      <c r="S46" s="256"/>
      <c r="T46" s="256"/>
      <c r="U46" s="256"/>
      <c r="V46" s="256"/>
      <c r="W46" s="256"/>
      <c r="X46" s="256"/>
    </row>
    <row r="47" spans="2:24" x14ac:dyDescent="0.25">
      <c r="B47" s="256"/>
      <c r="C47" s="256"/>
      <c r="D47" s="256"/>
      <c r="E47" s="256"/>
      <c r="F47" s="256"/>
      <c r="G47" s="256"/>
      <c r="H47" s="256"/>
      <c r="I47" s="256"/>
      <c r="J47" s="256"/>
      <c r="K47" s="256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</row>
    <row r="48" spans="2:24" x14ac:dyDescent="0.25">
      <c r="B48" s="256"/>
      <c r="C48" s="256"/>
      <c r="D48" s="256"/>
      <c r="E48" s="256"/>
      <c r="F48" s="256"/>
      <c r="G48" s="256"/>
      <c r="H48" s="256"/>
      <c r="I48" s="256"/>
      <c r="J48" s="256"/>
      <c r="K48" s="256"/>
      <c r="L48" s="256"/>
      <c r="M48" s="256"/>
      <c r="N48" s="256"/>
      <c r="O48" s="256"/>
      <c r="P48" s="256"/>
      <c r="Q48" s="256"/>
      <c r="R48" s="256"/>
      <c r="S48" s="256"/>
      <c r="T48" s="256"/>
      <c r="U48" s="256"/>
      <c r="V48" s="256"/>
      <c r="W48" s="256"/>
      <c r="X48" s="256"/>
    </row>
    <row r="49" spans="2:24" x14ac:dyDescent="0.25">
      <c r="B49" s="256"/>
      <c r="C49" s="256"/>
      <c r="D49" s="256"/>
      <c r="E49" s="256"/>
      <c r="F49" s="256"/>
      <c r="G49" s="256"/>
      <c r="H49" s="256"/>
      <c r="I49" s="256"/>
      <c r="J49" s="256"/>
      <c r="K49" s="256"/>
      <c r="L49" s="256"/>
      <c r="M49" s="256"/>
      <c r="N49" s="256"/>
      <c r="O49" s="256"/>
      <c r="P49" s="256"/>
      <c r="Q49" s="256"/>
      <c r="R49" s="256"/>
      <c r="S49" s="256"/>
      <c r="T49" s="256"/>
      <c r="U49" s="256"/>
      <c r="V49" s="256"/>
      <c r="W49" s="256"/>
      <c r="X49" s="256"/>
    </row>
    <row r="50" spans="2:24" x14ac:dyDescent="0.25">
      <c r="B50" s="256"/>
      <c r="C50" s="256"/>
      <c r="D50" s="256"/>
      <c r="E50" s="256"/>
      <c r="F50" s="256"/>
      <c r="G50" s="256"/>
      <c r="H50" s="256"/>
      <c r="I50" s="256"/>
      <c r="J50" s="256"/>
      <c r="K50" s="256"/>
      <c r="L50" s="256"/>
      <c r="M50" s="256"/>
      <c r="N50" s="256"/>
      <c r="O50" s="256"/>
      <c r="P50" s="256"/>
      <c r="Q50" s="256"/>
      <c r="R50" s="256"/>
      <c r="S50" s="256"/>
      <c r="T50" s="256"/>
      <c r="U50" s="256"/>
      <c r="V50" s="256"/>
      <c r="W50" s="256"/>
      <c r="X50" s="256"/>
    </row>
    <row r="51" spans="2:24" x14ac:dyDescent="0.25">
      <c r="B51" s="256"/>
      <c r="C51" s="256"/>
      <c r="D51" s="256"/>
      <c r="E51" s="256"/>
      <c r="F51" s="256"/>
      <c r="G51" s="256"/>
      <c r="H51" s="256"/>
      <c r="I51" s="256"/>
      <c r="J51" s="256"/>
      <c r="K51" s="256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</row>
    <row r="52" spans="2:24" x14ac:dyDescent="0.25">
      <c r="B52" s="256"/>
      <c r="C52" s="256"/>
      <c r="D52" s="256"/>
      <c r="E52" s="256"/>
      <c r="F52" s="256"/>
      <c r="G52" s="256"/>
      <c r="H52" s="256"/>
      <c r="I52" s="256"/>
      <c r="J52" s="256"/>
      <c r="K52" s="256"/>
      <c r="L52" s="256"/>
      <c r="M52" s="256"/>
      <c r="N52" s="256"/>
      <c r="O52" s="256"/>
      <c r="P52" s="256"/>
      <c r="Q52" s="256"/>
      <c r="R52" s="256"/>
      <c r="S52" s="256"/>
      <c r="T52" s="256"/>
      <c r="U52" s="256"/>
      <c r="V52" s="256"/>
      <c r="W52" s="256"/>
      <c r="X52" s="256"/>
    </row>
    <row r="53" spans="2:24" x14ac:dyDescent="0.25">
      <c r="K53" s="189"/>
    </row>
    <row r="54" spans="2:24" x14ac:dyDescent="0.25">
      <c r="K54" s="189"/>
    </row>
    <row r="55" spans="2:24" x14ac:dyDescent="0.25">
      <c r="K55" s="189"/>
    </row>
    <row r="56" spans="2:24" x14ac:dyDescent="0.25">
      <c r="K56" s="189"/>
    </row>
    <row r="57" spans="2:24" x14ac:dyDescent="0.25">
      <c r="K57" s="189"/>
    </row>
    <row r="58" spans="2:24" x14ac:dyDescent="0.25">
      <c r="K58" s="189"/>
    </row>
    <row r="59" spans="2:24" x14ac:dyDescent="0.25">
      <c r="K59" s="189"/>
    </row>
    <row r="60" spans="2:24" x14ac:dyDescent="0.25">
      <c r="K60" s="189"/>
    </row>
    <row r="61" spans="2:24" x14ac:dyDescent="0.25">
      <c r="K61" s="189"/>
    </row>
    <row r="62" spans="2:24" x14ac:dyDescent="0.25">
      <c r="K62" s="189"/>
    </row>
    <row r="63" spans="2:24" x14ac:dyDescent="0.25">
      <c r="K63" s="189"/>
    </row>
    <row r="64" spans="2:24" x14ac:dyDescent="0.25">
      <c r="K64" s="189"/>
    </row>
    <row r="65" spans="11:11" x14ac:dyDescent="0.25">
      <c r="K65" s="189"/>
    </row>
    <row r="66" spans="11:11" x14ac:dyDescent="0.25">
      <c r="K66" s="189"/>
    </row>
    <row r="67" spans="11:11" x14ac:dyDescent="0.25">
      <c r="K67" s="189"/>
    </row>
    <row r="68" spans="11:11" x14ac:dyDescent="0.25">
      <c r="K68" s="189"/>
    </row>
    <row r="69" spans="11:11" x14ac:dyDescent="0.25">
      <c r="K69" s="189"/>
    </row>
    <row r="70" spans="11:11" x14ac:dyDescent="0.25">
      <c r="K70" s="189"/>
    </row>
    <row r="71" spans="11:11" x14ac:dyDescent="0.25">
      <c r="K71" s="189"/>
    </row>
    <row r="72" spans="11:11" x14ac:dyDescent="0.25">
      <c r="K72" s="189"/>
    </row>
    <row r="73" spans="11:11" x14ac:dyDescent="0.25">
      <c r="K73" s="189"/>
    </row>
    <row r="74" spans="11:11" x14ac:dyDescent="0.25">
      <c r="K74" s="189"/>
    </row>
    <row r="75" spans="11:11" x14ac:dyDescent="0.25">
      <c r="K75" s="189"/>
    </row>
    <row r="76" spans="11:11" x14ac:dyDescent="0.25">
      <c r="K76" s="189"/>
    </row>
    <row r="77" spans="11:11" x14ac:dyDescent="0.25">
      <c r="K77" s="189"/>
    </row>
    <row r="78" spans="11:11" x14ac:dyDescent="0.25">
      <c r="K78" s="189"/>
    </row>
    <row r="79" spans="11:11" x14ac:dyDescent="0.25">
      <c r="K79" s="189"/>
    </row>
    <row r="80" spans="11:11" x14ac:dyDescent="0.25">
      <c r="K80" s="189"/>
    </row>
    <row r="81" spans="11:11" x14ac:dyDescent="0.25">
      <c r="K81" s="189"/>
    </row>
    <row r="82" spans="11:11" x14ac:dyDescent="0.25">
      <c r="K82" s="189"/>
    </row>
    <row r="83" spans="11:11" x14ac:dyDescent="0.25">
      <c r="K83" s="189"/>
    </row>
    <row r="84" spans="11:11" x14ac:dyDescent="0.25">
      <c r="K84" s="189"/>
    </row>
    <row r="85" spans="11:11" x14ac:dyDescent="0.25">
      <c r="K85" s="189"/>
    </row>
    <row r="86" spans="11:11" x14ac:dyDescent="0.25">
      <c r="K86" s="189"/>
    </row>
    <row r="87" spans="11:11" x14ac:dyDescent="0.25">
      <c r="K87" s="189"/>
    </row>
    <row r="88" spans="11:11" x14ac:dyDescent="0.25">
      <c r="K88" s="189"/>
    </row>
    <row r="89" spans="11:11" x14ac:dyDescent="0.25">
      <c r="K89" s="189"/>
    </row>
    <row r="90" spans="11:11" x14ac:dyDescent="0.25">
      <c r="K90" s="189"/>
    </row>
    <row r="91" spans="11:11" x14ac:dyDescent="0.25">
      <c r="K91" s="189"/>
    </row>
    <row r="92" spans="11:11" x14ac:dyDescent="0.25">
      <c r="K92" s="189"/>
    </row>
    <row r="93" spans="11:11" x14ac:dyDescent="0.25">
      <c r="K93" s="189"/>
    </row>
    <row r="94" spans="11:11" x14ac:dyDescent="0.25">
      <c r="K94" s="189"/>
    </row>
    <row r="95" spans="11:11" x14ac:dyDescent="0.25">
      <c r="K95" s="189"/>
    </row>
    <row r="96" spans="11:11" x14ac:dyDescent="0.25">
      <c r="K96" s="189"/>
    </row>
    <row r="97" spans="11:11" x14ac:dyDescent="0.25">
      <c r="K97" s="189"/>
    </row>
    <row r="98" spans="11:11" x14ac:dyDescent="0.25">
      <c r="K98" s="189"/>
    </row>
    <row r="99" spans="11:11" x14ac:dyDescent="0.25">
      <c r="K99" s="189"/>
    </row>
    <row r="100" spans="11:11" x14ac:dyDescent="0.25">
      <c r="K100" s="189"/>
    </row>
    <row r="101" spans="11:11" x14ac:dyDescent="0.25">
      <c r="K101" s="189"/>
    </row>
    <row r="102" spans="11:11" x14ac:dyDescent="0.25">
      <c r="K102" s="189"/>
    </row>
    <row r="103" spans="11:11" x14ac:dyDescent="0.25">
      <c r="K103" s="189"/>
    </row>
    <row r="104" spans="11:11" x14ac:dyDescent="0.25">
      <c r="K104" s="189"/>
    </row>
    <row r="105" spans="11:11" x14ac:dyDescent="0.25">
      <c r="K105" s="189"/>
    </row>
    <row r="106" spans="11:11" x14ac:dyDescent="0.25">
      <c r="K106" s="189"/>
    </row>
    <row r="107" spans="11:11" x14ac:dyDescent="0.25">
      <c r="K107" s="189"/>
    </row>
    <row r="108" spans="11:11" x14ac:dyDescent="0.25">
      <c r="K108" s="189"/>
    </row>
    <row r="109" spans="11:11" x14ac:dyDescent="0.25">
      <c r="K109" s="189"/>
    </row>
    <row r="110" spans="11:11" x14ac:dyDescent="0.25">
      <c r="K110" s="189"/>
    </row>
    <row r="111" spans="11:11" x14ac:dyDescent="0.25">
      <c r="K111" s="189"/>
    </row>
    <row r="112" spans="11:11" x14ac:dyDescent="0.25">
      <c r="K112" s="189"/>
    </row>
    <row r="113" spans="11:11" x14ac:dyDescent="0.25">
      <c r="K113" s="189"/>
    </row>
    <row r="114" spans="11:11" x14ac:dyDescent="0.25">
      <c r="K114" s="189"/>
    </row>
    <row r="115" spans="11:11" x14ac:dyDescent="0.25">
      <c r="K115" s="189"/>
    </row>
    <row r="116" spans="11:11" x14ac:dyDescent="0.25">
      <c r="K116" s="189"/>
    </row>
    <row r="117" spans="11:11" x14ac:dyDescent="0.25">
      <c r="K117" s="189"/>
    </row>
    <row r="118" spans="11:11" x14ac:dyDescent="0.25">
      <c r="K118" s="189"/>
    </row>
    <row r="119" spans="11:11" x14ac:dyDescent="0.25">
      <c r="K119" s="189"/>
    </row>
    <row r="120" spans="11:11" x14ac:dyDescent="0.25">
      <c r="K120" s="189"/>
    </row>
    <row r="121" spans="11:11" x14ac:dyDescent="0.25">
      <c r="K121" s="189"/>
    </row>
    <row r="122" spans="11:11" x14ac:dyDescent="0.25">
      <c r="K122" s="189"/>
    </row>
    <row r="123" spans="11:11" x14ac:dyDescent="0.25">
      <c r="K123" s="189"/>
    </row>
    <row r="124" spans="11:11" x14ac:dyDescent="0.25">
      <c r="K124" s="189"/>
    </row>
    <row r="125" spans="11:11" x14ac:dyDescent="0.25">
      <c r="K125" s="189"/>
    </row>
    <row r="126" spans="11:11" x14ac:dyDescent="0.25">
      <c r="K126" s="189"/>
    </row>
    <row r="127" spans="11:11" x14ac:dyDescent="0.25">
      <c r="K127" s="189"/>
    </row>
    <row r="128" spans="11:11" x14ac:dyDescent="0.25">
      <c r="K128" s="189"/>
    </row>
    <row r="129" spans="11:11" x14ac:dyDescent="0.25">
      <c r="K129" s="189"/>
    </row>
    <row r="130" spans="11:11" x14ac:dyDescent="0.25">
      <c r="K130" s="189"/>
    </row>
    <row r="131" spans="11:11" x14ac:dyDescent="0.25">
      <c r="K131" s="189"/>
    </row>
    <row r="132" spans="11:11" x14ac:dyDescent="0.25">
      <c r="K132" s="189"/>
    </row>
    <row r="133" spans="11:11" x14ac:dyDescent="0.25">
      <c r="K133" s="189"/>
    </row>
    <row r="134" spans="11:11" x14ac:dyDescent="0.25">
      <c r="K134" s="189"/>
    </row>
    <row r="135" spans="11:11" x14ac:dyDescent="0.25">
      <c r="K135" s="189"/>
    </row>
    <row r="136" spans="11:11" x14ac:dyDescent="0.25">
      <c r="K136" s="189"/>
    </row>
    <row r="137" spans="11:11" x14ac:dyDescent="0.25">
      <c r="K137" s="189"/>
    </row>
    <row r="138" spans="11:11" x14ac:dyDescent="0.25">
      <c r="K138" s="189"/>
    </row>
    <row r="139" spans="11:11" x14ac:dyDescent="0.25">
      <c r="K139" s="189"/>
    </row>
    <row r="140" spans="11:11" x14ac:dyDescent="0.25">
      <c r="K140" s="189"/>
    </row>
    <row r="141" spans="11:11" x14ac:dyDescent="0.25">
      <c r="K141" s="189"/>
    </row>
    <row r="142" spans="11:11" x14ac:dyDescent="0.25">
      <c r="K142" s="189"/>
    </row>
    <row r="143" spans="11:11" x14ac:dyDescent="0.25">
      <c r="K143" s="189"/>
    </row>
    <row r="144" spans="11:11" x14ac:dyDescent="0.25">
      <c r="K144" s="189"/>
    </row>
    <row r="145" spans="11:11" x14ac:dyDescent="0.25">
      <c r="K145" s="189"/>
    </row>
    <row r="146" spans="11:11" x14ac:dyDescent="0.25">
      <c r="K146" s="189"/>
    </row>
    <row r="147" spans="11:11" x14ac:dyDescent="0.25">
      <c r="K147" s="189"/>
    </row>
    <row r="148" spans="11:11" x14ac:dyDescent="0.25">
      <c r="K148" s="189"/>
    </row>
    <row r="149" spans="11:11" x14ac:dyDescent="0.25">
      <c r="K149" s="189"/>
    </row>
    <row r="150" spans="11:11" x14ac:dyDescent="0.25">
      <c r="K150" s="189"/>
    </row>
    <row r="151" spans="11:11" x14ac:dyDescent="0.25">
      <c r="K151" s="189"/>
    </row>
    <row r="152" spans="11:11" x14ac:dyDescent="0.25">
      <c r="K152" s="189"/>
    </row>
    <row r="153" spans="11:11" x14ac:dyDescent="0.25">
      <c r="K153" s="189"/>
    </row>
    <row r="154" spans="11:11" x14ac:dyDescent="0.25">
      <c r="K154" s="189"/>
    </row>
    <row r="155" spans="11:11" x14ac:dyDescent="0.25">
      <c r="K155" s="189"/>
    </row>
    <row r="156" spans="11:11" x14ac:dyDescent="0.25">
      <c r="K156" s="189"/>
    </row>
    <row r="157" spans="11:11" x14ac:dyDescent="0.25">
      <c r="K157" s="189"/>
    </row>
    <row r="158" spans="11:11" x14ac:dyDescent="0.25">
      <c r="K158" s="189"/>
    </row>
    <row r="159" spans="11:11" x14ac:dyDescent="0.25">
      <c r="K159" s="189"/>
    </row>
    <row r="160" spans="11:11" x14ac:dyDescent="0.25">
      <c r="K160" s="189"/>
    </row>
    <row r="161" spans="11:11" x14ac:dyDescent="0.25">
      <c r="K161" s="189"/>
    </row>
    <row r="162" spans="11:11" x14ac:dyDescent="0.25">
      <c r="K162" s="189"/>
    </row>
    <row r="163" spans="11:11" x14ac:dyDescent="0.25">
      <c r="K163" s="189"/>
    </row>
    <row r="164" spans="11:11" x14ac:dyDescent="0.25">
      <c r="K164" s="189"/>
    </row>
    <row r="165" spans="11:11" x14ac:dyDescent="0.25">
      <c r="K165" s="189"/>
    </row>
    <row r="166" spans="11:11" x14ac:dyDescent="0.25">
      <c r="K166" s="189"/>
    </row>
    <row r="167" spans="11:11" x14ac:dyDescent="0.25">
      <c r="K167" s="189"/>
    </row>
    <row r="168" spans="11:11" x14ac:dyDescent="0.25">
      <c r="K168" s="189"/>
    </row>
    <row r="169" spans="11:11" x14ac:dyDescent="0.25">
      <c r="K169" s="189"/>
    </row>
    <row r="170" spans="11:11" x14ac:dyDescent="0.25">
      <c r="K170" s="189"/>
    </row>
    <row r="171" spans="11:11" x14ac:dyDescent="0.25">
      <c r="K171" s="189"/>
    </row>
    <row r="172" spans="11:11" x14ac:dyDescent="0.25">
      <c r="K172" s="189"/>
    </row>
    <row r="173" spans="11:11" x14ac:dyDescent="0.25">
      <c r="K173" s="189"/>
    </row>
    <row r="174" spans="11:11" x14ac:dyDescent="0.25">
      <c r="K174" s="189"/>
    </row>
    <row r="175" spans="11:11" x14ac:dyDescent="0.25">
      <c r="K175" s="189"/>
    </row>
    <row r="176" spans="11:11" x14ac:dyDescent="0.25">
      <c r="K176" s="189"/>
    </row>
    <row r="177" spans="11:11" x14ac:dyDescent="0.25">
      <c r="K177" s="189"/>
    </row>
    <row r="178" spans="11:11" x14ac:dyDescent="0.25">
      <c r="K178" s="189"/>
    </row>
    <row r="179" spans="11:11" x14ac:dyDescent="0.25">
      <c r="K179" s="189"/>
    </row>
    <row r="180" spans="11:11" x14ac:dyDescent="0.25">
      <c r="K180" s="189"/>
    </row>
    <row r="181" spans="11:11" x14ac:dyDescent="0.25">
      <c r="K181" s="189"/>
    </row>
    <row r="182" spans="11:11" x14ac:dyDescent="0.25">
      <c r="K182" s="189"/>
    </row>
    <row r="183" spans="11:11" x14ac:dyDescent="0.25">
      <c r="K183" s="189"/>
    </row>
    <row r="184" spans="11:11" x14ac:dyDescent="0.25">
      <c r="K184" s="189"/>
    </row>
    <row r="185" spans="11:11" x14ac:dyDescent="0.25">
      <c r="K185" s="189"/>
    </row>
    <row r="186" spans="11:11" x14ac:dyDescent="0.25">
      <c r="K186" s="189"/>
    </row>
    <row r="187" spans="11:11" x14ac:dyDescent="0.25">
      <c r="K187" s="189"/>
    </row>
    <row r="188" spans="11:11" x14ac:dyDescent="0.25">
      <c r="K188" s="189"/>
    </row>
    <row r="189" spans="11:11" x14ac:dyDescent="0.25">
      <c r="K189" s="189"/>
    </row>
    <row r="190" spans="11:11" x14ac:dyDescent="0.25">
      <c r="K190" s="189"/>
    </row>
    <row r="191" spans="11:11" x14ac:dyDescent="0.25">
      <c r="K191" s="189"/>
    </row>
    <row r="192" spans="11:11" x14ac:dyDescent="0.25">
      <c r="K192" s="189"/>
    </row>
    <row r="193" spans="11:11" x14ac:dyDescent="0.25">
      <c r="K193" s="189"/>
    </row>
    <row r="194" spans="11:11" x14ac:dyDescent="0.25">
      <c r="K194" s="189"/>
    </row>
    <row r="195" spans="11:11" x14ac:dyDescent="0.25">
      <c r="K195" s="189"/>
    </row>
    <row r="196" spans="11:11" x14ac:dyDescent="0.25">
      <c r="K196" s="189"/>
    </row>
    <row r="197" spans="11:11" x14ac:dyDescent="0.25">
      <c r="K197" s="189"/>
    </row>
    <row r="198" spans="11:11" x14ac:dyDescent="0.25">
      <c r="K198" s="189"/>
    </row>
    <row r="199" spans="11:11" x14ac:dyDescent="0.25">
      <c r="K199" s="189"/>
    </row>
    <row r="200" spans="11:11" x14ac:dyDescent="0.25">
      <c r="K200" s="189"/>
    </row>
    <row r="201" spans="11:11" x14ac:dyDescent="0.25">
      <c r="K201" s="189"/>
    </row>
    <row r="202" spans="11:11" x14ac:dyDescent="0.25">
      <c r="K202" s="189"/>
    </row>
    <row r="203" spans="11:11" x14ac:dyDescent="0.25">
      <c r="K203" s="189"/>
    </row>
    <row r="204" spans="11:11" x14ac:dyDescent="0.25">
      <c r="K204" s="189"/>
    </row>
    <row r="205" spans="11:11" x14ac:dyDescent="0.25">
      <c r="K205" s="189"/>
    </row>
    <row r="206" spans="11:11" x14ac:dyDescent="0.25">
      <c r="K206" s="189"/>
    </row>
    <row r="207" spans="11:11" x14ac:dyDescent="0.25">
      <c r="K207" s="189"/>
    </row>
    <row r="208" spans="11:11" x14ac:dyDescent="0.25">
      <c r="K208" s="189"/>
    </row>
    <row r="209" spans="11:11" x14ac:dyDescent="0.25">
      <c r="K209" s="189"/>
    </row>
    <row r="210" spans="11:11" x14ac:dyDescent="0.25">
      <c r="K210" s="189"/>
    </row>
    <row r="211" spans="11:11" x14ac:dyDescent="0.25">
      <c r="K211" s="189"/>
    </row>
    <row r="212" spans="11:11" x14ac:dyDescent="0.25">
      <c r="K212" s="189"/>
    </row>
    <row r="213" spans="11:11" x14ac:dyDescent="0.25">
      <c r="K213" s="189"/>
    </row>
    <row r="214" spans="11:11" x14ac:dyDescent="0.25">
      <c r="K214" s="189"/>
    </row>
    <row r="215" spans="11:11" x14ac:dyDescent="0.25">
      <c r="K215" s="189"/>
    </row>
    <row r="216" spans="11:11" x14ac:dyDescent="0.25">
      <c r="K216" s="189"/>
    </row>
    <row r="217" spans="11:11" x14ac:dyDescent="0.25">
      <c r="K217" s="189"/>
    </row>
    <row r="218" spans="11:11" x14ac:dyDescent="0.25">
      <c r="K218" s="189"/>
    </row>
    <row r="219" spans="11:11" x14ac:dyDescent="0.25">
      <c r="K219" s="189"/>
    </row>
    <row r="220" spans="11:11" x14ac:dyDescent="0.25">
      <c r="K220" s="189"/>
    </row>
    <row r="221" spans="11:11" x14ac:dyDescent="0.25">
      <c r="K221" s="189"/>
    </row>
    <row r="222" spans="11:11" x14ac:dyDescent="0.25">
      <c r="K222" s="189"/>
    </row>
    <row r="223" spans="11:11" x14ac:dyDescent="0.25">
      <c r="K223" s="189"/>
    </row>
    <row r="224" spans="11:11" x14ac:dyDescent="0.25">
      <c r="K224" s="189"/>
    </row>
    <row r="225" spans="11:11" x14ac:dyDescent="0.25">
      <c r="K225" s="189"/>
    </row>
    <row r="226" spans="11:11" x14ac:dyDescent="0.25">
      <c r="K226" s="189"/>
    </row>
    <row r="227" spans="11:11" x14ac:dyDescent="0.25">
      <c r="K227" s="189"/>
    </row>
    <row r="228" spans="11:11" x14ac:dyDescent="0.25">
      <c r="K228" s="189"/>
    </row>
    <row r="229" spans="11:11" x14ac:dyDescent="0.25">
      <c r="K229" s="189"/>
    </row>
    <row r="230" spans="11:11" x14ac:dyDescent="0.25">
      <c r="K230" s="189"/>
    </row>
    <row r="231" spans="11:11" x14ac:dyDescent="0.25">
      <c r="K231" s="189"/>
    </row>
    <row r="232" spans="11:11" x14ac:dyDescent="0.25">
      <c r="K232" s="189"/>
    </row>
    <row r="233" spans="11:11" x14ac:dyDescent="0.25">
      <c r="K233" s="189"/>
    </row>
    <row r="234" spans="11:11" x14ac:dyDescent="0.25">
      <c r="K234" s="189"/>
    </row>
    <row r="235" spans="11:11" x14ac:dyDescent="0.25">
      <c r="K235" s="189"/>
    </row>
    <row r="236" spans="11:11" x14ac:dyDescent="0.25">
      <c r="K236" s="189"/>
    </row>
    <row r="237" spans="11:11" x14ac:dyDescent="0.25">
      <c r="K237" s="189"/>
    </row>
    <row r="238" spans="11:11" x14ac:dyDescent="0.25">
      <c r="K238" s="189"/>
    </row>
    <row r="239" spans="11:11" x14ac:dyDescent="0.25">
      <c r="K239" s="189"/>
    </row>
    <row r="240" spans="11:11" x14ac:dyDescent="0.25">
      <c r="K240" s="189"/>
    </row>
    <row r="241" spans="11:11" x14ac:dyDescent="0.25">
      <c r="K241" s="189"/>
    </row>
    <row r="242" spans="11:11" x14ac:dyDescent="0.25">
      <c r="K242" s="189"/>
    </row>
    <row r="243" spans="11:11" x14ac:dyDescent="0.25">
      <c r="K243" s="189"/>
    </row>
    <row r="244" spans="11:11" x14ac:dyDescent="0.25">
      <c r="K244" s="189"/>
    </row>
    <row r="245" spans="11:11" x14ac:dyDescent="0.25">
      <c r="K245" s="189"/>
    </row>
    <row r="246" spans="11:11" x14ac:dyDescent="0.25">
      <c r="K246" s="189"/>
    </row>
    <row r="247" spans="11:11" x14ac:dyDescent="0.25">
      <c r="K247" s="189"/>
    </row>
    <row r="248" spans="11:11" x14ac:dyDescent="0.25">
      <c r="K248" s="189"/>
    </row>
    <row r="249" spans="11:11" x14ac:dyDescent="0.25">
      <c r="K249" s="189"/>
    </row>
    <row r="250" spans="11:11" x14ac:dyDescent="0.25">
      <c r="K250" s="189"/>
    </row>
    <row r="251" spans="11:11" x14ac:dyDescent="0.25">
      <c r="K251" s="189"/>
    </row>
    <row r="252" spans="11:11" x14ac:dyDescent="0.25">
      <c r="K252" s="189"/>
    </row>
    <row r="253" spans="11:11" x14ac:dyDescent="0.25">
      <c r="K253" s="189"/>
    </row>
    <row r="254" spans="11:11" x14ac:dyDescent="0.25">
      <c r="K254" s="189"/>
    </row>
    <row r="255" spans="11:11" x14ac:dyDescent="0.25">
      <c r="K255" s="189"/>
    </row>
    <row r="256" spans="11:11" x14ac:dyDescent="0.25">
      <c r="K256" s="189"/>
    </row>
    <row r="257" spans="11:11" x14ac:dyDescent="0.25">
      <c r="K257" s="189"/>
    </row>
    <row r="258" spans="11:11" x14ac:dyDescent="0.25">
      <c r="K258" s="189"/>
    </row>
    <row r="259" spans="11:11" x14ac:dyDescent="0.25">
      <c r="K259" s="189"/>
    </row>
    <row r="260" spans="11:11" x14ac:dyDescent="0.25">
      <c r="K260" s="189"/>
    </row>
    <row r="261" spans="11:11" x14ac:dyDescent="0.25">
      <c r="K261" s="189"/>
    </row>
    <row r="262" spans="11:11" x14ac:dyDescent="0.25">
      <c r="K262" s="189"/>
    </row>
    <row r="263" spans="11:11" x14ac:dyDescent="0.25">
      <c r="K263" s="189"/>
    </row>
    <row r="264" spans="11:11" x14ac:dyDescent="0.25">
      <c r="K264" s="189"/>
    </row>
    <row r="265" spans="11:11" x14ac:dyDescent="0.25">
      <c r="K265" s="189"/>
    </row>
    <row r="266" spans="11:11" x14ac:dyDescent="0.25">
      <c r="K266" s="189"/>
    </row>
    <row r="267" spans="11:11" x14ac:dyDescent="0.25">
      <c r="K267" s="189"/>
    </row>
    <row r="268" spans="11:11" x14ac:dyDescent="0.25">
      <c r="K268" s="189"/>
    </row>
    <row r="269" spans="11:11" x14ac:dyDescent="0.25">
      <c r="K269" s="189"/>
    </row>
    <row r="270" spans="11:11" x14ac:dyDescent="0.25">
      <c r="K270" s="189"/>
    </row>
    <row r="271" spans="11:11" x14ac:dyDescent="0.25">
      <c r="K271" s="189"/>
    </row>
    <row r="272" spans="11:11" x14ac:dyDescent="0.25">
      <c r="K272" s="189"/>
    </row>
    <row r="273" spans="11:11" x14ac:dyDescent="0.25">
      <c r="K273" s="189"/>
    </row>
    <row r="274" spans="11:11" x14ac:dyDescent="0.25">
      <c r="K274" s="189"/>
    </row>
    <row r="275" spans="11:11" x14ac:dyDescent="0.25">
      <c r="K275" s="189"/>
    </row>
    <row r="276" spans="11:11" x14ac:dyDescent="0.25">
      <c r="K276" s="189"/>
    </row>
    <row r="277" spans="11:11" x14ac:dyDescent="0.25">
      <c r="K277" s="189"/>
    </row>
    <row r="278" spans="11:11" x14ac:dyDescent="0.25">
      <c r="K278" s="189"/>
    </row>
    <row r="279" spans="11:11" x14ac:dyDescent="0.25">
      <c r="K279" s="189"/>
    </row>
    <row r="280" spans="11:11" x14ac:dyDescent="0.25">
      <c r="K280" s="189"/>
    </row>
    <row r="281" spans="11:11" x14ac:dyDescent="0.25">
      <c r="K281" s="189"/>
    </row>
    <row r="282" spans="11:11" x14ac:dyDescent="0.25">
      <c r="K282" s="189"/>
    </row>
    <row r="283" spans="11:11" x14ac:dyDescent="0.25">
      <c r="K283" s="189"/>
    </row>
    <row r="284" spans="11:11" x14ac:dyDescent="0.25">
      <c r="K284" s="189"/>
    </row>
    <row r="285" spans="11:11" x14ac:dyDescent="0.25">
      <c r="K285" s="189"/>
    </row>
    <row r="286" spans="11:11" x14ac:dyDescent="0.25">
      <c r="K286" s="189"/>
    </row>
    <row r="287" spans="11:11" x14ac:dyDescent="0.25">
      <c r="K287" s="189"/>
    </row>
    <row r="288" spans="11:11" x14ac:dyDescent="0.25">
      <c r="K288" s="189"/>
    </row>
    <row r="289" spans="11:11" x14ac:dyDescent="0.25">
      <c r="K289" s="189"/>
    </row>
    <row r="290" spans="11:11" x14ac:dyDescent="0.25">
      <c r="K290" s="189"/>
    </row>
    <row r="291" spans="11:11" x14ac:dyDescent="0.25">
      <c r="K291" s="189"/>
    </row>
    <row r="292" spans="11:11" x14ac:dyDescent="0.25">
      <c r="K292" s="189"/>
    </row>
    <row r="293" spans="11:11" x14ac:dyDescent="0.25">
      <c r="K293" s="189"/>
    </row>
    <row r="294" spans="11:11" x14ac:dyDescent="0.25">
      <c r="K294" s="189"/>
    </row>
    <row r="295" spans="11:11" x14ac:dyDescent="0.25">
      <c r="K295" s="189"/>
    </row>
    <row r="296" spans="11:11" x14ac:dyDescent="0.25">
      <c r="K296" s="189"/>
    </row>
    <row r="297" spans="11:11" x14ac:dyDescent="0.25">
      <c r="K297" s="189"/>
    </row>
    <row r="298" spans="11:11" x14ac:dyDescent="0.25">
      <c r="K298" s="189"/>
    </row>
    <row r="299" spans="11:11" x14ac:dyDescent="0.25">
      <c r="K299" s="189"/>
    </row>
    <row r="300" spans="11:11" x14ac:dyDescent="0.25">
      <c r="K300" s="189"/>
    </row>
    <row r="301" spans="11:11" x14ac:dyDescent="0.25">
      <c r="K301" s="189"/>
    </row>
    <row r="302" spans="11:11" x14ac:dyDescent="0.25">
      <c r="K302" s="189"/>
    </row>
    <row r="303" spans="11:11" x14ac:dyDescent="0.25">
      <c r="K303" s="189"/>
    </row>
    <row r="304" spans="11:11" x14ac:dyDescent="0.25">
      <c r="K304" s="189"/>
    </row>
    <row r="305" spans="11:11" x14ac:dyDescent="0.25">
      <c r="K305" s="189"/>
    </row>
    <row r="306" spans="11:11" x14ac:dyDescent="0.25">
      <c r="K306" s="189"/>
    </row>
    <row r="307" spans="11:11" x14ac:dyDescent="0.25">
      <c r="K307" s="189"/>
    </row>
    <row r="308" spans="11:11" x14ac:dyDescent="0.25">
      <c r="K308" s="189"/>
    </row>
    <row r="309" spans="11:11" x14ac:dyDescent="0.25">
      <c r="K309" s="189"/>
    </row>
    <row r="310" spans="11:11" x14ac:dyDescent="0.25">
      <c r="K310" s="189"/>
    </row>
    <row r="311" spans="11:11" x14ac:dyDescent="0.25">
      <c r="K311" s="189"/>
    </row>
    <row r="312" spans="11:11" x14ac:dyDescent="0.25">
      <c r="K312" s="189"/>
    </row>
    <row r="313" spans="11:11" x14ac:dyDescent="0.25">
      <c r="K313" s="189"/>
    </row>
    <row r="314" spans="11:11" x14ac:dyDescent="0.25">
      <c r="K314" s="189"/>
    </row>
    <row r="315" spans="11:11" x14ac:dyDescent="0.25">
      <c r="K315" s="189"/>
    </row>
    <row r="316" spans="11:11" x14ac:dyDescent="0.25">
      <c r="K316" s="189"/>
    </row>
    <row r="317" spans="11:11" x14ac:dyDescent="0.25">
      <c r="K317" s="189"/>
    </row>
    <row r="318" spans="11:11" x14ac:dyDescent="0.25">
      <c r="K318" s="189"/>
    </row>
    <row r="319" spans="11:11" x14ac:dyDescent="0.25">
      <c r="K319" s="189"/>
    </row>
    <row r="320" spans="11:11" x14ac:dyDescent="0.25">
      <c r="K320" s="189"/>
    </row>
    <row r="321" spans="11:11" x14ac:dyDescent="0.25">
      <c r="K321" s="189"/>
    </row>
    <row r="322" spans="11:11" x14ac:dyDescent="0.25">
      <c r="K322" s="189"/>
    </row>
    <row r="323" spans="11:11" x14ac:dyDescent="0.25">
      <c r="K323" s="189"/>
    </row>
    <row r="324" spans="11:11" x14ac:dyDescent="0.25">
      <c r="K324" s="189"/>
    </row>
    <row r="325" spans="11:11" x14ac:dyDescent="0.25">
      <c r="K325" s="189"/>
    </row>
    <row r="326" spans="11:11" x14ac:dyDescent="0.25">
      <c r="K326" s="189"/>
    </row>
    <row r="327" spans="11:11" x14ac:dyDescent="0.25">
      <c r="K327" s="189"/>
    </row>
    <row r="328" spans="11:11" x14ac:dyDescent="0.25">
      <c r="K328" s="189"/>
    </row>
    <row r="329" spans="11:11" x14ac:dyDescent="0.25">
      <c r="K329" s="189"/>
    </row>
    <row r="330" spans="11:11" x14ac:dyDescent="0.25">
      <c r="K330" s="189"/>
    </row>
    <row r="331" spans="11:11" x14ac:dyDescent="0.25">
      <c r="K331" s="189"/>
    </row>
    <row r="332" spans="11:11" x14ac:dyDescent="0.25">
      <c r="K332" s="189"/>
    </row>
    <row r="333" spans="11:11" x14ac:dyDescent="0.25">
      <c r="K333" s="189"/>
    </row>
    <row r="334" spans="11:11" x14ac:dyDescent="0.25">
      <c r="K334" s="189"/>
    </row>
    <row r="335" spans="11:11" x14ac:dyDescent="0.25">
      <c r="K335" s="189"/>
    </row>
    <row r="336" spans="11:11" x14ac:dyDescent="0.25">
      <c r="K336" s="189"/>
    </row>
    <row r="337" spans="11:11" x14ac:dyDescent="0.25">
      <c r="K337" s="189"/>
    </row>
    <row r="338" spans="11:11" x14ac:dyDescent="0.25">
      <c r="K338" s="189"/>
    </row>
    <row r="339" spans="11:11" x14ac:dyDescent="0.25">
      <c r="K339" s="189"/>
    </row>
    <row r="340" spans="11:11" x14ac:dyDescent="0.25">
      <c r="K340" s="189"/>
    </row>
    <row r="341" spans="11:11" x14ac:dyDescent="0.25">
      <c r="K341" s="189"/>
    </row>
    <row r="342" spans="11:11" x14ac:dyDescent="0.25">
      <c r="K342" s="189"/>
    </row>
    <row r="343" spans="11:11" x14ac:dyDescent="0.25">
      <c r="K343" s="189"/>
    </row>
    <row r="344" spans="11:11" x14ac:dyDescent="0.25">
      <c r="K344" s="189"/>
    </row>
    <row r="345" spans="11:11" x14ac:dyDescent="0.25">
      <c r="K345" s="189"/>
    </row>
    <row r="346" spans="11:11" x14ac:dyDescent="0.25">
      <c r="K346" s="189"/>
    </row>
    <row r="347" spans="11:11" x14ac:dyDescent="0.25">
      <c r="K347" s="189"/>
    </row>
    <row r="348" spans="11:11" x14ac:dyDescent="0.25">
      <c r="K348" s="189"/>
    </row>
    <row r="349" spans="11:11" x14ac:dyDescent="0.25">
      <c r="K349" s="189"/>
    </row>
    <row r="350" spans="11:11" x14ac:dyDescent="0.25">
      <c r="K350" s="189"/>
    </row>
    <row r="351" spans="11:11" x14ac:dyDescent="0.25">
      <c r="K351" s="189"/>
    </row>
    <row r="352" spans="11:11" x14ac:dyDescent="0.25">
      <c r="K352" s="189"/>
    </row>
    <row r="353" spans="11:11" x14ac:dyDescent="0.25">
      <c r="K353" s="189"/>
    </row>
    <row r="354" spans="11:11" x14ac:dyDescent="0.25">
      <c r="K354" s="189"/>
    </row>
    <row r="355" spans="11:11" x14ac:dyDescent="0.25">
      <c r="K355" s="189"/>
    </row>
    <row r="356" spans="11:11" x14ac:dyDescent="0.25">
      <c r="K356" s="189"/>
    </row>
    <row r="357" spans="11:11" x14ac:dyDescent="0.25">
      <c r="K357" s="189"/>
    </row>
    <row r="358" spans="11:11" x14ac:dyDescent="0.25">
      <c r="K358" s="189"/>
    </row>
    <row r="359" spans="11:11" x14ac:dyDescent="0.25">
      <c r="K359" s="189"/>
    </row>
    <row r="360" spans="11:11" x14ac:dyDescent="0.25">
      <c r="K360" s="189"/>
    </row>
    <row r="361" spans="11:11" x14ac:dyDescent="0.25">
      <c r="K361" s="189"/>
    </row>
    <row r="362" spans="11:11" x14ac:dyDescent="0.25">
      <c r="K362" s="189"/>
    </row>
    <row r="363" spans="11:11" x14ac:dyDescent="0.25">
      <c r="K363" s="189"/>
    </row>
    <row r="364" spans="11:11" x14ac:dyDescent="0.25">
      <c r="K364" s="189"/>
    </row>
    <row r="365" spans="11:11" x14ac:dyDescent="0.25">
      <c r="K365" s="189"/>
    </row>
    <row r="366" spans="11:11" x14ac:dyDescent="0.25">
      <c r="K366" s="189"/>
    </row>
    <row r="367" spans="11:11" x14ac:dyDescent="0.25">
      <c r="K367" s="189"/>
    </row>
    <row r="368" spans="11:11" x14ac:dyDescent="0.25">
      <c r="K368" s="189"/>
    </row>
    <row r="369" spans="11:11" x14ac:dyDescent="0.25">
      <c r="K369" s="189"/>
    </row>
    <row r="370" spans="11:11" x14ac:dyDescent="0.25">
      <c r="K370" s="189"/>
    </row>
    <row r="371" spans="11:11" x14ac:dyDescent="0.25">
      <c r="K371" s="189"/>
    </row>
    <row r="372" spans="11:11" x14ac:dyDescent="0.25">
      <c r="K372" s="189"/>
    </row>
    <row r="373" spans="11:11" x14ac:dyDescent="0.25">
      <c r="K373" s="189"/>
    </row>
    <row r="374" spans="11:11" x14ac:dyDescent="0.25">
      <c r="K374" s="189"/>
    </row>
    <row r="375" spans="11:11" x14ac:dyDescent="0.25">
      <c r="K375" s="189"/>
    </row>
    <row r="376" spans="11:11" x14ac:dyDescent="0.25">
      <c r="K376" s="189"/>
    </row>
    <row r="377" spans="11:11" x14ac:dyDescent="0.25">
      <c r="K377" s="189"/>
    </row>
    <row r="378" spans="11:11" x14ac:dyDescent="0.25">
      <c r="K378" s="189"/>
    </row>
    <row r="379" spans="11:11" x14ac:dyDescent="0.25">
      <c r="K379" s="189"/>
    </row>
    <row r="380" spans="11:11" x14ac:dyDescent="0.25">
      <c r="K380" s="189"/>
    </row>
    <row r="381" spans="11:11" x14ac:dyDescent="0.25">
      <c r="K381" s="189"/>
    </row>
    <row r="382" spans="11:11" x14ac:dyDescent="0.25">
      <c r="K382" s="189"/>
    </row>
    <row r="383" spans="11:11" x14ac:dyDescent="0.25">
      <c r="K383" s="189"/>
    </row>
    <row r="384" spans="11:11" x14ac:dyDescent="0.25">
      <c r="K384" s="189"/>
    </row>
    <row r="385" spans="11:11" x14ac:dyDescent="0.25">
      <c r="K385" s="189"/>
    </row>
    <row r="386" spans="11:11" x14ac:dyDescent="0.25">
      <c r="K386" s="189"/>
    </row>
    <row r="387" spans="11:11" x14ac:dyDescent="0.25">
      <c r="K387" s="189"/>
    </row>
    <row r="388" spans="11:11" x14ac:dyDescent="0.25">
      <c r="K388" s="189"/>
    </row>
    <row r="389" spans="11:11" x14ac:dyDescent="0.25">
      <c r="K389" s="189"/>
    </row>
    <row r="390" spans="11:11" x14ac:dyDescent="0.25">
      <c r="K390" s="189"/>
    </row>
    <row r="391" spans="11:11" x14ac:dyDescent="0.25">
      <c r="K391" s="189"/>
    </row>
    <row r="392" spans="11:11" x14ac:dyDescent="0.25">
      <c r="K392" s="189"/>
    </row>
    <row r="393" spans="11:11" x14ac:dyDescent="0.25">
      <c r="K393" s="189"/>
    </row>
    <row r="394" spans="11:11" x14ac:dyDescent="0.25">
      <c r="K394" s="189"/>
    </row>
    <row r="395" spans="11:11" x14ac:dyDescent="0.25">
      <c r="K395" s="189"/>
    </row>
    <row r="396" spans="11:11" x14ac:dyDescent="0.25">
      <c r="K396" s="189"/>
    </row>
    <row r="397" spans="11:11" x14ac:dyDescent="0.25">
      <c r="K397" s="189"/>
    </row>
    <row r="398" spans="11:11" x14ac:dyDescent="0.25">
      <c r="K398" s="189"/>
    </row>
    <row r="399" spans="11:11" x14ac:dyDescent="0.25">
      <c r="K399" s="189"/>
    </row>
    <row r="400" spans="11:11" x14ac:dyDescent="0.25">
      <c r="K400" s="189"/>
    </row>
    <row r="401" spans="11:11" x14ac:dyDescent="0.25">
      <c r="K401" s="189"/>
    </row>
    <row r="402" spans="11:11" x14ac:dyDescent="0.25">
      <c r="K402" s="189"/>
    </row>
    <row r="403" spans="11:11" x14ac:dyDescent="0.25">
      <c r="K403" s="189"/>
    </row>
    <row r="404" spans="11:11" x14ac:dyDescent="0.25">
      <c r="K404" s="189"/>
    </row>
    <row r="405" spans="11:11" x14ac:dyDescent="0.25">
      <c r="K405" s="189"/>
    </row>
    <row r="406" spans="11:11" x14ac:dyDescent="0.25">
      <c r="K406" s="189"/>
    </row>
    <row r="407" spans="11:11" x14ac:dyDescent="0.25">
      <c r="K407" s="189"/>
    </row>
    <row r="408" spans="11:11" x14ac:dyDescent="0.25">
      <c r="K408" s="189"/>
    </row>
    <row r="409" spans="11:11" x14ac:dyDescent="0.25">
      <c r="K409" s="189"/>
    </row>
    <row r="410" spans="11:11" x14ac:dyDescent="0.25">
      <c r="K410" s="189"/>
    </row>
    <row r="411" spans="11:11" x14ac:dyDescent="0.25">
      <c r="K411" s="189"/>
    </row>
    <row r="412" spans="11:11" x14ac:dyDescent="0.25">
      <c r="K412" s="189"/>
    </row>
    <row r="413" spans="11:11" x14ac:dyDescent="0.25">
      <c r="K413" s="189"/>
    </row>
    <row r="414" spans="11:11" x14ac:dyDescent="0.25">
      <c r="K414" s="189"/>
    </row>
    <row r="415" spans="11:11" x14ac:dyDescent="0.25">
      <c r="K415" s="189"/>
    </row>
    <row r="416" spans="11:11" x14ac:dyDescent="0.25">
      <c r="K416" s="189"/>
    </row>
    <row r="417" spans="11:11" x14ac:dyDescent="0.25">
      <c r="K417" s="189"/>
    </row>
    <row r="418" spans="11:11" x14ac:dyDescent="0.25">
      <c r="K418" s="189"/>
    </row>
    <row r="419" spans="11:11" x14ac:dyDescent="0.25">
      <c r="K419" s="189"/>
    </row>
    <row r="420" spans="11:11" x14ac:dyDescent="0.25">
      <c r="K420" s="189"/>
    </row>
    <row r="421" spans="11:11" x14ac:dyDescent="0.25">
      <c r="K421" s="189"/>
    </row>
    <row r="422" spans="11:11" x14ac:dyDescent="0.25">
      <c r="K422" s="189"/>
    </row>
    <row r="423" spans="11:11" x14ac:dyDescent="0.25">
      <c r="K423" s="189"/>
    </row>
    <row r="424" spans="11:11" x14ac:dyDescent="0.25">
      <c r="K424" s="189"/>
    </row>
    <row r="425" spans="11:11" x14ac:dyDescent="0.25">
      <c r="K425" s="189"/>
    </row>
    <row r="426" spans="11:11" x14ac:dyDescent="0.25">
      <c r="K426" s="189"/>
    </row>
    <row r="427" spans="11:11" x14ac:dyDescent="0.25">
      <c r="K427" s="189"/>
    </row>
    <row r="428" spans="11:11" x14ac:dyDescent="0.25">
      <c r="K428" s="189"/>
    </row>
    <row r="429" spans="11:11" x14ac:dyDescent="0.25">
      <c r="K429" s="189"/>
    </row>
    <row r="430" spans="11:11" x14ac:dyDescent="0.25">
      <c r="K430" s="189"/>
    </row>
    <row r="431" spans="11:11" x14ac:dyDescent="0.25">
      <c r="K431" s="189"/>
    </row>
    <row r="432" spans="11:11" x14ac:dyDescent="0.25">
      <c r="K432" s="189"/>
    </row>
    <row r="433" spans="11:11" x14ac:dyDescent="0.25">
      <c r="K433" s="189"/>
    </row>
    <row r="434" spans="11:11" x14ac:dyDescent="0.25">
      <c r="K434" s="189"/>
    </row>
    <row r="435" spans="11:11" x14ac:dyDescent="0.25">
      <c r="K435" s="189"/>
    </row>
    <row r="436" spans="11:11" x14ac:dyDescent="0.25">
      <c r="K436" s="189"/>
    </row>
    <row r="437" spans="11:11" x14ac:dyDescent="0.25">
      <c r="K437" s="189"/>
    </row>
    <row r="438" spans="11:11" x14ac:dyDescent="0.25">
      <c r="K438" s="189"/>
    </row>
    <row r="439" spans="11:11" x14ac:dyDescent="0.25">
      <c r="K439" s="189"/>
    </row>
    <row r="440" spans="11:11" x14ac:dyDescent="0.25">
      <c r="K440" s="189"/>
    </row>
    <row r="441" spans="11:11" x14ac:dyDescent="0.25">
      <c r="K441" s="189"/>
    </row>
    <row r="442" spans="11:11" x14ac:dyDescent="0.25">
      <c r="K442" s="189"/>
    </row>
    <row r="443" spans="11:11" x14ac:dyDescent="0.25">
      <c r="K443" s="189"/>
    </row>
    <row r="444" spans="11:11" x14ac:dyDescent="0.25">
      <c r="K444" s="189"/>
    </row>
    <row r="445" spans="11:11" x14ac:dyDescent="0.25">
      <c r="K445" s="189"/>
    </row>
    <row r="446" spans="11:11" x14ac:dyDescent="0.25">
      <c r="K446" s="189"/>
    </row>
    <row r="447" spans="11:11" x14ac:dyDescent="0.25">
      <c r="K447" s="189"/>
    </row>
    <row r="448" spans="11:11" x14ac:dyDescent="0.25">
      <c r="K448" s="189"/>
    </row>
    <row r="449" spans="11:11" x14ac:dyDescent="0.25">
      <c r="K449" s="189"/>
    </row>
    <row r="450" spans="11:11" x14ac:dyDescent="0.25">
      <c r="K450" s="189"/>
    </row>
    <row r="451" spans="11:11" x14ac:dyDescent="0.25">
      <c r="K451" s="189"/>
    </row>
    <row r="452" spans="11:11" x14ac:dyDescent="0.25">
      <c r="K452" s="189"/>
    </row>
    <row r="453" spans="11:11" x14ac:dyDescent="0.25">
      <c r="K453" s="189"/>
    </row>
    <row r="454" spans="11:11" x14ac:dyDescent="0.25">
      <c r="K454" s="189"/>
    </row>
    <row r="455" spans="11:11" x14ac:dyDescent="0.25">
      <c r="K455" s="189"/>
    </row>
    <row r="456" spans="11:11" x14ac:dyDescent="0.25">
      <c r="K456" s="189"/>
    </row>
    <row r="457" spans="11:11" x14ac:dyDescent="0.25">
      <c r="K457" s="189"/>
    </row>
    <row r="458" spans="11:11" x14ac:dyDescent="0.25">
      <c r="K458" s="189"/>
    </row>
    <row r="459" spans="11:11" x14ac:dyDescent="0.25">
      <c r="K459" s="189"/>
    </row>
    <row r="460" spans="11:11" x14ac:dyDescent="0.25">
      <c r="K460" s="189"/>
    </row>
    <row r="461" spans="11:11" x14ac:dyDescent="0.25">
      <c r="K461" s="189"/>
    </row>
    <row r="462" spans="11:11" x14ac:dyDescent="0.25">
      <c r="K462" s="189"/>
    </row>
    <row r="463" spans="11:11" x14ac:dyDescent="0.25">
      <c r="K463" s="189"/>
    </row>
    <row r="464" spans="11:11" x14ac:dyDescent="0.25">
      <c r="K464" s="189"/>
    </row>
    <row r="465" spans="11:11" x14ac:dyDescent="0.25">
      <c r="K465" s="189"/>
    </row>
    <row r="466" spans="11:11" x14ac:dyDescent="0.25">
      <c r="K466" s="189"/>
    </row>
    <row r="467" spans="11:11" x14ac:dyDescent="0.25">
      <c r="K467" s="189"/>
    </row>
    <row r="468" spans="11:11" x14ac:dyDescent="0.25">
      <c r="K468" s="189"/>
    </row>
    <row r="469" spans="11:11" x14ac:dyDescent="0.25">
      <c r="K469" s="189"/>
    </row>
    <row r="470" spans="11:11" x14ac:dyDescent="0.25">
      <c r="K470" s="189"/>
    </row>
    <row r="471" spans="11:11" x14ac:dyDescent="0.25">
      <c r="K471" s="189"/>
    </row>
    <row r="472" spans="11:11" x14ac:dyDescent="0.25">
      <c r="K472" s="189"/>
    </row>
    <row r="473" spans="11:11" x14ac:dyDescent="0.25">
      <c r="K473" s="189"/>
    </row>
    <row r="474" spans="11:11" x14ac:dyDescent="0.25">
      <c r="K474" s="189"/>
    </row>
    <row r="475" spans="11:11" x14ac:dyDescent="0.25">
      <c r="K475" s="189"/>
    </row>
    <row r="476" spans="11:11" x14ac:dyDescent="0.25">
      <c r="K476" s="189"/>
    </row>
    <row r="477" spans="11:11" x14ac:dyDescent="0.25">
      <c r="K477" s="189"/>
    </row>
    <row r="478" spans="11:11" x14ac:dyDescent="0.25">
      <c r="K478" s="189"/>
    </row>
    <row r="479" spans="11:11" x14ac:dyDescent="0.25">
      <c r="K479" s="189"/>
    </row>
    <row r="480" spans="11:11" x14ac:dyDescent="0.25">
      <c r="K480" s="189"/>
    </row>
    <row r="481" spans="11:11" x14ac:dyDescent="0.25">
      <c r="K481" s="189"/>
    </row>
    <row r="482" spans="11:11" x14ac:dyDescent="0.25">
      <c r="K482" s="189"/>
    </row>
    <row r="483" spans="11:11" x14ac:dyDescent="0.25">
      <c r="K483" s="189"/>
    </row>
    <row r="484" spans="11:11" x14ac:dyDescent="0.25">
      <c r="K484" s="189"/>
    </row>
    <row r="485" spans="11:11" x14ac:dyDescent="0.25">
      <c r="K485" s="189"/>
    </row>
    <row r="486" spans="11:11" x14ac:dyDescent="0.25">
      <c r="K486" s="189"/>
    </row>
    <row r="487" spans="11:11" x14ac:dyDescent="0.25">
      <c r="K487" s="189"/>
    </row>
    <row r="488" spans="11:11" x14ac:dyDescent="0.25">
      <c r="K488" s="189"/>
    </row>
    <row r="489" spans="11:11" x14ac:dyDescent="0.25">
      <c r="K489" s="189"/>
    </row>
    <row r="490" spans="11:11" x14ac:dyDescent="0.25">
      <c r="K490" s="189"/>
    </row>
    <row r="491" spans="11:11" x14ac:dyDescent="0.25">
      <c r="K491" s="189"/>
    </row>
    <row r="492" spans="11:11" x14ac:dyDescent="0.25">
      <c r="K492" s="189"/>
    </row>
    <row r="493" spans="11:11" x14ac:dyDescent="0.25">
      <c r="K493" s="189"/>
    </row>
    <row r="494" spans="11:11" x14ac:dyDescent="0.25">
      <c r="K494" s="189"/>
    </row>
    <row r="495" spans="11:11" x14ac:dyDescent="0.25">
      <c r="K495" s="189"/>
    </row>
    <row r="496" spans="11:11" x14ac:dyDescent="0.25">
      <c r="K496" s="189"/>
    </row>
    <row r="497" spans="11:11" x14ac:dyDescent="0.25">
      <c r="K497" s="189"/>
    </row>
    <row r="498" spans="11:11" x14ac:dyDescent="0.25">
      <c r="K498" s="189"/>
    </row>
    <row r="499" spans="11:11" x14ac:dyDescent="0.25">
      <c r="K499" s="189"/>
    </row>
    <row r="500" spans="11:11" x14ac:dyDescent="0.25">
      <c r="K500" s="189"/>
    </row>
    <row r="501" spans="11:11" x14ac:dyDescent="0.25">
      <c r="K501" s="189"/>
    </row>
    <row r="502" spans="11:11" x14ac:dyDescent="0.25">
      <c r="K502" s="189"/>
    </row>
    <row r="503" spans="11:11" x14ac:dyDescent="0.25">
      <c r="K503" s="189"/>
    </row>
    <row r="504" spans="11:11" x14ac:dyDescent="0.25">
      <c r="K504" s="189"/>
    </row>
    <row r="505" spans="11:11" x14ac:dyDescent="0.25">
      <c r="K505" s="189"/>
    </row>
    <row r="506" spans="11:11" x14ac:dyDescent="0.25">
      <c r="K506" s="189"/>
    </row>
    <row r="507" spans="11:11" x14ac:dyDescent="0.25">
      <c r="K507" s="189"/>
    </row>
    <row r="508" spans="11:11" x14ac:dyDescent="0.25">
      <c r="K508" s="189"/>
    </row>
    <row r="509" spans="11:11" x14ac:dyDescent="0.25">
      <c r="K509" s="189"/>
    </row>
    <row r="510" spans="11:11" x14ac:dyDescent="0.25">
      <c r="K510" s="189"/>
    </row>
    <row r="511" spans="11:11" x14ac:dyDescent="0.25">
      <c r="K511" s="189"/>
    </row>
    <row r="512" spans="11:11" x14ac:dyDescent="0.25">
      <c r="K512" s="189"/>
    </row>
    <row r="513" spans="11:11" x14ac:dyDescent="0.25">
      <c r="K513" s="189"/>
    </row>
    <row r="514" spans="11:11" x14ac:dyDescent="0.25">
      <c r="K514" s="189"/>
    </row>
    <row r="515" spans="11:11" x14ac:dyDescent="0.25">
      <c r="K515" s="189"/>
    </row>
    <row r="516" spans="11:11" x14ac:dyDescent="0.25">
      <c r="K516" s="189"/>
    </row>
    <row r="517" spans="11:11" x14ac:dyDescent="0.25">
      <c r="K517" s="189"/>
    </row>
    <row r="518" spans="11:11" x14ac:dyDescent="0.25">
      <c r="K518" s="189"/>
    </row>
    <row r="519" spans="11:11" x14ac:dyDescent="0.25">
      <c r="K519" s="189"/>
    </row>
    <row r="520" spans="11:11" x14ac:dyDescent="0.25">
      <c r="K520" s="189"/>
    </row>
    <row r="521" spans="11:11" x14ac:dyDescent="0.25">
      <c r="K521" s="189"/>
    </row>
    <row r="522" spans="11:11" x14ac:dyDescent="0.25">
      <c r="K522" s="189"/>
    </row>
    <row r="523" spans="11:11" x14ac:dyDescent="0.25">
      <c r="K523" s="189"/>
    </row>
    <row r="524" spans="11:11" x14ac:dyDescent="0.25">
      <c r="K524" s="189"/>
    </row>
    <row r="525" spans="11:11" x14ac:dyDescent="0.25">
      <c r="K525" s="189"/>
    </row>
    <row r="526" spans="11:11" x14ac:dyDescent="0.25">
      <c r="K526" s="189"/>
    </row>
    <row r="527" spans="11:11" x14ac:dyDescent="0.25">
      <c r="K527" s="189"/>
    </row>
    <row r="528" spans="11:11" x14ac:dyDescent="0.25">
      <c r="K528" s="189"/>
    </row>
    <row r="529" spans="11:11" x14ac:dyDescent="0.25">
      <c r="K529" s="189"/>
    </row>
    <row r="530" spans="11:11" x14ac:dyDescent="0.25">
      <c r="K530" s="189"/>
    </row>
    <row r="531" spans="11:11" x14ac:dyDescent="0.25">
      <c r="K531" s="189"/>
    </row>
    <row r="532" spans="11:11" x14ac:dyDescent="0.25">
      <c r="K532" s="189"/>
    </row>
    <row r="533" spans="11:11" x14ac:dyDescent="0.25">
      <c r="K533" s="189"/>
    </row>
    <row r="534" spans="11:11" x14ac:dyDescent="0.25">
      <c r="K534" s="189"/>
    </row>
    <row r="535" spans="11:11" x14ac:dyDescent="0.25">
      <c r="K535" s="189"/>
    </row>
    <row r="536" spans="11:11" x14ac:dyDescent="0.25">
      <c r="K536" s="189"/>
    </row>
    <row r="537" spans="11:11" x14ac:dyDescent="0.25">
      <c r="K537" s="189"/>
    </row>
    <row r="538" spans="11:11" x14ac:dyDescent="0.25">
      <c r="K538" s="189"/>
    </row>
    <row r="539" spans="11:11" x14ac:dyDescent="0.25">
      <c r="K539" s="189"/>
    </row>
    <row r="540" spans="11:11" x14ac:dyDescent="0.25">
      <c r="K540" s="189"/>
    </row>
    <row r="541" spans="11:11" x14ac:dyDescent="0.25">
      <c r="K541" s="189"/>
    </row>
    <row r="542" spans="11:11" x14ac:dyDescent="0.25">
      <c r="K542" s="189"/>
    </row>
    <row r="543" spans="11:11" x14ac:dyDescent="0.25">
      <c r="K543" s="189"/>
    </row>
    <row r="544" spans="11:11" x14ac:dyDescent="0.25">
      <c r="K544" s="189"/>
    </row>
    <row r="545" spans="11:11" x14ac:dyDescent="0.25">
      <c r="K545" s="189"/>
    </row>
    <row r="546" spans="11:11" x14ac:dyDescent="0.25">
      <c r="K546" s="189"/>
    </row>
    <row r="547" spans="11:11" x14ac:dyDescent="0.25">
      <c r="K547" s="189"/>
    </row>
    <row r="548" spans="11:11" x14ac:dyDescent="0.25">
      <c r="K548" s="189"/>
    </row>
    <row r="549" spans="11:11" x14ac:dyDescent="0.25">
      <c r="K549" s="189"/>
    </row>
    <row r="550" spans="11:11" x14ac:dyDescent="0.25">
      <c r="K550" s="189"/>
    </row>
    <row r="551" spans="11:11" x14ac:dyDescent="0.25">
      <c r="K551" s="189"/>
    </row>
    <row r="552" spans="11:11" x14ac:dyDescent="0.25">
      <c r="K552" s="189"/>
    </row>
    <row r="553" spans="11:11" x14ac:dyDescent="0.25">
      <c r="K553" s="189"/>
    </row>
    <row r="554" spans="11:11" x14ac:dyDescent="0.25">
      <c r="K554" s="189"/>
    </row>
    <row r="555" spans="11:11" x14ac:dyDescent="0.25">
      <c r="K555" s="189"/>
    </row>
    <row r="556" spans="11:11" x14ac:dyDescent="0.25">
      <c r="K556" s="189"/>
    </row>
    <row r="557" spans="11:11" x14ac:dyDescent="0.25">
      <c r="K557" s="189"/>
    </row>
    <row r="558" spans="11:11" x14ac:dyDescent="0.25">
      <c r="K558" s="189"/>
    </row>
    <row r="559" spans="11:11" x14ac:dyDescent="0.25">
      <c r="K559" s="189"/>
    </row>
    <row r="560" spans="11:11" x14ac:dyDescent="0.25">
      <c r="K560" s="189"/>
    </row>
    <row r="561" spans="11:11" x14ac:dyDescent="0.25">
      <c r="K561" s="189"/>
    </row>
    <row r="562" spans="11:11" x14ac:dyDescent="0.25">
      <c r="K562" s="189"/>
    </row>
    <row r="563" spans="11:11" x14ac:dyDescent="0.25">
      <c r="K563" s="189"/>
    </row>
    <row r="564" spans="11:11" x14ac:dyDescent="0.25">
      <c r="K564" s="189"/>
    </row>
    <row r="565" spans="11:11" x14ac:dyDescent="0.25">
      <c r="K565" s="189"/>
    </row>
    <row r="566" spans="11:11" x14ac:dyDescent="0.25">
      <c r="K566" s="189"/>
    </row>
    <row r="567" spans="11:11" x14ac:dyDescent="0.25">
      <c r="K567" s="189"/>
    </row>
    <row r="568" spans="11:11" x14ac:dyDescent="0.25">
      <c r="K568" s="189"/>
    </row>
    <row r="569" spans="11:11" x14ac:dyDescent="0.25">
      <c r="K569" s="189"/>
    </row>
    <row r="570" spans="11:11" x14ac:dyDescent="0.25">
      <c r="K570" s="189"/>
    </row>
    <row r="571" spans="11:11" x14ac:dyDescent="0.25">
      <c r="K571" s="189"/>
    </row>
    <row r="572" spans="11:11" x14ac:dyDescent="0.25">
      <c r="K572" s="189"/>
    </row>
    <row r="573" spans="11:11" x14ac:dyDescent="0.25">
      <c r="K573" s="189"/>
    </row>
    <row r="574" spans="11:11" x14ac:dyDescent="0.25">
      <c r="K574" s="189"/>
    </row>
    <row r="575" spans="11:11" x14ac:dyDescent="0.25">
      <c r="K575" s="189"/>
    </row>
    <row r="576" spans="11:11" x14ac:dyDescent="0.25">
      <c r="K576" s="189"/>
    </row>
    <row r="577" spans="11:11" x14ac:dyDescent="0.25">
      <c r="K577" s="189"/>
    </row>
    <row r="578" spans="11:11" x14ac:dyDescent="0.25">
      <c r="K578" s="189"/>
    </row>
    <row r="579" spans="11:11" x14ac:dyDescent="0.25">
      <c r="K579" s="189"/>
    </row>
    <row r="580" spans="11:11" x14ac:dyDescent="0.25">
      <c r="K580" s="189"/>
    </row>
    <row r="581" spans="11:11" x14ac:dyDescent="0.25">
      <c r="K581" s="189"/>
    </row>
    <row r="582" spans="11:11" x14ac:dyDescent="0.25">
      <c r="K582" s="189"/>
    </row>
    <row r="583" spans="11:11" x14ac:dyDescent="0.25">
      <c r="K583" s="189"/>
    </row>
    <row r="584" spans="11:11" x14ac:dyDescent="0.25">
      <c r="K584" s="189"/>
    </row>
    <row r="585" spans="11:11" x14ac:dyDescent="0.25">
      <c r="K585" s="189"/>
    </row>
    <row r="586" spans="11:11" x14ac:dyDescent="0.25">
      <c r="K586" s="189"/>
    </row>
    <row r="587" spans="11:11" x14ac:dyDescent="0.25">
      <c r="K587" s="189"/>
    </row>
    <row r="588" spans="11:11" x14ac:dyDescent="0.25">
      <c r="K588" s="189"/>
    </row>
    <row r="589" spans="11:11" x14ac:dyDescent="0.25">
      <c r="K589" s="189"/>
    </row>
    <row r="590" spans="11:11" x14ac:dyDescent="0.25">
      <c r="K590" s="189"/>
    </row>
    <row r="591" spans="11:11" x14ac:dyDescent="0.25">
      <c r="K591" s="189"/>
    </row>
    <row r="592" spans="11:11" x14ac:dyDescent="0.25">
      <c r="K592" s="189"/>
    </row>
    <row r="593" spans="11:11" x14ac:dyDescent="0.25">
      <c r="K593" s="189"/>
    </row>
    <row r="594" spans="11:11" x14ac:dyDescent="0.25">
      <c r="K594" s="189"/>
    </row>
    <row r="595" spans="11:11" x14ac:dyDescent="0.25">
      <c r="K595" s="189"/>
    </row>
    <row r="596" spans="11:11" x14ac:dyDescent="0.25">
      <c r="K596" s="189"/>
    </row>
    <row r="597" spans="11:11" x14ac:dyDescent="0.25">
      <c r="K597" s="189"/>
    </row>
    <row r="598" spans="11:11" x14ac:dyDescent="0.25">
      <c r="K598" s="189"/>
    </row>
    <row r="599" spans="11:11" x14ac:dyDescent="0.25">
      <c r="K599" s="189"/>
    </row>
    <row r="600" spans="11:11" x14ac:dyDescent="0.25">
      <c r="K600" s="189"/>
    </row>
    <row r="601" spans="11:11" x14ac:dyDescent="0.25">
      <c r="K601" s="189"/>
    </row>
    <row r="602" spans="11:11" x14ac:dyDescent="0.25">
      <c r="K602" s="189"/>
    </row>
    <row r="603" spans="11:11" x14ac:dyDescent="0.25">
      <c r="K603" s="189"/>
    </row>
    <row r="604" spans="11:11" x14ac:dyDescent="0.25">
      <c r="K604" s="189"/>
    </row>
    <row r="605" spans="11:11" x14ac:dyDescent="0.25">
      <c r="K605" s="189"/>
    </row>
    <row r="606" spans="11:11" x14ac:dyDescent="0.25">
      <c r="K606" s="189"/>
    </row>
    <row r="607" spans="11:11" x14ac:dyDescent="0.25">
      <c r="K607" s="189"/>
    </row>
    <row r="608" spans="11:11" x14ac:dyDescent="0.25">
      <c r="K608" s="189"/>
    </row>
    <row r="609" spans="11:11" x14ac:dyDescent="0.25">
      <c r="K609" s="189"/>
    </row>
    <row r="610" spans="11:11" x14ac:dyDescent="0.25">
      <c r="K610" s="189"/>
    </row>
    <row r="611" spans="11:11" x14ac:dyDescent="0.25">
      <c r="K611" s="189"/>
    </row>
    <row r="612" spans="11:11" x14ac:dyDescent="0.25">
      <c r="K612" s="189"/>
    </row>
    <row r="613" spans="11:11" x14ac:dyDescent="0.25">
      <c r="K613" s="189"/>
    </row>
    <row r="614" spans="11:11" x14ac:dyDescent="0.25">
      <c r="K614" s="189"/>
    </row>
    <row r="615" spans="11:11" x14ac:dyDescent="0.25">
      <c r="K615" s="189"/>
    </row>
    <row r="616" spans="11:11" x14ac:dyDescent="0.25">
      <c r="K616" s="189"/>
    </row>
    <row r="617" spans="11:11" x14ac:dyDescent="0.25">
      <c r="K617" s="189"/>
    </row>
    <row r="618" spans="11:11" x14ac:dyDescent="0.25">
      <c r="K618" s="189"/>
    </row>
    <row r="619" spans="11:11" x14ac:dyDescent="0.25">
      <c r="K619" s="189"/>
    </row>
    <row r="620" spans="11:11" x14ac:dyDescent="0.25">
      <c r="K620" s="189"/>
    </row>
    <row r="621" spans="11:11" x14ac:dyDescent="0.25">
      <c r="K621" s="189"/>
    </row>
    <row r="622" spans="11:11" x14ac:dyDescent="0.25">
      <c r="K622" s="189"/>
    </row>
    <row r="623" spans="11:11" x14ac:dyDescent="0.25">
      <c r="K623" s="189"/>
    </row>
    <row r="624" spans="11:11" x14ac:dyDescent="0.25">
      <c r="K624" s="189"/>
    </row>
    <row r="625" spans="11:11" x14ac:dyDescent="0.25">
      <c r="K625" s="189"/>
    </row>
    <row r="626" spans="11:11" x14ac:dyDescent="0.25">
      <c r="K626" s="189"/>
    </row>
    <row r="627" spans="11:11" x14ac:dyDescent="0.25">
      <c r="K627" s="189"/>
    </row>
    <row r="628" spans="11:11" x14ac:dyDescent="0.25">
      <c r="K628" s="189"/>
    </row>
    <row r="629" spans="11:11" x14ac:dyDescent="0.25">
      <c r="K629" s="189"/>
    </row>
    <row r="630" spans="11:11" x14ac:dyDescent="0.25">
      <c r="K630" s="189"/>
    </row>
    <row r="631" spans="11:11" x14ac:dyDescent="0.25">
      <c r="K631" s="189"/>
    </row>
    <row r="632" spans="11:11" x14ac:dyDescent="0.25">
      <c r="K632" s="189"/>
    </row>
    <row r="633" spans="11:11" x14ac:dyDescent="0.25">
      <c r="K633" s="189"/>
    </row>
    <row r="634" spans="11:11" x14ac:dyDescent="0.25">
      <c r="K634" s="189"/>
    </row>
    <row r="635" spans="11:11" x14ac:dyDescent="0.25">
      <c r="K635" s="189"/>
    </row>
    <row r="636" spans="11:11" x14ac:dyDescent="0.25">
      <c r="K636" s="189"/>
    </row>
    <row r="637" spans="11:11" x14ac:dyDescent="0.25">
      <c r="K637" s="189"/>
    </row>
    <row r="638" spans="11:11" x14ac:dyDescent="0.25">
      <c r="K638" s="189"/>
    </row>
    <row r="639" spans="11:11" x14ac:dyDescent="0.25">
      <c r="K639" s="189"/>
    </row>
    <row r="640" spans="11:11" x14ac:dyDescent="0.25">
      <c r="K640" s="189"/>
    </row>
    <row r="641" spans="11:11" x14ac:dyDescent="0.25">
      <c r="K641" s="189"/>
    </row>
    <row r="642" spans="11:11" x14ac:dyDescent="0.25">
      <c r="K642" s="189"/>
    </row>
    <row r="643" spans="11:11" x14ac:dyDescent="0.25">
      <c r="K643" s="189"/>
    </row>
    <row r="644" spans="11:11" x14ac:dyDescent="0.25">
      <c r="K644" s="189"/>
    </row>
    <row r="645" spans="11:11" x14ac:dyDescent="0.25">
      <c r="K645" s="189"/>
    </row>
    <row r="646" spans="11:11" x14ac:dyDescent="0.25">
      <c r="K646" s="189"/>
    </row>
    <row r="647" spans="11:11" x14ac:dyDescent="0.25">
      <c r="K647" s="189"/>
    </row>
    <row r="648" spans="11:11" x14ac:dyDescent="0.25">
      <c r="K648" s="189"/>
    </row>
    <row r="649" spans="11:11" x14ac:dyDescent="0.25">
      <c r="K649" s="189"/>
    </row>
    <row r="650" spans="11:11" x14ac:dyDescent="0.25">
      <c r="K650" s="189"/>
    </row>
    <row r="651" spans="11:11" x14ac:dyDescent="0.25">
      <c r="K651" s="189"/>
    </row>
    <row r="652" spans="11:11" x14ac:dyDescent="0.25">
      <c r="K652" s="189"/>
    </row>
    <row r="653" spans="11:11" x14ac:dyDescent="0.25">
      <c r="K653" s="189"/>
    </row>
    <row r="654" spans="11:11" x14ac:dyDescent="0.25">
      <c r="K654" s="189"/>
    </row>
    <row r="655" spans="11:11" x14ac:dyDescent="0.25">
      <c r="K655" s="189"/>
    </row>
    <row r="656" spans="11:11" x14ac:dyDescent="0.25">
      <c r="K656" s="189"/>
    </row>
    <row r="657" spans="11:11" x14ac:dyDescent="0.25">
      <c r="K657" s="189"/>
    </row>
    <row r="658" spans="11:11" x14ac:dyDescent="0.25">
      <c r="K658" s="189"/>
    </row>
    <row r="659" spans="11:11" x14ac:dyDescent="0.25">
      <c r="K659" s="189"/>
    </row>
    <row r="660" spans="11:11" x14ac:dyDescent="0.25">
      <c r="K660" s="189"/>
    </row>
    <row r="661" spans="11:11" x14ac:dyDescent="0.25">
      <c r="K661" s="189"/>
    </row>
    <row r="662" spans="11:11" x14ac:dyDescent="0.25">
      <c r="K662" s="189"/>
    </row>
    <row r="663" spans="11:11" x14ac:dyDescent="0.25">
      <c r="K663" s="189"/>
    </row>
    <row r="664" spans="11:11" x14ac:dyDescent="0.25">
      <c r="K664" s="189"/>
    </row>
    <row r="665" spans="11:11" x14ac:dyDescent="0.25">
      <c r="K665" s="189"/>
    </row>
    <row r="666" spans="11:11" x14ac:dyDescent="0.25">
      <c r="K666" s="189"/>
    </row>
    <row r="667" spans="11:11" x14ac:dyDescent="0.25">
      <c r="K667" s="189"/>
    </row>
    <row r="668" spans="11:11" x14ac:dyDescent="0.25">
      <c r="K668" s="189"/>
    </row>
    <row r="669" spans="11:11" x14ac:dyDescent="0.25">
      <c r="K669" s="189"/>
    </row>
    <row r="670" spans="11:11" x14ac:dyDescent="0.25">
      <c r="K670" s="189"/>
    </row>
    <row r="671" spans="11:11" x14ac:dyDescent="0.25">
      <c r="K671" s="189"/>
    </row>
    <row r="672" spans="11:11" x14ac:dyDescent="0.25">
      <c r="K672" s="189"/>
    </row>
    <row r="673" spans="11:11" x14ac:dyDescent="0.25">
      <c r="K673" s="189"/>
    </row>
    <row r="674" spans="11:11" x14ac:dyDescent="0.25">
      <c r="K674" s="189"/>
    </row>
    <row r="675" spans="11:11" x14ac:dyDescent="0.25">
      <c r="K675" s="189"/>
    </row>
    <row r="676" spans="11:11" x14ac:dyDescent="0.25">
      <c r="K676" s="189"/>
    </row>
    <row r="677" spans="11:11" x14ac:dyDescent="0.25">
      <c r="K677" s="189"/>
    </row>
    <row r="678" spans="11:11" x14ac:dyDescent="0.25">
      <c r="K678" s="189"/>
    </row>
    <row r="679" spans="11:11" x14ac:dyDescent="0.25">
      <c r="K679" s="189"/>
    </row>
    <row r="680" spans="11:11" x14ac:dyDescent="0.25">
      <c r="K680" s="189"/>
    </row>
    <row r="681" spans="11:11" x14ac:dyDescent="0.25">
      <c r="K681" s="189"/>
    </row>
    <row r="682" spans="11:11" x14ac:dyDescent="0.25">
      <c r="K682" s="189"/>
    </row>
    <row r="683" spans="11:11" x14ac:dyDescent="0.25">
      <c r="K683" s="189"/>
    </row>
    <row r="684" spans="11:11" x14ac:dyDescent="0.25">
      <c r="K684" s="189"/>
    </row>
    <row r="685" spans="11:11" x14ac:dyDescent="0.25">
      <c r="K685" s="189"/>
    </row>
    <row r="686" spans="11:11" x14ac:dyDescent="0.25">
      <c r="K686" s="189"/>
    </row>
    <row r="687" spans="11:11" x14ac:dyDescent="0.25">
      <c r="K687" s="189"/>
    </row>
    <row r="688" spans="11:11" x14ac:dyDescent="0.25">
      <c r="K688" s="189"/>
    </row>
    <row r="689" spans="11:11" x14ac:dyDescent="0.25">
      <c r="K689" s="189"/>
    </row>
    <row r="690" spans="11:11" x14ac:dyDescent="0.25">
      <c r="K690" s="189"/>
    </row>
    <row r="691" spans="11:11" x14ac:dyDescent="0.25">
      <c r="K691" s="189"/>
    </row>
    <row r="692" spans="11:11" x14ac:dyDescent="0.25">
      <c r="K692" s="189"/>
    </row>
    <row r="693" spans="11:11" x14ac:dyDescent="0.25">
      <c r="K693" s="189"/>
    </row>
    <row r="694" spans="11:11" x14ac:dyDescent="0.25">
      <c r="K694" s="189"/>
    </row>
    <row r="695" spans="11:11" x14ac:dyDescent="0.25">
      <c r="K695" s="189"/>
    </row>
    <row r="696" spans="11:11" x14ac:dyDescent="0.25">
      <c r="K696" s="189"/>
    </row>
    <row r="697" spans="11:11" x14ac:dyDescent="0.25">
      <c r="K697" s="189"/>
    </row>
    <row r="698" spans="11:11" x14ac:dyDescent="0.25">
      <c r="K698" s="189"/>
    </row>
    <row r="699" spans="11:11" x14ac:dyDescent="0.25">
      <c r="K699" s="189"/>
    </row>
    <row r="700" spans="11:11" x14ac:dyDescent="0.25">
      <c r="K700" s="189"/>
    </row>
    <row r="701" spans="11:11" x14ac:dyDescent="0.25">
      <c r="K701" s="189"/>
    </row>
    <row r="702" spans="11:11" x14ac:dyDescent="0.25">
      <c r="K702" s="189"/>
    </row>
    <row r="703" spans="11:11" x14ac:dyDescent="0.25">
      <c r="K703" s="189"/>
    </row>
    <row r="704" spans="11:11" x14ac:dyDescent="0.25">
      <c r="K704" s="189"/>
    </row>
    <row r="705" spans="11:11" x14ac:dyDescent="0.25">
      <c r="K705" s="189"/>
    </row>
    <row r="706" spans="11:11" x14ac:dyDescent="0.25">
      <c r="K706" s="189"/>
    </row>
    <row r="707" spans="11:11" x14ac:dyDescent="0.25">
      <c r="K707" s="189"/>
    </row>
    <row r="708" spans="11:11" x14ac:dyDescent="0.25">
      <c r="K708" s="189"/>
    </row>
    <row r="709" spans="11:11" x14ac:dyDescent="0.25">
      <c r="K709" s="189"/>
    </row>
    <row r="710" spans="11:11" x14ac:dyDescent="0.25">
      <c r="K710" s="189"/>
    </row>
    <row r="711" spans="11:11" x14ac:dyDescent="0.25">
      <c r="K711" s="189"/>
    </row>
    <row r="712" spans="11:11" x14ac:dyDescent="0.25">
      <c r="K712" s="189"/>
    </row>
    <row r="713" spans="11:11" x14ac:dyDescent="0.25">
      <c r="K713" s="189"/>
    </row>
    <row r="714" spans="11:11" x14ac:dyDescent="0.25">
      <c r="K714" s="189"/>
    </row>
    <row r="715" spans="11:11" x14ac:dyDescent="0.25">
      <c r="K715" s="189"/>
    </row>
    <row r="716" spans="11:11" x14ac:dyDescent="0.25">
      <c r="K716" s="189"/>
    </row>
    <row r="717" spans="11:11" x14ac:dyDescent="0.25">
      <c r="K717" s="189"/>
    </row>
    <row r="718" spans="11:11" x14ac:dyDescent="0.25">
      <c r="K718" s="189"/>
    </row>
    <row r="719" spans="11:11" x14ac:dyDescent="0.25">
      <c r="K719" s="189"/>
    </row>
    <row r="720" spans="11:11" x14ac:dyDescent="0.25">
      <c r="K720" s="189"/>
    </row>
    <row r="721" spans="11:11" x14ac:dyDescent="0.25">
      <c r="K721" s="189"/>
    </row>
    <row r="722" spans="11:11" x14ac:dyDescent="0.25">
      <c r="K722" s="189"/>
    </row>
    <row r="723" spans="11:11" x14ac:dyDescent="0.25">
      <c r="K723" s="189"/>
    </row>
    <row r="724" spans="11:11" x14ac:dyDescent="0.25">
      <c r="K724" s="189"/>
    </row>
    <row r="725" spans="11:11" x14ac:dyDescent="0.25">
      <c r="K725" s="189"/>
    </row>
    <row r="726" spans="11:11" x14ac:dyDescent="0.25">
      <c r="K726" s="189"/>
    </row>
    <row r="727" spans="11:11" x14ac:dyDescent="0.25">
      <c r="K727" s="189"/>
    </row>
    <row r="728" spans="11:11" x14ac:dyDescent="0.25">
      <c r="K728" s="189"/>
    </row>
    <row r="729" spans="11:11" x14ac:dyDescent="0.25">
      <c r="K729" s="189"/>
    </row>
    <row r="730" spans="11:11" x14ac:dyDescent="0.25">
      <c r="K730" s="189"/>
    </row>
    <row r="731" spans="11:11" x14ac:dyDescent="0.25">
      <c r="K731" s="189"/>
    </row>
    <row r="732" spans="11:11" x14ac:dyDescent="0.25">
      <c r="K732" s="189"/>
    </row>
    <row r="733" spans="11:11" x14ac:dyDescent="0.25">
      <c r="K733" s="189"/>
    </row>
    <row r="734" spans="11:11" x14ac:dyDescent="0.25">
      <c r="K734" s="189"/>
    </row>
    <row r="735" spans="11:11" x14ac:dyDescent="0.25">
      <c r="K735" s="189"/>
    </row>
    <row r="736" spans="11:11" x14ac:dyDescent="0.25">
      <c r="K736" s="189"/>
    </row>
    <row r="737" spans="11:11" x14ac:dyDescent="0.25">
      <c r="K737" s="189"/>
    </row>
    <row r="738" spans="11:11" x14ac:dyDescent="0.25">
      <c r="K738" s="189"/>
    </row>
    <row r="739" spans="11:11" x14ac:dyDescent="0.25">
      <c r="K739" s="189"/>
    </row>
    <row r="740" spans="11:11" x14ac:dyDescent="0.25">
      <c r="K740" s="189"/>
    </row>
    <row r="741" spans="11:11" x14ac:dyDescent="0.25">
      <c r="K741" s="189"/>
    </row>
    <row r="742" spans="11:11" x14ac:dyDescent="0.25">
      <c r="K742" s="189"/>
    </row>
    <row r="743" spans="11:11" x14ac:dyDescent="0.25">
      <c r="K743" s="189"/>
    </row>
    <row r="744" spans="11:11" x14ac:dyDescent="0.25">
      <c r="K744" s="189"/>
    </row>
    <row r="745" spans="11:11" x14ac:dyDescent="0.25">
      <c r="K745" s="189"/>
    </row>
    <row r="746" spans="11:11" x14ac:dyDescent="0.25">
      <c r="K746" s="189"/>
    </row>
    <row r="747" spans="11:11" x14ac:dyDescent="0.25">
      <c r="K747" s="189"/>
    </row>
    <row r="748" spans="11:11" x14ac:dyDescent="0.25">
      <c r="K748" s="189"/>
    </row>
    <row r="749" spans="11:11" x14ac:dyDescent="0.25">
      <c r="K749" s="189"/>
    </row>
    <row r="750" spans="11:11" x14ac:dyDescent="0.25">
      <c r="K750" s="189"/>
    </row>
    <row r="751" spans="11:11" x14ac:dyDescent="0.25">
      <c r="K751" s="189"/>
    </row>
    <row r="752" spans="11:11" x14ac:dyDescent="0.25">
      <c r="K752" s="189"/>
    </row>
    <row r="753" spans="11:11" x14ac:dyDescent="0.25">
      <c r="K753" s="189"/>
    </row>
    <row r="754" spans="11:11" x14ac:dyDescent="0.25">
      <c r="K754" s="189"/>
    </row>
    <row r="755" spans="11:11" x14ac:dyDescent="0.25">
      <c r="K755" s="189"/>
    </row>
    <row r="756" spans="11:11" x14ac:dyDescent="0.25">
      <c r="K756" s="189"/>
    </row>
    <row r="757" spans="11:11" x14ac:dyDescent="0.25">
      <c r="K757" s="189"/>
    </row>
    <row r="758" spans="11:11" x14ac:dyDescent="0.25">
      <c r="K758" s="189"/>
    </row>
    <row r="759" spans="11:11" x14ac:dyDescent="0.25">
      <c r="K759" s="189"/>
    </row>
    <row r="760" spans="11:11" x14ac:dyDescent="0.25">
      <c r="K760" s="189"/>
    </row>
    <row r="761" spans="11:11" x14ac:dyDescent="0.25">
      <c r="K761" s="189"/>
    </row>
    <row r="762" spans="11:11" x14ac:dyDescent="0.25">
      <c r="K762" s="189"/>
    </row>
    <row r="763" spans="11:11" x14ac:dyDescent="0.25">
      <c r="K763" s="189"/>
    </row>
    <row r="764" spans="11:11" x14ac:dyDescent="0.25">
      <c r="K764" s="189"/>
    </row>
    <row r="765" spans="11:11" x14ac:dyDescent="0.25">
      <c r="K765" s="189"/>
    </row>
    <row r="766" spans="11:11" x14ac:dyDescent="0.25">
      <c r="K766" s="189"/>
    </row>
    <row r="767" spans="11:11" x14ac:dyDescent="0.25">
      <c r="K767" s="189"/>
    </row>
    <row r="768" spans="11:11" x14ac:dyDescent="0.25">
      <c r="K768" s="189"/>
    </row>
    <row r="769" spans="11:11" x14ac:dyDescent="0.25">
      <c r="K769" s="189"/>
    </row>
    <row r="770" spans="11:11" x14ac:dyDescent="0.25">
      <c r="K770" s="189"/>
    </row>
    <row r="771" spans="11:11" x14ac:dyDescent="0.25">
      <c r="K771" s="189"/>
    </row>
    <row r="772" spans="11:11" x14ac:dyDescent="0.25">
      <c r="K772" s="189"/>
    </row>
    <row r="773" spans="11:11" x14ac:dyDescent="0.25">
      <c r="K773" s="189"/>
    </row>
    <row r="774" spans="11:11" x14ac:dyDescent="0.25">
      <c r="K774" s="189"/>
    </row>
    <row r="775" spans="11:11" x14ac:dyDescent="0.25">
      <c r="K775" s="189"/>
    </row>
    <row r="776" spans="11:11" x14ac:dyDescent="0.25">
      <c r="K776" s="189"/>
    </row>
    <row r="777" spans="11:11" x14ac:dyDescent="0.25">
      <c r="K777" s="189"/>
    </row>
    <row r="778" spans="11:11" x14ac:dyDescent="0.25">
      <c r="K778" s="189"/>
    </row>
    <row r="779" spans="11:11" x14ac:dyDescent="0.25">
      <c r="K779" s="189"/>
    </row>
    <row r="780" spans="11:11" x14ac:dyDescent="0.25">
      <c r="K780" s="189"/>
    </row>
    <row r="781" spans="11:11" x14ac:dyDescent="0.25">
      <c r="K781" s="189"/>
    </row>
    <row r="782" spans="11:11" x14ac:dyDescent="0.25">
      <c r="K782" s="189"/>
    </row>
    <row r="783" spans="11:11" x14ac:dyDescent="0.25">
      <c r="K783" s="189"/>
    </row>
    <row r="784" spans="11:11" x14ac:dyDescent="0.25">
      <c r="K784" s="189"/>
    </row>
    <row r="785" spans="11:11" x14ac:dyDescent="0.25">
      <c r="K785" s="189"/>
    </row>
    <row r="786" spans="11:11" x14ac:dyDescent="0.25">
      <c r="K786" s="189"/>
    </row>
    <row r="787" spans="11:11" x14ac:dyDescent="0.25">
      <c r="K787" s="189"/>
    </row>
    <row r="788" spans="11:11" x14ac:dyDescent="0.25">
      <c r="K788" s="189"/>
    </row>
    <row r="789" spans="11:11" x14ac:dyDescent="0.25">
      <c r="K789" s="189"/>
    </row>
    <row r="790" spans="11:11" x14ac:dyDescent="0.25">
      <c r="K790" s="189"/>
    </row>
    <row r="791" spans="11:11" x14ac:dyDescent="0.25">
      <c r="K791" s="189"/>
    </row>
    <row r="792" spans="11:11" x14ac:dyDescent="0.25">
      <c r="K792" s="189"/>
    </row>
    <row r="793" spans="11:11" x14ac:dyDescent="0.25">
      <c r="K793" s="189"/>
    </row>
    <row r="794" spans="11:11" x14ac:dyDescent="0.25">
      <c r="K794" s="189"/>
    </row>
    <row r="795" spans="11:11" x14ac:dyDescent="0.25">
      <c r="K795" s="189"/>
    </row>
    <row r="796" spans="11:11" x14ac:dyDescent="0.25">
      <c r="K796" s="189"/>
    </row>
    <row r="797" spans="11:11" x14ac:dyDescent="0.25">
      <c r="K797" s="189"/>
    </row>
    <row r="798" spans="11:11" x14ac:dyDescent="0.25">
      <c r="K798" s="189"/>
    </row>
    <row r="799" spans="11:11" x14ac:dyDescent="0.25">
      <c r="K799" s="189"/>
    </row>
    <row r="800" spans="11:11" x14ac:dyDescent="0.25">
      <c r="K800" s="189"/>
    </row>
    <row r="801" spans="11:11" x14ac:dyDescent="0.25">
      <c r="K801" s="189"/>
    </row>
    <row r="802" spans="11:11" x14ac:dyDescent="0.25">
      <c r="K802" s="189"/>
    </row>
    <row r="803" spans="11:11" x14ac:dyDescent="0.25">
      <c r="K803" s="189"/>
    </row>
    <row r="804" spans="11:11" x14ac:dyDescent="0.25">
      <c r="K804" s="189"/>
    </row>
    <row r="805" spans="11:11" x14ac:dyDescent="0.25">
      <c r="K805" s="189"/>
    </row>
    <row r="806" spans="11:11" x14ac:dyDescent="0.25">
      <c r="K806" s="189"/>
    </row>
    <row r="807" spans="11:11" x14ac:dyDescent="0.25">
      <c r="K807" s="189"/>
    </row>
    <row r="808" spans="11:11" x14ac:dyDescent="0.25">
      <c r="K808" s="189"/>
    </row>
    <row r="809" spans="11:11" x14ac:dyDescent="0.25">
      <c r="K809" s="189"/>
    </row>
    <row r="810" spans="11:11" x14ac:dyDescent="0.25">
      <c r="K810" s="189"/>
    </row>
    <row r="811" spans="11:11" x14ac:dyDescent="0.25">
      <c r="K811" s="189"/>
    </row>
    <row r="812" spans="11:11" x14ac:dyDescent="0.25">
      <c r="K812" s="189"/>
    </row>
    <row r="813" spans="11:11" x14ac:dyDescent="0.25">
      <c r="K813" s="189"/>
    </row>
    <row r="814" spans="11:11" x14ac:dyDescent="0.25">
      <c r="K814" s="189"/>
    </row>
    <row r="815" spans="11:11" x14ac:dyDescent="0.25">
      <c r="K815" s="189"/>
    </row>
    <row r="816" spans="11:11" x14ac:dyDescent="0.25">
      <c r="K816" s="189"/>
    </row>
    <row r="817" spans="11:11" x14ac:dyDescent="0.25">
      <c r="K817" s="189"/>
    </row>
    <row r="818" spans="11:11" x14ac:dyDescent="0.25">
      <c r="K818" s="189"/>
    </row>
    <row r="819" spans="11:11" x14ac:dyDescent="0.25">
      <c r="K819" s="189"/>
    </row>
    <row r="820" spans="11:11" x14ac:dyDescent="0.25">
      <c r="K820" s="189"/>
    </row>
    <row r="821" spans="11:11" x14ac:dyDescent="0.25">
      <c r="K821" s="189"/>
    </row>
    <row r="822" spans="11:11" x14ac:dyDescent="0.25">
      <c r="K822" s="189"/>
    </row>
    <row r="823" spans="11:11" x14ac:dyDescent="0.25">
      <c r="K823" s="189"/>
    </row>
    <row r="824" spans="11:11" x14ac:dyDescent="0.25">
      <c r="K824" s="189"/>
    </row>
    <row r="825" spans="11:11" x14ac:dyDescent="0.25">
      <c r="K825" s="189"/>
    </row>
    <row r="826" spans="11:11" x14ac:dyDescent="0.25">
      <c r="K826" s="189"/>
    </row>
    <row r="827" spans="11:11" x14ac:dyDescent="0.25">
      <c r="K827" s="189"/>
    </row>
    <row r="828" spans="11:11" x14ac:dyDescent="0.25">
      <c r="K828" s="189"/>
    </row>
    <row r="829" spans="11:11" x14ac:dyDescent="0.25">
      <c r="K829" s="189"/>
    </row>
    <row r="830" spans="11:11" x14ac:dyDescent="0.25">
      <c r="K830" s="189"/>
    </row>
    <row r="831" spans="11:11" x14ac:dyDescent="0.25">
      <c r="K831" s="189"/>
    </row>
    <row r="832" spans="11:11" x14ac:dyDescent="0.25">
      <c r="K832" s="189"/>
    </row>
    <row r="833" spans="11:11" x14ac:dyDescent="0.25">
      <c r="K833" s="189"/>
    </row>
    <row r="834" spans="11:11" x14ac:dyDescent="0.25">
      <c r="K834" s="189"/>
    </row>
    <row r="835" spans="11:11" x14ac:dyDescent="0.25">
      <c r="K835" s="189"/>
    </row>
    <row r="836" spans="11:11" x14ac:dyDescent="0.25">
      <c r="K836" s="189"/>
    </row>
    <row r="837" spans="11:11" x14ac:dyDescent="0.25">
      <c r="K837" s="189"/>
    </row>
    <row r="838" spans="11:11" x14ac:dyDescent="0.25">
      <c r="K838" s="189"/>
    </row>
    <row r="839" spans="11:11" x14ac:dyDescent="0.25">
      <c r="K839" s="189"/>
    </row>
    <row r="840" spans="11:11" x14ac:dyDescent="0.25">
      <c r="K840" s="189"/>
    </row>
    <row r="841" spans="11:11" x14ac:dyDescent="0.25">
      <c r="K841" s="189"/>
    </row>
    <row r="842" spans="11:11" x14ac:dyDescent="0.25">
      <c r="K842" s="189"/>
    </row>
    <row r="843" spans="11:11" x14ac:dyDescent="0.25">
      <c r="K843" s="189"/>
    </row>
    <row r="844" spans="11:11" x14ac:dyDescent="0.25">
      <c r="K844" s="189"/>
    </row>
    <row r="845" spans="11:11" x14ac:dyDescent="0.25">
      <c r="K845" s="189"/>
    </row>
    <row r="846" spans="11:11" x14ac:dyDescent="0.25">
      <c r="K846" s="189"/>
    </row>
    <row r="847" spans="11:11" x14ac:dyDescent="0.25">
      <c r="K847" s="189"/>
    </row>
    <row r="848" spans="11:11" x14ac:dyDescent="0.25">
      <c r="K848" s="189"/>
    </row>
    <row r="849" spans="11:11" x14ac:dyDescent="0.25">
      <c r="K849" s="189"/>
    </row>
    <row r="850" spans="11:11" x14ac:dyDescent="0.25">
      <c r="K850" s="189"/>
    </row>
    <row r="851" spans="11:11" x14ac:dyDescent="0.25">
      <c r="K851" s="189"/>
    </row>
    <row r="852" spans="11:11" x14ac:dyDescent="0.25">
      <c r="K852" s="189"/>
    </row>
    <row r="853" spans="11:11" x14ac:dyDescent="0.25">
      <c r="K853" s="189"/>
    </row>
    <row r="854" spans="11:11" x14ac:dyDescent="0.25">
      <c r="K854" s="189"/>
    </row>
    <row r="855" spans="11:11" x14ac:dyDescent="0.25">
      <c r="K855" s="189"/>
    </row>
    <row r="856" spans="11:11" x14ac:dyDescent="0.25">
      <c r="K856" s="189"/>
    </row>
    <row r="857" spans="11:11" x14ac:dyDescent="0.25">
      <c r="K857" s="189"/>
    </row>
    <row r="858" spans="11:11" x14ac:dyDescent="0.25">
      <c r="K858" s="189"/>
    </row>
    <row r="859" spans="11:11" x14ac:dyDescent="0.25">
      <c r="K859" s="189"/>
    </row>
    <row r="860" spans="11:11" x14ac:dyDescent="0.25">
      <c r="K860" s="189"/>
    </row>
    <row r="861" spans="11:11" x14ac:dyDescent="0.25">
      <c r="K861" s="189"/>
    </row>
    <row r="862" spans="11:11" x14ac:dyDescent="0.25">
      <c r="K862" s="189"/>
    </row>
    <row r="863" spans="11:11" x14ac:dyDescent="0.25">
      <c r="K863" s="189"/>
    </row>
    <row r="864" spans="11:11" x14ac:dyDescent="0.25">
      <c r="K864" s="189"/>
    </row>
    <row r="865" spans="11:11" x14ac:dyDescent="0.25">
      <c r="K865" s="189"/>
    </row>
    <row r="866" spans="11:11" x14ac:dyDescent="0.25">
      <c r="K866" s="189"/>
    </row>
    <row r="867" spans="11:11" x14ac:dyDescent="0.25">
      <c r="K867" s="189"/>
    </row>
    <row r="868" spans="11:11" x14ac:dyDescent="0.25">
      <c r="K868" s="189"/>
    </row>
    <row r="869" spans="11:11" x14ac:dyDescent="0.25">
      <c r="K869" s="189"/>
    </row>
    <row r="870" spans="11:11" x14ac:dyDescent="0.25">
      <c r="K870" s="189"/>
    </row>
    <row r="871" spans="11:11" x14ac:dyDescent="0.25">
      <c r="K871" s="189"/>
    </row>
    <row r="872" spans="11:11" x14ac:dyDescent="0.25">
      <c r="K872" s="189"/>
    </row>
    <row r="873" spans="11:11" x14ac:dyDescent="0.25">
      <c r="K873" s="189"/>
    </row>
    <row r="874" spans="11:11" x14ac:dyDescent="0.25">
      <c r="K874" s="189"/>
    </row>
    <row r="875" spans="11:11" x14ac:dyDescent="0.25">
      <c r="K875" s="189"/>
    </row>
    <row r="876" spans="11:11" x14ac:dyDescent="0.25">
      <c r="K876" s="189"/>
    </row>
    <row r="877" spans="11:11" x14ac:dyDescent="0.25">
      <c r="K877" s="189"/>
    </row>
    <row r="878" spans="11:11" x14ac:dyDescent="0.25">
      <c r="K878" s="189"/>
    </row>
    <row r="879" spans="11:11" x14ac:dyDescent="0.25">
      <c r="K879" s="189"/>
    </row>
    <row r="880" spans="11:11" x14ac:dyDescent="0.25">
      <c r="K880" s="189"/>
    </row>
    <row r="881" spans="11:11" x14ac:dyDescent="0.25">
      <c r="K881" s="189"/>
    </row>
    <row r="882" spans="11:11" x14ac:dyDescent="0.25">
      <c r="K882" s="189"/>
    </row>
    <row r="883" spans="11:11" x14ac:dyDescent="0.25">
      <c r="K883" s="189"/>
    </row>
    <row r="884" spans="11:11" x14ac:dyDescent="0.25">
      <c r="K884" s="189"/>
    </row>
    <row r="885" spans="11:11" x14ac:dyDescent="0.25">
      <c r="K885" s="189"/>
    </row>
    <row r="886" spans="11:11" x14ac:dyDescent="0.25">
      <c r="K886" s="189"/>
    </row>
    <row r="887" spans="11:11" x14ac:dyDescent="0.25">
      <c r="K887" s="189"/>
    </row>
    <row r="888" spans="11:11" x14ac:dyDescent="0.25">
      <c r="K888" s="189"/>
    </row>
    <row r="889" spans="11:11" x14ac:dyDescent="0.25">
      <c r="K889" s="189"/>
    </row>
    <row r="890" spans="11:11" x14ac:dyDescent="0.25">
      <c r="K890" s="189"/>
    </row>
    <row r="891" spans="11:11" x14ac:dyDescent="0.25">
      <c r="K891" s="189"/>
    </row>
    <row r="892" spans="11:11" x14ac:dyDescent="0.25">
      <c r="K892" s="189"/>
    </row>
    <row r="893" spans="11:11" x14ac:dyDescent="0.25">
      <c r="K893" s="189"/>
    </row>
    <row r="894" spans="11:11" x14ac:dyDescent="0.25">
      <c r="K894" s="189"/>
    </row>
    <row r="895" spans="11:11" x14ac:dyDescent="0.25">
      <c r="K895" s="189"/>
    </row>
    <row r="896" spans="11:11" x14ac:dyDescent="0.25">
      <c r="K896" s="189"/>
    </row>
    <row r="897" spans="11:11" x14ac:dyDescent="0.25">
      <c r="K897" s="189"/>
    </row>
    <row r="898" spans="11:11" x14ac:dyDescent="0.25">
      <c r="K898" s="189"/>
    </row>
    <row r="899" spans="11:11" x14ac:dyDescent="0.25">
      <c r="K899" s="189"/>
    </row>
    <row r="900" spans="11:11" x14ac:dyDescent="0.25">
      <c r="K900" s="189"/>
    </row>
    <row r="901" spans="11:11" x14ac:dyDescent="0.25">
      <c r="K901" s="189"/>
    </row>
    <row r="902" spans="11:11" x14ac:dyDescent="0.25">
      <c r="K902" s="189"/>
    </row>
    <row r="903" spans="11:11" x14ac:dyDescent="0.25">
      <c r="K903" s="189"/>
    </row>
    <row r="904" spans="11:11" x14ac:dyDescent="0.25">
      <c r="K904" s="189"/>
    </row>
    <row r="905" spans="11:11" x14ac:dyDescent="0.25">
      <c r="K905" s="189"/>
    </row>
    <row r="906" spans="11:11" x14ac:dyDescent="0.25">
      <c r="K906" s="189"/>
    </row>
    <row r="907" spans="11:11" x14ac:dyDescent="0.25">
      <c r="K907" s="189"/>
    </row>
    <row r="908" spans="11:11" x14ac:dyDescent="0.25">
      <c r="K908" s="189"/>
    </row>
    <row r="909" spans="11:11" x14ac:dyDescent="0.25">
      <c r="K909" s="189"/>
    </row>
    <row r="910" spans="11:11" x14ac:dyDescent="0.25">
      <c r="K910" s="189"/>
    </row>
    <row r="911" spans="11:11" x14ac:dyDescent="0.25">
      <c r="K911" s="189"/>
    </row>
    <row r="912" spans="11:11" x14ac:dyDescent="0.25">
      <c r="K912" s="189"/>
    </row>
    <row r="913" spans="11:11" x14ac:dyDescent="0.25">
      <c r="K913" s="189"/>
    </row>
    <row r="914" spans="11:11" x14ac:dyDescent="0.25">
      <c r="K914" s="189"/>
    </row>
    <row r="915" spans="11:11" x14ac:dyDescent="0.25">
      <c r="K915" s="189"/>
    </row>
    <row r="916" spans="11:11" x14ac:dyDescent="0.25">
      <c r="K916" s="189"/>
    </row>
    <row r="917" spans="11:11" x14ac:dyDescent="0.25">
      <c r="K917" s="189"/>
    </row>
    <row r="918" spans="11:11" x14ac:dyDescent="0.25">
      <c r="K918" s="189"/>
    </row>
    <row r="919" spans="11:11" x14ac:dyDescent="0.25">
      <c r="K919" s="189"/>
    </row>
    <row r="920" spans="11:11" x14ac:dyDescent="0.25">
      <c r="K920" s="189"/>
    </row>
    <row r="921" spans="11:11" x14ac:dyDescent="0.25">
      <c r="K921" s="189"/>
    </row>
    <row r="922" spans="11:11" x14ac:dyDescent="0.25">
      <c r="K922" s="189"/>
    </row>
    <row r="923" spans="11:11" x14ac:dyDescent="0.25">
      <c r="K923" s="189"/>
    </row>
    <row r="924" spans="11:11" x14ac:dyDescent="0.25">
      <c r="K924" s="189"/>
    </row>
    <row r="925" spans="11:11" x14ac:dyDescent="0.25">
      <c r="K925" s="189"/>
    </row>
    <row r="926" spans="11:11" x14ac:dyDescent="0.25">
      <c r="K926" s="189"/>
    </row>
    <row r="927" spans="11:11" x14ac:dyDescent="0.25">
      <c r="K927" s="189"/>
    </row>
    <row r="928" spans="11:11" x14ac:dyDescent="0.25">
      <c r="K928" s="189"/>
    </row>
    <row r="929" spans="11:11" x14ac:dyDescent="0.25">
      <c r="K929" s="189"/>
    </row>
    <row r="930" spans="11:11" x14ac:dyDescent="0.25">
      <c r="K930" s="189"/>
    </row>
    <row r="931" spans="11:11" x14ac:dyDescent="0.25">
      <c r="K931" s="189"/>
    </row>
    <row r="932" spans="11:11" x14ac:dyDescent="0.25">
      <c r="K932" s="189"/>
    </row>
    <row r="933" spans="11:11" x14ac:dyDescent="0.25">
      <c r="K933" s="189"/>
    </row>
    <row r="934" spans="11:11" x14ac:dyDescent="0.25">
      <c r="K934" s="189"/>
    </row>
    <row r="935" spans="11:11" x14ac:dyDescent="0.25">
      <c r="K935" s="189"/>
    </row>
    <row r="936" spans="11:11" x14ac:dyDescent="0.25">
      <c r="K936" s="189"/>
    </row>
    <row r="937" spans="11:11" x14ac:dyDescent="0.25">
      <c r="K937" s="189"/>
    </row>
    <row r="938" spans="11:11" x14ac:dyDescent="0.25">
      <c r="K938" s="189"/>
    </row>
    <row r="939" spans="11:11" x14ac:dyDescent="0.25">
      <c r="K939" s="189"/>
    </row>
    <row r="940" spans="11:11" x14ac:dyDescent="0.25">
      <c r="K940" s="189"/>
    </row>
    <row r="941" spans="11:11" x14ac:dyDescent="0.25">
      <c r="K941" s="189"/>
    </row>
    <row r="942" spans="11:11" x14ac:dyDescent="0.25">
      <c r="K942" s="189"/>
    </row>
    <row r="943" spans="11:11" x14ac:dyDescent="0.25">
      <c r="K943" s="189"/>
    </row>
    <row r="944" spans="11:11" x14ac:dyDescent="0.25">
      <c r="K944" s="189"/>
    </row>
    <row r="945" spans="11:11" x14ac:dyDescent="0.25">
      <c r="K945" s="189"/>
    </row>
    <row r="946" spans="11:11" x14ac:dyDescent="0.25">
      <c r="K946" s="189"/>
    </row>
    <row r="947" spans="11:11" x14ac:dyDescent="0.25">
      <c r="K947" s="189"/>
    </row>
    <row r="948" spans="11:11" x14ac:dyDescent="0.25">
      <c r="K948" s="189"/>
    </row>
    <row r="949" spans="11:11" x14ac:dyDescent="0.25">
      <c r="K949" s="189"/>
    </row>
    <row r="950" spans="11:11" x14ac:dyDescent="0.25">
      <c r="K950" s="189"/>
    </row>
    <row r="951" spans="11:11" x14ac:dyDescent="0.25">
      <c r="K951" s="189"/>
    </row>
    <row r="952" spans="11:11" x14ac:dyDescent="0.25">
      <c r="K952" s="189"/>
    </row>
    <row r="953" spans="11:11" x14ac:dyDescent="0.25">
      <c r="K953" s="189"/>
    </row>
    <row r="954" spans="11:11" x14ac:dyDescent="0.25">
      <c r="K954" s="189"/>
    </row>
    <row r="955" spans="11:11" x14ac:dyDescent="0.25">
      <c r="K955" s="189"/>
    </row>
    <row r="956" spans="11:11" x14ac:dyDescent="0.25">
      <c r="K956" s="189"/>
    </row>
    <row r="957" spans="11:11" x14ac:dyDescent="0.25">
      <c r="K957" s="189"/>
    </row>
    <row r="958" spans="11:11" x14ac:dyDescent="0.25">
      <c r="K958" s="189"/>
    </row>
    <row r="959" spans="11:11" x14ac:dyDescent="0.25">
      <c r="K959" s="189"/>
    </row>
    <row r="960" spans="11:11" x14ac:dyDescent="0.25">
      <c r="K960" s="189"/>
    </row>
    <row r="961" spans="11:11" x14ac:dyDescent="0.25">
      <c r="K961" s="189"/>
    </row>
    <row r="962" spans="11:11" x14ac:dyDescent="0.25">
      <c r="K962" s="189"/>
    </row>
    <row r="963" spans="11:11" x14ac:dyDescent="0.25">
      <c r="K963" s="189"/>
    </row>
    <row r="964" spans="11:11" x14ac:dyDescent="0.25">
      <c r="K964" s="189"/>
    </row>
    <row r="965" spans="11:11" x14ac:dyDescent="0.25">
      <c r="K965" s="189"/>
    </row>
    <row r="966" spans="11:11" x14ac:dyDescent="0.25">
      <c r="K966" s="189"/>
    </row>
    <row r="967" spans="11:11" x14ac:dyDescent="0.25">
      <c r="K967" s="189"/>
    </row>
    <row r="968" spans="11:11" x14ac:dyDescent="0.25">
      <c r="K968" s="189"/>
    </row>
    <row r="969" spans="11:11" x14ac:dyDescent="0.25">
      <c r="K969" s="189"/>
    </row>
    <row r="970" spans="11:11" x14ac:dyDescent="0.25">
      <c r="K970" s="189"/>
    </row>
    <row r="971" spans="11:11" x14ac:dyDescent="0.25">
      <c r="K971" s="189"/>
    </row>
    <row r="972" spans="11:11" x14ac:dyDescent="0.25">
      <c r="K972" s="189"/>
    </row>
    <row r="973" spans="11:11" x14ac:dyDescent="0.25">
      <c r="K973" s="189"/>
    </row>
    <row r="974" spans="11:11" x14ac:dyDescent="0.25">
      <c r="K974" s="189"/>
    </row>
    <row r="975" spans="11:11" x14ac:dyDescent="0.25">
      <c r="K975" s="189"/>
    </row>
    <row r="976" spans="11:11" x14ac:dyDescent="0.25">
      <c r="K976" s="189"/>
    </row>
    <row r="977" spans="11:11" x14ac:dyDescent="0.25">
      <c r="K977" s="189"/>
    </row>
    <row r="978" spans="11:11" x14ac:dyDescent="0.25">
      <c r="K978" s="189"/>
    </row>
    <row r="979" spans="11:11" x14ac:dyDescent="0.25">
      <c r="K979" s="189"/>
    </row>
    <row r="980" spans="11:11" x14ac:dyDescent="0.25">
      <c r="K980" s="189"/>
    </row>
    <row r="981" spans="11:11" x14ac:dyDescent="0.25">
      <c r="K981" s="189"/>
    </row>
    <row r="982" spans="11:11" x14ac:dyDescent="0.25">
      <c r="K982" s="189"/>
    </row>
    <row r="983" spans="11:11" x14ac:dyDescent="0.25">
      <c r="K983" s="189"/>
    </row>
    <row r="984" spans="11:11" x14ac:dyDescent="0.25">
      <c r="K984" s="189"/>
    </row>
    <row r="985" spans="11:11" x14ac:dyDescent="0.25">
      <c r="K985" s="189"/>
    </row>
    <row r="986" spans="11:11" x14ac:dyDescent="0.25">
      <c r="K986" s="189"/>
    </row>
    <row r="987" spans="11:11" x14ac:dyDescent="0.25">
      <c r="K987" s="189"/>
    </row>
    <row r="988" spans="11:11" x14ac:dyDescent="0.25">
      <c r="K988" s="189"/>
    </row>
    <row r="989" spans="11:11" x14ac:dyDescent="0.25">
      <c r="K989" s="189"/>
    </row>
    <row r="990" spans="11:11" x14ac:dyDescent="0.25">
      <c r="K990" s="189"/>
    </row>
    <row r="991" spans="11:11" x14ac:dyDescent="0.25">
      <c r="K991" s="189"/>
    </row>
    <row r="992" spans="11:11" x14ac:dyDescent="0.25">
      <c r="K992" s="189"/>
    </row>
    <row r="993" spans="11:11" x14ac:dyDescent="0.25">
      <c r="K993" s="189"/>
    </row>
    <row r="994" spans="11:11" x14ac:dyDescent="0.25">
      <c r="K994" s="189"/>
    </row>
    <row r="995" spans="11:11" x14ac:dyDescent="0.25">
      <c r="K995" s="189"/>
    </row>
    <row r="996" spans="11:11" x14ac:dyDescent="0.25">
      <c r="K996" s="189"/>
    </row>
    <row r="997" spans="11:11" x14ac:dyDescent="0.25">
      <c r="K997" s="189"/>
    </row>
    <row r="998" spans="11:11" x14ac:dyDescent="0.25">
      <c r="K998" s="189"/>
    </row>
    <row r="999" spans="11:11" x14ac:dyDescent="0.25">
      <c r="K999" s="189"/>
    </row>
    <row r="1000" spans="11:11" x14ac:dyDescent="0.25">
      <c r="K1000" s="189"/>
    </row>
    <row r="1001" spans="11:11" x14ac:dyDescent="0.25">
      <c r="K1001" s="189"/>
    </row>
    <row r="1002" spans="11:11" x14ac:dyDescent="0.25">
      <c r="K1002" s="189"/>
    </row>
    <row r="1003" spans="11:11" x14ac:dyDescent="0.25">
      <c r="K1003" s="189"/>
    </row>
    <row r="1004" spans="11:11" x14ac:dyDescent="0.25">
      <c r="K1004" s="189"/>
    </row>
    <row r="1005" spans="11:11" x14ac:dyDescent="0.25">
      <c r="K1005" s="189"/>
    </row>
    <row r="1006" spans="11:11" x14ac:dyDescent="0.25">
      <c r="K1006" s="189"/>
    </row>
    <row r="1007" spans="11:11" x14ac:dyDescent="0.25">
      <c r="K1007" s="189"/>
    </row>
    <row r="1008" spans="11:11" x14ac:dyDescent="0.25">
      <c r="K1008" s="189"/>
    </row>
    <row r="1009" spans="11:11" x14ac:dyDescent="0.25">
      <c r="K1009" s="189"/>
    </row>
    <row r="1010" spans="11:11" x14ac:dyDescent="0.25">
      <c r="K1010" s="189"/>
    </row>
    <row r="1011" spans="11:11" x14ac:dyDescent="0.25">
      <c r="K1011" s="189"/>
    </row>
    <row r="1012" spans="11:11" x14ac:dyDescent="0.25">
      <c r="K1012" s="189"/>
    </row>
    <row r="1013" spans="11:11" x14ac:dyDescent="0.25">
      <c r="K1013" s="189"/>
    </row>
    <row r="1014" spans="11:11" x14ac:dyDescent="0.25">
      <c r="K1014" s="189"/>
    </row>
    <row r="1015" spans="11:11" x14ac:dyDescent="0.25">
      <c r="K1015" s="189"/>
    </row>
    <row r="1016" spans="11:11" x14ac:dyDescent="0.25">
      <c r="K1016" s="189"/>
    </row>
    <row r="1017" spans="11:11" x14ac:dyDescent="0.25">
      <c r="K1017" s="189"/>
    </row>
    <row r="1018" spans="11:11" x14ac:dyDescent="0.25">
      <c r="K1018" s="189"/>
    </row>
    <row r="1019" spans="11:11" x14ac:dyDescent="0.25">
      <c r="K1019" s="189"/>
    </row>
    <row r="1020" spans="11:11" x14ac:dyDescent="0.25">
      <c r="K1020" s="189"/>
    </row>
    <row r="1021" spans="11:11" x14ac:dyDescent="0.25">
      <c r="K1021" s="189"/>
    </row>
    <row r="1022" spans="11:11" x14ac:dyDescent="0.25">
      <c r="K1022" s="189"/>
    </row>
    <row r="1023" spans="11:11" x14ac:dyDescent="0.25">
      <c r="K1023" s="189"/>
    </row>
    <row r="1024" spans="11:11" x14ac:dyDescent="0.25">
      <c r="K1024" s="189"/>
    </row>
    <row r="1025" spans="11:11" x14ac:dyDescent="0.25">
      <c r="K1025" s="189"/>
    </row>
    <row r="1026" spans="11:11" x14ac:dyDescent="0.25">
      <c r="K1026" s="189"/>
    </row>
    <row r="1027" spans="11:11" x14ac:dyDescent="0.25">
      <c r="K1027" s="189"/>
    </row>
    <row r="1028" spans="11:11" x14ac:dyDescent="0.25">
      <c r="K1028" s="189"/>
    </row>
    <row r="1029" spans="11:11" x14ac:dyDescent="0.25">
      <c r="K1029" s="189"/>
    </row>
    <row r="1030" spans="11:11" x14ac:dyDescent="0.25">
      <c r="K1030" s="189"/>
    </row>
    <row r="1031" spans="11:11" x14ac:dyDescent="0.25">
      <c r="K1031" s="189"/>
    </row>
    <row r="1032" spans="11:11" x14ac:dyDescent="0.25">
      <c r="K1032" s="189"/>
    </row>
    <row r="1033" spans="11:11" x14ac:dyDescent="0.25">
      <c r="K1033" s="189"/>
    </row>
    <row r="1034" spans="11:11" x14ac:dyDescent="0.25">
      <c r="K1034" s="189"/>
    </row>
    <row r="1035" spans="11:11" x14ac:dyDescent="0.25">
      <c r="K1035" s="189"/>
    </row>
    <row r="1036" spans="11:11" x14ac:dyDescent="0.25">
      <c r="K1036" s="189"/>
    </row>
    <row r="1037" spans="11:11" x14ac:dyDescent="0.25">
      <c r="K1037" s="189"/>
    </row>
    <row r="1038" spans="11:11" x14ac:dyDescent="0.25">
      <c r="K1038" s="189"/>
    </row>
    <row r="1039" spans="11:11" x14ac:dyDescent="0.25">
      <c r="K1039" s="189"/>
    </row>
    <row r="1040" spans="11:11" x14ac:dyDescent="0.25">
      <c r="K1040" s="189"/>
    </row>
    <row r="1041" spans="11:11" x14ac:dyDescent="0.25">
      <c r="K1041" s="189"/>
    </row>
    <row r="1042" spans="11:11" x14ac:dyDescent="0.25">
      <c r="K1042" s="189"/>
    </row>
    <row r="1043" spans="11:11" x14ac:dyDescent="0.25">
      <c r="K1043" s="189"/>
    </row>
    <row r="1044" spans="11:11" x14ac:dyDescent="0.25">
      <c r="K1044" s="189"/>
    </row>
    <row r="1045" spans="11:11" x14ac:dyDescent="0.25">
      <c r="K1045" s="189"/>
    </row>
    <row r="1046" spans="11:11" x14ac:dyDescent="0.25">
      <c r="K1046" s="189"/>
    </row>
    <row r="1047" spans="11:11" x14ac:dyDescent="0.25">
      <c r="K1047" s="189"/>
    </row>
    <row r="1048" spans="11:11" x14ac:dyDescent="0.25">
      <c r="K1048" s="189"/>
    </row>
    <row r="1049" spans="11:11" x14ac:dyDescent="0.25">
      <c r="K1049" s="189"/>
    </row>
    <row r="1050" spans="11:11" x14ac:dyDescent="0.25">
      <c r="K1050" s="189"/>
    </row>
    <row r="1051" spans="11:11" x14ac:dyDescent="0.25">
      <c r="K1051" s="189"/>
    </row>
    <row r="1052" spans="11:11" x14ac:dyDescent="0.25">
      <c r="K1052" s="189"/>
    </row>
    <row r="1053" spans="11:11" x14ac:dyDescent="0.25">
      <c r="K1053" s="189"/>
    </row>
    <row r="1054" spans="11:11" x14ac:dyDescent="0.25">
      <c r="K1054" s="189"/>
    </row>
    <row r="1055" spans="11:11" x14ac:dyDescent="0.25">
      <c r="K1055" s="189"/>
    </row>
    <row r="1056" spans="11:11" x14ac:dyDescent="0.25">
      <c r="K1056" s="189"/>
    </row>
    <row r="1057" spans="11:11" x14ac:dyDescent="0.25">
      <c r="K1057" s="189"/>
    </row>
    <row r="1058" spans="11:11" x14ac:dyDescent="0.25">
      <c r="K1058" s="189"/>
    </row>
    <row r="1059" spans="11:11" x14ac:dyDescent="0.25">
      <c r="K1059" s="189"/>
    </row>
    <row r="1060" spans="11:11" x14ac:dyDescent="0.25">
      <c r="K1060" s="189"/>
    </row>
    <row r="1061" spans="11:11" x14ac:dyDescent="0.25">
      <c r="K1061" s="189"/>
    </row>
    <row r="1062" spans="11:11" x14ac:dyDescent="0.25">
      <c r="K1062" s="189"/>
    </row>
    <row r="1063" spans="11:11" x14ac:dyDescent="0.25">
      <c r="K1063" s="189"/>
    </row>
    <row r="1064" spans="11:11" x14ac:dyDescent="0.25">
      <c r="K1064" s="189"/>
    </row>
    <row r="1065" spans="11:11" x14ac:dyDescent="0.25">
      <c r="K1065" s="189"/>
    </row>
    <row r="1066" spans="11:11" x14ac:dyDescent="0.25">
      <c r="K1066" s="189"/>
    </row>
    <row r="1067" spans="11:11" x14ac:dyDescent="0.25">
      <c r="K1067" s="189"/>
    </row>
    <row r="1068" spans="11:11" x14ac:dyDescent="0.25">
      <c r="K1068" s="189"/>
    </row>
    <row r="1069" spans="11:11" x14ac:dyDescent="0.25">
      <c r="K1069" s="189"/>
    </row>
    <row r="1070" spans="11:11" x14ac:dyDescent="0.25">
      <c r="K1070" s="189"/>
    </row>
    <row r="1071" spans="11:11" x14ac:dyDescent="0.25">
      <c r="K1071" s="189"/>
    </row>
    <row r="1072" spans="11:11" x14ac:dyDescent="0.25">
      <c r="K1072" s="189"/>
    </row>
    <row r="1073" spans="11:11" x14ac:dyDescent="0.25">
      <c r="K1073" s="189"/>
    </row>
    <row r="1074" spans="11:11" x14ac:dyDescent="0.25">
      <c r="K1074" s="189"/>
    </row>
    <row r="1075" spans="11:11" x14ac:dyDescent="0.25">
      <c r="K1075" s="189"/>
    </row>
    <row r="1076" spans="11:11" x14ac:dyDescent="0.25">
      <c r="K1076" s="189"/>
    </row>
    <row r="1077" spans="11:11" x14ac:dyDescent="0.25">
      <c r="K1077" s="189"/>
    </row>
    <row r="1078" spans="11:11" x14ac:dyDescent="0.25">
      <c r="K1078" s="189"/>
    </row>
    <row r="1079" spans="11:11" x14ac:dyDescent="0.25">
      <c r="K1079" s="189"/>
    </row>
    <row r="1080" spans="11:11" x14ac:dyDescent="0.25">
      <c r="K1080" s="189"/>
    </row>
    <row r="1081" spans="11:11" x14ac:dyDescent="0.25">
      <c r="K1081" s="189"/>
    </row>
    <row r="1082" spans="11:11" x14ac:dyDescent="0.25">
      <c r="K1082" s="189"/>
    </row>
    <row r="1083" spans="11:11" x14ac:dyDescent="0.25">
      <c r="K1083" s="189"/>
    </row>
    <row r="1084" spans="11:11" x14ac:dyDescent="0.25">
      <c r="K1084" s="189"/>
    </row>
    <row r="1085" spans="11:11" x14ac:dyDescent="0.25">
      <c r="K1085" s="189"/>
    </row>
    <row r="1086" spans="11:11" x14ac:dyDescent="0.25">
      <c r="K1086" s="189"/>
    </row>
    <row r="1087" spans="11:11" x14ac:dyDescent="0.25">
      <c r="K1087" s="189"/>
    </row>
    <row r="1088" spans="11:11" x14ac:dyDescent="0.25">
      <c r="K1088" s="189"/>
    </row>
    <row r="1089" spans="11:11" x14ac:dyDescent="0.25">
      <c r="K1089" s="189"/>
    </row>
    <row r="1090" spans="11:11" x14ac:dyDescent="0.25">
      <c r="K1090" s="189"/>
    </row>
    <row r="1091" spans="11:11" x14ac:dyDescent="0.25">
      <c r="K1091" s="189"/>
    </row>
    <row r="1092" spans="11:11" x14ac:dyDescent="0.25">
      <c r="K1092" s="189"/>
    </row>
    <row r="1093" spans="11:11" x14ac:dyDescent="0.25">
      <c r="K1093" s="189"/>
    </row>
    <row r="1094" spans="11:11" x14ac:dyDescent="0.25">
      <c r="K1094" s="189"/>
    </row>
    <row r="1095" spans="11:11" x14ac:dyDescent="0.25">
      <c r="K1095" s="189"/>
    </row>
    <row r="1096" spans="11:11" x14ac:dyDescent="0.25">
      <c r="K1096" s="189"/>
    </row>
    <row r="1097" spans="11:11" x14ac:dyDescent="0.25">
      <c r="K1097" s="189"/>
    </row>
    <row r="1098" spans="11:11" x14ac:dyDescent="0.25">
      <c r="K1098" s="189"/>
    </row>
    <row r="1099" spans="11:11" x14ac:dyDescent="0.25">
      <c r="K1099" s="189"/>
    </row>
    <row r="1100" spans="11:11" x14ac:dyDescent="0.25">
      <c r="K1100" s="189"/>
    </row>
    <row r="1101" spans="11:11" x14ac:dyDescent="0.25">
      <c r="K1101" s="189"/>
    </row>
    <row r="1102" spans="11:11" x14ac:dyDescent="0.25">
      <c r="K1102" s="189"/>
    </row>
    <row r="1103" spans="11:11" x14ac:dyDescent="0.25">
      <c r="K1103" s="189"/>
    </row>
    <row r="1104" spans="11:11" x14ac:dyDescent="0.25">
      <c r="K1104" s="189"/>
    </row>
    <row r="1105" spans="11:11" x14ac:dyDescent="0.25">
      <c r="K1105" s="189"/>
    </row>
    <row r="1106" spans="11:11" x14ac:dyDescent="0.25">
      <c r="K1106" s="189"/>
    </row>
    <row r="1107" spans="11:11" x14ac:dyDescent="0.25">
      <c r="K1107" s="189"/>
    </row>
    <row r="1108" spans="11:11" x14ac:dyDescent="0.25">
      <c r="K1108" s="189"/>
    </row>
    <row r="1109" spans="11:11" x14ac:dyDescent="0.25">
      <c r="K1109" s="189"/>
    </row>
    <row r="1110" spans="11:11" x14ac:dyDescent="0.25">
      <c r="K1110" s="189"/>
    </row>
    <row r="1111" spans="11:11" x14ac:dyDescent="0.25">
      <c r="K1111" s="189"/>
    </row>
    <row r="1112" spans="11:11" x14ac:dyDescent="0.25">
      <c r="K1112" s="189"/>
    </row>
    <row r="1113" spans="11:11" x14ac:dyDescent="0.25">
      <c r="K1113" s="189"/>
    </row>
    <row r="1114" spans="11:11" x14ac:dyDescent="0.25">
      <c r="K1114" s="189"/>
    </row>
    <row r="1115" spans="11:11" x14ac:dyDescent="0.25">
      <c r="K1115" s="189"/>
    </row>
    <row r="1116" spans="11:11" x14ac:dyDescent="0.25">
      <c r="K1116" s="189"/>
    </row>
    <row r="1117" spans="11:11" x14ac:dyDescent="0.25">
      <c r="K1117" s="189"/>
    </row>
    <row r="1118" spans="11:11" x14ac:dyDescent="0.25">
      <c r="K1118" s="189"/>
    </row>
    <row r="1119" spans="11:11" x14ac:dyDescent="0.25">
      <c r="K1119" s="189"/>
    </row>
    <row r="1120" spans="11:11" x14ac:dyDescent="0.25">
      <c r="K1120" s="189"/>
    </row>
    <row r="1121" spans="11:11" x14ac:dyDescent="0.25">
      <c r="K1121" s="189"/>
    </row>
    <row r="1122" spans="11:11" x14ac:dyDescent="0.25">
      <c r="K1122" s="189"/>
    </row>
    <row r="1123" spans="11:11" x14ac:dyDescent="0.25">
      <c r="K1123" s="189"/>
    </row>
    <row r="1124" spans="11:11" x14ac:dyDescent="0.25">
      <c r="K1124" s="189"/>
    </row>
    <row r="1125" spans="11:11" x14ac:dyDescent="0.25">
      <c r="K1125" s="189"/>
    </row>
    <row r="1126" spans="11:11" x14ac:dyDescent="0.25">
      <c r="K1126" s="189"/>
    </row>
    <row r="1127" spans="11:11" x14ac:dyDescent="0.25">
      <c r="K1127" s="189"/>
    </row>
    <row r="1128" spans="11:11" x14ac:dyDescent="0.25">
      <c r="K1128" s="189"/>
    </row>
    <row r="1129" spans="11:11" x14ac:dyDescent="0.25">
      <c r="K1129" s="189"/>
    </row>
    <row r="1130" spans="11:11" x14ac:dyDescent="0.25">
      <c r="K1130" s="189"/>
    </row>
    <row r="1131" spans="11:11" x14ac:dyDescent="0.25">
      <c r="K1131" s="189"/>
    </row>
    <row r="1132" spans="11:11" x14ac:dyDescent="0.25">
      <c r="K1132" s="189"/>
    </row>
    <row r="1133" spans="11:11" x14ac:dyDescent="0.25">
      <c r="K1133" s="189"/>
    </row>
    <row r="1134" spans="11:11" x14ac:dyDescent="0.25">
      <c r="K1134" s="189"/>
    </row>
    <row r="1135" spans="11:11" x14ac:dyDescent="0.25">
      <c r="K1135" s="189"/>
    </row>
    <row r="1136" spans="11:11" x14ac:dyDescent="0.25">
      <c r="K1136" s="189"/>
    </row>
    <row r="1137" spans="11:11" x14ac:dyDescent="0.25">
      <c r="K1137" s="189"/>
    </row>
    <row r="1138" spans="11:11" x14ac:dyDescent="0.25">
      <c r="K1138" s="189"/>
    </row>
    <row r="1139" spans="11:11" x14ac:dyDescent="0.25">
      <c r="K1139" s="189"/>
    </row>
    <row r="1140" spans="11:11" x14ac:dyDescent="0.25">
      <c r="K1140" s="189"/>
    </row>
    <row r="1141" spans="11:11" x14ac:dyDescent="0.25">
      <c r="K1141" s="189"/>
    </row>
    <row r="1142" spans="11:11" x14ac:dyDescent="0.25">
      <c r="K1142" s="189"/>
    </row>
    <row r="1143" spans="11:11" x14ac:dyDescent="0.25">
      <c r="K1143" s="189"/>
    </row>
    <row r="1144" spans="11:11" x14ac:dyDescent="0.25">
      <c r="K1144" s="189"/>
    </row>
    <row r="1145" spans="11:11" x14ac:dyDescent="0.25">
      <c r="K1145" s="189"/>
    </row>
    <row r="1146" spans="11:11" x14ac:dyDescent="0.25">
      <c r="K1146" s="189"/>
    </row>
    <row r="1147" spans="11:11" x14ac:dyDescent="0.25">
      <c r="K1147" s="189"/>
    </row>
    <row r="1148" spans="11:11" x14ac:dyDescent="0.25">
      <c r="K1148" s="189"/>
    </row>
    <row r="1149" spans="11:11" x14ac:dyDescent="0.25">
      <c r="K1149" s="189"/>
    </row>
    <row r="1150" spans="11:11" x14ac:dyDescent="0.25">
      <c r="K1150" s="189"/>
    </row>
    <row r="1151" spans="11:11" x14ac:dyDescent="0.25">
      <c r="K1151" s="189"/>
    </row>
    <row r="1152" spans="11:11" x14ac:dyDescent="0.25">
      <c r="K1152" s="189"/>
    </row>
    <row r="1153" spans="11:11" x14ac:dyDescent="0.25">
      <c r="K1153" s="189"/>
    </row>
    <row r="1154" spans="11:11" x14ac:dyDescent="0.25">
      <c r="K1154" s="189"/>
    </row>
    <row r="1155" spans="11:11" x14ac:dyDescent="0.25">
      <c r="K1155" s="189"/>
    </row>
    <row r="1156" spans="11:11" x14ac:dyDescent="0.25">
      <c r="K1156" s="189"/>
    </row>
    <row r="1157" spans="11:11" x14ac:dyDescent="0.25">
      <c r="K1157" s="189"/>
    </row>
    <row r="1158" spans="11:11" x14ac:dyDescent="0.25">
      <c r="K1158" s="189"/>
    </row>
    <row r="1159" spans="11:11" x14ac:dyDescent="0.25">
      <c r="K1159" s="189"/>
    </row>
    <row r="1160" spans="11:11" x14ac:dyDescent="0.25">
      <c r="K1160" s="189"/>
    </row>
    <row r="1161" spans="11:11" x14ac:dyDescent="0.25">
      <c r="K1161" s="189"/>
    </row>
    <row r="1162" spans="11:11" x14ac:dyDescent="0.25">
      <c r="K1162" s="189"/>
    </row>
    <row r="1163" spans="11:11" x14ac:dyDescent="0.25">
      <c r="K1163" s="189"/>
    </row>
    <row r="1164" spans="11:11" x14ac:dyDescent="0.25">
      <c r="K1164" s="189"/>
    </row>
    <row r="1165" spans="11:11" x14ac:dyDescent="0.25">
      <c r="K1165" s="189"/>
    </row>
    <row r="1166" spans="11:11" x14ac:dyDescent="0.25">
      <c r="K1166" s="189"/>
    </row>
    <row r="1167" spans="11:11" x14ac:dyDescent="0.25">
      <c r="K1167" s="189"/>
    </row>
    <row r="1168" spans="11:11" x14ac:dyDescent="0.25">
      <c r="K1168" s="189"/>
    </row>
    <row r="1169" spans="11:11" x14ac:dyDescent="0.25">
      <c r="K1169" s="189"/>
    </row>
    <row r="1170" spans="11:11" x14ac:dyDescent="0.25">
      <c r="K1170" s="189"/>
    </row>
    <row r="1171" spans="11:11" x14ac:dyDescent="0.25">
      <c r="K1171" s="189"/>
    </row>
    <row r="1172" spans="11:11" x14ac:dyDescent="0.25">
      <c r="K1172" s="189"/>
    </row>
    <row r="1173" spans="11:11" x14ac:dyDescent="0.25">
      <c r="K1173" s="189"/>
    </row>
    <row r="1174" spans="11:11" x14ac:dyDescent="0.25">
      <c r="K1174" s="189"/>
    </row>
    <row r="1175" spans="11:11" x14ac:dyDescent="0.25">
      <c r="K1175" s="189"/>
    </row>
    <row r="1176" spans="11:11" x14ac:dyDescent="0.25">
      <c r="K1176" s="189"/>
    </row>
    <row r="1177" spans="11:11" x14ac:dyDescent="0.25">
      <c r="K1177" s="189"/>
    </row>
    <row r="1178" spans="11:11" x14ac:dyDescent="0.25">
      <c r="K1178" s="189"/>
    </row>
    <row r="1179" spans="11:11" x14ac:dyDescent="0.25">
      <c r="K1179" s="189"/>
    </row>
    <row r="1180" spans="11:11" x14ac:dyDescent="0.25">
      <c r="K1180" s="189"/>
    </row>
    <row r="1181" spans="11:11" x14ac:dyDescent="0.25">
      <c r="K1181" s="189"/>
    </row>
    <row r="1182" spans="11:11" x14ac:dyDescent="0.25">
      <c r="K1182" s="189"/>
    </row>
    <row r="1183" spans="11:11" x14ac:dyDescent="0.25">
      <c r="K1183" s="189"/>
    </row>
    <row r="1184" spans="11:11" x14ac:dyDescent="0.25">
      <c r="K1184" s="189"/>
    </row>
    <row r="1185" spans="11:11" x14ac:dyDescent="0.25">
      <c r="K1185" s="189"/>
    </row>
    <row r="1186" spans="11:11" x14ac:dyDescent="0.25">
      <c r="K1186" s="189"/>
    </row>
    <row r="1187" spans="11:11" x14ac:dyDescent="0.25">
      <c r="K1187" s="189"/>
    </row>
    <row r="1188" spans="11:11" x14ac:dyDescent="0.25">
      <c r="K1188" s="189"/>
    </row>
    <row r="1189" spans="11:11" x14ac:dyDescent="0.25">
      <c r="K1189" s="189"/>
    </row>
    <row r="1190" spans="11:11" x14ac:dyDescent="0.25">
      <c r="K1190" s="189"/>
    </row>
    <row r="1191" spans="11:11" x14ac:dyDescent="0.25">
      <c r="K1191" s="189"/>
    </row>
    <row r="1192" spans="11:11" x14ac:dyDescent="0.25">
      <c r="K1192" s="189"/>
    </row>
    <row r="1193" spans="11:11" x14ac:dyDescent="0.25">
      <c r="K1193" s="189"/>
    </row>
    <row r="1194" spans="11:11" x14ac:dyDescent="0.25">
      <c r="K1194" s="189"/>
    </row>
    <row r="1195" spans="11:11" x14ac:dyDescent="0.25">
      <c r="K1195" s="189"/>
    </row>
    <row r="1196" spans="11:11" x14ac:dyDescent="0.25">
      <c r="K1196" s="189"/>
    </row>
    <row r="1197" spans="11:11" x14ac:dyDescent="0.25">
      <c r="K1197" s="189"/>
    </row>
    <row r="1198" spans="11:11" x14ac:dyDescent="0.25">
      <c r="K1198" s="189"/>
    </row>
    <row r="1199" spans="11:11" x14ac:dyDescent="0.25">
      <c r="K1199" s="189"/>
    </row>
    <row r="1200" spans="11:11" x14ac:dyDescent="0.25">
      <c r="K1200" s="189"/>
    </row>
    <row r="1201" spans="11:11" x14ac:dyDescent="0.25">
      <c r="K1201" s="189"/>
    </row>
    <row r="1202" spans="11:11" x14ac:dyDescent="0.25">
      <c r="K1202" s="189"/>
    </row>
    <row r="1203" spans="11:11" x14ac:dyDescent="0.25">
      <c r="K1203" s="189"/>
    </row>
    <row r="1204" spans="11:11" x14ac:dyDescent="0.25">
      <c r="K1204" s="189"/>
    </row>
    <row r="1205" spans="11:11" x14ac:dyDescent="0.25">
      <c r="K1205" s="189"/>
    </row>
    <row r="1206" spans="11:11" x14ac:dyDescent="0.25">
      <c r="K1206" s="189"/>
    </row>
    <row r="1207" spans="11:11" x14ac:dyDescent="0.25">
      <c r="K1207" s="189"/>
    </row>
    <row r="1208" spans="11:11" x14ac:dyDescent="0.25">
      <c r="K1208" s="189"/>
    </row>
    <row r="1209" spans="11:11" x14ac:dyDescent="0.25">
      <c r="K1209" s="189"/>
    </row>
    <row r="1210" spans="11:11" x14ac:dyDescent="0.25">
      <c r="K1210" s="189"/>
    </row>
    <row r="1211" spans="11:11" x14ac:dyDescent="0.25">
      <c r="K1211" s="189"/>
    </row>
    <row r="1212" spans="11:11" x14ac:dyDescent="0.25">
      <c r="K1212" s="189"/>
    </row>
    <row r="1213" spans="11:11" x14ac:dyDescent="0.25">
      <c r="K1213" s="189"/>
    </row>
    <row r="1214" spans="11:11" x14ac:dyDescent="0.25">
      <c r="K1214" s="189"/>
    </row>
    <row r="1215" spans="11:11" x14ac:dyDescent="0.25">
      <c r="K1215" s="189"/>
    </row>
    <row r="1216" spans="11:11" x14ac:dyDescent="0.25">
      <c r="K1216" s="189"/>
    </row>
    <row r="1217" spans="11:11" x14ac:dyDescent="0.25">
      <c r="K1217" s="189"/>
    </row>
    <row r="1218" spans="11:11" x14ac:dyDescent="0.25">
      <c r="K1218" s="189"/>
    </row>
    <row r="1219" spans="11:11" x14ac:dyDescent="0.25">
      <c r="K1219" s="189"/>
    </row>
    <row r="1220" spans="11:11" x14ac:dyDescent="0.25">
      <c r="K1220" s="189"/>
    </row>
    <row r="1221" spans="11:11" x14ac:dyDescent="0.25">
      <c r="K1221" s="189"/>
    </row>
    <row r="1222" spans="11:11" x14ac:dyDescent="0.25">
      <c r="K1222" s="189"/>
    </row>
    <row r="1223" spans="11:11" x14ac:dyDescent="0.25">
      <c r="K1223" s="189"/>
    </row>
  </sheetData>
  <mergeCells count="12">
    <mergeCell ref="U44:X52"/>
    <mergeCell ref="U6:X43"/>
    <mergeCell ref="B44:T52"/>
    <mergeCell ref="B10:C39"/>
    <mergeCell ref="S10:T39"/>
    <mergeCell ref="D23:N23"/>
    <mergeCell ref="D6:R9"/>
    <mergeCell ref="B6:C9"/>
    <mergeCell ref="S6:T9"/>
    <mergeCell ref="D40:R43"/>
    <mergeCell ref="B40:C43"/>
    <mergeCell ref="S40:T43"/>
  </mergeCells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Rates</vt:lpstr>
      <vt:lpstr>Sheet2</vt:lpstr>
      <vt:lpstr>Help</vt:lpstr>
      <vt:lpstr>AUD</vt:lpstr>
      <vt:lpstr>basisLink</vt:lpstr>
      <vt:lpstr>BasisSwaps</vt:lpstr>
      <vt:lpstr>CAD</vt:lpstr>
      <vt:lpstr>CHF</vt:lpstr>
      <vt:lpstr>CMSSwaps</vt:lpstr>
      <vt:lpstr>Commodities</vt:lpstr>
      <vt:lpstr>CPLibor</vt:lpstr>
      <vt:lpstr>EquityIndices</vt:lpstr>
      <vt:lpstr>EUR</vt:lpstr>
      <vt:lpstr>EuriborFutures</vt:lpstr>
      <vt:lpstr>EuroFutures1M</vt:lpstr>
      <vt:lpstr>EuroFutures3M</vt:lpstr>
      <vt:lpstr>FedFundsFutures</vt:lpstr>
      <vt:lpstr>FFLibor</vt:lpstr>
      <vt:lpstr>FRALink</vt:lpstr>
      <vt:lpstr>FRAs</vt:lpstr>
      <vt:lpstr>Futures</vt:lpstr>
      <vt:lpstr>FX</vt:lpstr>
      <vt:lpstr>GbP</vt:lpstr>
      <vt:lpstr>GlobalBonds</vt:lpstr>
      <vt:lpstr>HLPBRD_IB</vt:lpstr>
      <vt:lpstr>HLPBRD_IR</vt:lpstr>
      <vt:lpstr>HLPBRD_OBR</vt:lpstr>
      <vt:lpstr>IMMSwaps</vt:lpstr>
      <vt:lpstr>JPY</vt:lpstr>
      <vt:lpstr>Libor</vt:lpstr>
      <vt:lpstr>Libor1M3M</vt:lpstr>
      <vt:lpstr>Libor1M6M</vt:lpstr>
      <vt:lpstr>Libor3M12M</vt:lpstr>
      <vt:lpstr>Libor3M6M</vt:lpstr>
      <vt:lpstr>LiborPriceLink</vt:lpstr>
      <vt:lpstr>MaturityLink</vt:lpstr>
      <vt:lpstr>OIS</vt:lpstr>
      <vt:lpstr>OISLink</vt:lpstr>
      <vt:lpstr>PrimeLibor</vt:lpstr>
      <vt:lpstr>rateSpreadLink</vt:lpstr>
      <vt:lpstr>swapLink</vt:lpstr>
      <vt:lpstr>Swaps</vt:lpstr>
      <vt:lpstr>SwaptionPremiums</vt:lpstr>
      <vt:lpstr>SwaptionVols</vt:lpstr>
      <vt:lpstr>TbillLibor</vt:lpstr>
      <vt:lpstr>UST</vt:lpstr>
      <vt:lpstr>VolLink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jostevens</dc:creator>
  <cp:lastModifiedBy>Federicka</cp:lastModifiedBy>
  <cp:lastPrinted>2011-07-07T20:54:34Z</cp:lastPrinted>
  <dcterms:created xsi:type="dcterms:W3CDTF">2010-01-20T18:56:30Z</dcterms:created>
  <dcterms:modified xsi:type="dcterms:W3CDTF">2025-10-21T16:48:20Z</dcterms:modified>
</cp:coreProperties>
</file>