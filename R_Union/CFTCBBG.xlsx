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R_Union\"/>
    </mc:Choice>
  </mc:AlternateContent>
  <xr:revisionPtr revIDLastSave="0" documentId="13_ncr:1_{8189D064-FE9D-49C6-B205-538747ECA340}" xr6:coauthVersionLast="47" xr6:coauthVersionMax="47" xr10:uidLastSave="{00000000-0000-0000-0000-000000000000}"/>
  <bookViews>
    <workbookView xWindow="-110" yWindow="-110" windowWidth="19420" windowHeight="10420" xr2:uid="{28FBD00A-4B51-49D4-B10E-9239657221E8}"/>
  </bookViews>
  <sheets>
    <sheet name="Tickers" sheetId="1" r:id="rId1"/>
  </sheets>
  <externalReferences>
    <externalReference r:id="rId2"/>
  </externalReferences>
  <definedNames>
    <definedName name="CFTC_DATES">[1]Futures!$A$8:$A$312</definedName>
    <definedName name="COMDTY">OFFSET([1]Futures!$B$9,0,0,[1]Futures!$B$7)</definedName>
    <definedName name="COMM">OFFSET([1]Futures!$E$9,0,0,[1]Futures!$B$7)</definedName>
    <definedName name="commfo">OFFSET([1]Futures!$J$9,0,0,[1]Futures!$B$7)</definedName>
    <definedName name="DATES">OFFSET([1]Futures!$A$9,0,0,[1]Futures!$B$7)</definedName>
    <definedName name="indexes">Tickers!$G$2:$AZ$2</definedName>
    <definedName name="LIST">Tickers!$B$3:$B$56</definedName>
    <definedName name="MANAGED">OFFSET([1]Futures!$G$9,0,0,[1]Futures!$B$7)</definedName>
    <definedName name="managedfo">OFFSET([1]Futures!$L$9,0,0,[1]Futures!$B$7)</definedName>
    <definedName name="NONCOM">OFFSET([1]Futures!$D$9,0,0,[1]Futures!$B$7)</definedName>
    <definedName name="noncomfo">OFFSET([1]Futures!$I$9,0,0,[1]Futures!$B$7)</definedName>
    <definedName name="tag">Tickers!$A$2:$BK$58</definedName>
    <definedName name="ticker">Tickers!$A$2:$AP$57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58" i="1" l="1"/>
  <c r="F58" i="1"/>
  <c r="E58" i="1"/>
  <c r="D58" i="1"/>
  <c r="BK57" i="1"/>
  <c r="F57" i="1"/>
  <c r="E57" i="1"/>
  <c r="D57" i="1"/>
  <c r="BK56" i="1"/>
  <c r="F56" i="1"/>
  <c r="E56" i="1"/>
  <c r="D56" i="1"/>
  <c r="BK55" i="1"/>
  <c r="F55" i="1"/>
  <c r="E55" i="1"/>
  <c r="D55" i="1"/>
  <c r="BK54" i="1"/>
  <c r="F54" i="1"/>
  <c r="E54" i="1"/>
  <c r="D54" i="1"/>
  <c r="BK53" i="1"/>
  <c r="F53" i="1"/>
  <c r="E53" i="1"/>
  <c r="D53" i="1"/>
  <c r="BK52" i="1"/>
  <c r="F52" i="1"/>
  <c r="E52" i="1"/>
  <c r="D52" i="1"/>
  <c r="BK51" i="1"/>
  <c r="F51" i="1"/>
  <c r="E51" i="1"/>
  <c r="D51" i="1"/>
  <c r="BK50" i="1"/>
  <c r="F50" i="1"/>
  <c r="E50" i="1"/>
  <c r="D50" i="1"/>
  <c r="BK49" i="1"/>
  <c r="F49" i="1"/>
  <c r="E49" i="1"/>
  <c r="D49" i="1"/>
  <c r="BK48" i="1"/>
  <c r="F48" i="1"/>
  <c r="E48" i="1"/>
  <c r="D48" i="1"/>
  <c r="BK47" i="1"/>
  <c r="F47" i="1"/>
  <c r="E47" i="1"/>
  <c r="D47" i="1"/>
  <c r="BK46" i="1"/>
  <c r="F46" i="1"/>
  <c r="E46" i="1"/>
  <c r="D46" i="1"/>
  <c r="BK45" i="1"/>
  <c r="F45" i="1"/>
  <c r="E45" i="1"/>
  <c r="D45" i="1"/>
  <c r="BK44" i="1"/>
  <c r="F44" i="1"/>
  <c r="E44" i="1"/>
  <c r="D44" i="1"/>
  <c r="BK43" i="1"/>
  <c r="F43" i="1"/>
  <c r="E43" i="1"/>
  <c r="D43" i="1"/>
  <c r="BK42" i="1"/>
  <c r="F42" i="1"/>
  <c r="E42" i="1"/>
  <c r="D42" i="1"/>
  <c r="BK41" i="1"/>
  <c r="F41" i="1"/>
  <c r="E41" i="1"/>
  <c r="D41" i="1"/>
  <c r="BK40" i="1"/>
  <c r="F40" i="1"/>
  <c r="E40" i="1"/>
  <c r="D40" i="1"/>
  <c r="BK39" i="1"/>
  <c r="F39" i="1"/>
  <c r="E39" i="1"/>
  <c r="D39" i="1"/>
  <c r="BK38" i="1"/>
  <c r="F38" i="1"/>
  <c r="E38" i="1"/>
  <c r="D38" i="1"/>
  <c r="BK37" i="1"/>
  <c r="F37" i="1"/>
  <c r="E37" i="1"/>
  <c r="D37" i="1"/>
  <c r="BK36" i="1"/>
  <c r="F36" i="1"/>
  <c r="E36" i="1"/>
  <c r="D36" i="1"/>
  <c r="BK35" i="1"/>
  <c r="F35" i="1"/>
  <c r="E35" i="1"/>
  <c r="D35" i="1"/>
  <c r="BK34" i="1"/>
  <c r="F34" i="1"/>
  <c r="E34" i="1"/>
  <c r="D34" i="1"/>
  <c r="BK33" i="1"/>
  <c r="F33" i="1"/>
  <c r="E33" i="1"/>
  <c r="D33" i="1"/>
  <c r="BK32" i="1"/>
  <c r="F32" i="1"/>
  <c r="E32" i="1"/>
  <c r="D32" i="1"/>
  <c r="BK31" i="1"/>
  <c r="F31" i="1"/>
  <c r="E31" i="1"/>
  <c r="D31" i="1"/>
  <c r="BK30" i="1"/>
  <c r="F30" i="1"/>
  <c r="E30" i="1"/>
  <c r="D30" i="1"/>
  <c r="BK29" i="1"/>
  <c r="F29" i="1"/>
  <c r="E29" i="1"/>
  <c r="D29" i="1"/>
  <c r="BK28" i="1"/>
  <c r="F28" i="1"/>
  <c r="E28" i="1"/>
  <c r="D28" i="1"/>
  <c r="BK27" i="1"/>
  <c r="F27" i="1"/>
  <c r="E27" i="1"/>
  <c r="D27" i="1"/>
  <c r="BK26" i="1"/>
  <c r="F26" i="1"/>
  <c r="E26" i="1"/>
  <c r="D26" i="1"/>
  <c r="BK25" i="1"/>
  <c r="F25" i="1"/>
  <c r="E25" i="1"/>
  <c r="D25" i="1"/>
  <c r="BK24" i="1"/>
  <c r="F24" i="1"/>
  <c r="E24" i="1"/>
  <c r="D24" i="1"/>
  <c r="BK23" i="1"/>
  <c r="F23" i="1"/>
  <c r="E23" i="1"/>
  <c r="D23" i="1"/>
  <c r="BK22" i="1"/>
  <c r="F22" i="1"/>
  <c r="D22" i="1"/>
  <c r="BK21" i="1"/>
  <c r="F21" i="1"/>
  <c r="E21" i="1"/>
  <c r="D21" i="1"/>
  <c r="BK20" i="1"/>
  <c r="F20" i="1"/>
  <c r="E20" i="1"/>
  <c r="D20" i="1"/>
  <c r="BK19" i="1"/>
  <c r="F19" i="1"/>
  <c r="E19" i="1"/>
  <c r="D19" i="1"/>
  <c r="BK18" i="1"/>
  <c r="F18" i="1"/>
  <c r="E18" i="1"/>
  <c r="D18" i="1"/>
  <c r="BK17" i="1"/>
  <c r="F17" i="1"/>
  <c r="E17" i="1"/>
  <c r="D17" i="1"/>
  <c r="BK16" i="1"/>
  <c r="F16" i="1"/>
  <c r="E16" i="1"/>
  <c r="D16" i="1"/>
  <c r="BK15" i="1"/>
  <c r="F15" i="1"/>
  <c r="E15" i="1"/>
  <c r="D15" i="1"/>
  <c r="BK14" i="1"/>
  <c r="F14" i="1"/>
  <c r="D14" i="1"/>
  <c r="BK13" i="1"/>
  <c r="F13" i="1"/>
  <c r="D13" i="1"/>
  <c r="BK12" i="1"/>
  <c r="F12" i="1"/>
  <c r="E12" i="1"/>
  <c r="D12" i="1"/>
  <c r="BK11" i="1"/>
  <c r="F11" i="1"/>
  <c r="E11" i="1"/>
  <c r="D11" i="1"/>
  <c r="BK10" i="1"/>
  <c r="F10" i="1"/>
  <c r="E10" i="1"/>
  <c r="D10" i="1"/>
  <c r="BK9" i="1"/>
  <c r="F9" i="1"/>
  <c r="E9" i="1"/>
  <c r="D9" i="1"/>
  <c r="BK8" i="1"/>
  <c r="F8" i="1"/>
  <c r="E8" i="1"/>
  <c r="D8" i="1"/>
  <c r="BK7" i="1"/>
  <c r="F7" i="1"/>
  <c r="E7" i="1"/>
  <c r="D7" i="1"/>
  <c r="BK6" i="1"/>
  <c r="F6" i="1"/>
  <c r="E6" i="1"/>
  <c r="D6" i="1"/>
  <c r="BK5" i="1"/>
  <c r="F5" i="1"/>
  <c r="E5" i="1"/>
  <c r="D5" i="1"/>
  <c r="BK4" i="1"/>
  <c r="F4" i="1"/>
  <c r="E4" i="1"/>
  <c r="D4" i="1"/>
  <c r="BK3" i="1"/>
  <c r="F3" i="1"/>
  <c r="E3" i="1"/>
  <c r="D3" i="1"/>
  <c r="AR1" i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B1" i="1"/>
</calcChain>
</file>

<file path=xl/sharedStrings.xml><?xml version="1.0" encoding="utf-8"?>
<sst xmlns="http://schemas.openxmlformats.org/spreadsheetml/2006/main" count="2243" uniqueCount="2145">
  <si>
    <t>tag</t>
  </si>
  <si>
    <t>Comdty</t>
  </si>
  <si>
    <t>PX_LAST</t>
  </si>
  <si>
    <t>Unit</t>
  </si>
  <si>
    <t>Contract Size</t>
  </si>
  <si>
    <t>Non Comercial Long</t>
  </si>
  <si>
    <t>Non Comercial Short</t>
  </si>
  <si>
    <t>Non Comercial Spreading</t>
  </si>
  <si>
    <t>Commercial Long</t>
  </si>
  <si>
    <t>Commercial Short</t>
  </si>
  <si>
    <t>Total Long</t>
  </si>
  <si>
    <t>Total Short</t>
  </si>
  <si>
    <t>Open Interest</t>
  </si>
  <si>
    <t>Non Reportable Long</t>
  </si>
  <si>
    <t>Non Reportable Short</t>
  </si>
  <si>
    <t>Managed Money Long</t>
  </si>
  <si>
    <t>Managed Money Short</t>
  </si>
  <si>
    <t>Producer Long</t>
  </si>
  <si>
    <t>Producer Short</t>
  </si>
  <si>
    <t>Swap Dealers Long</t>
  </si>
  <si>
    <t>Swap Dealers Short</t>
  </si>
  <si>
    <t>Swap Dealers Spreading</t>
  </si>
  <si>
    <t>Managed Money Spread</t>
  </si>
  <si>
    <t>Other Reportables Long</t>
  </si>
  <si>
    <t>Other Reportables Short</t>
  </si>
  <si>
    <t>Other Reportables Spreading</t>
  </si>
  <si>
    <t>Non Commercial Net Position</t>
  </si>
  <si>
    <t>Supplemental Index Traders Long</t>
  </si>
  <si>
    <t>Supplemental Index Traders Short</t>
  </si>
  <si>
    <t>Non Comercial Long F+O</t>
  </si>
  <si>
    <t>Non Comercial Short F+O</t>
  </si>
  <si>
    <t>Non Comercial Spreading F+O</t>
  </si>
  <si>
    <t>Commercial Long F+O</t>
  </si>
  <si>
    <t>Commercial Short F+O</t>
  </si>
  <si>
    <t>Total Long F+O</t>
  </si>
  <si>
    <t>Total ShortF+O</t>
  </si>
  <si>
    <t>Open Interest F+O</t>
  </si>
  <si>
    <t>Non Reportable Long F+O</t>
  </si>
  <si>
    <t>Non Reportable Short F+O</t>
  </si>
  <si>
    <t>Managed Money Long F+ O</t>
  </si>
  <si>
    <t>Managed Money Short F+ O</t>
  </si>
  <si>
    <t>Managed Money Spreading F+O</t>
  </si>
  <si>
    <t>Producer Long F+O</t>
  </si>
  <si>
    <t>Producer Short F+O</t>
  </si>
  <si>
    <t>Swap Dealers Long F+O</t>
  </si>
  <si>
    <t>Swap Dealers Short F+O</t>
  </si>
  <si>
    <t>Swap Dealers Spreading F+O</t>
  </si>
  <si>
    <t>Other Reportables Long F+O</t>
  </si>
  <si>
    <t>Other Reportables Short F+O</t>
  </si>
  <si>
    <t>Other Reportables Spreading F+O</t>
  </si>
  <si>
    <t>Index Traders Open Interest</t>
  </si>
  <si>
    <t>Supplemental Non Commercial Long F+O</t>
  </si>
  <si>
    <t>Supplemental Non Commercial Short F+O</t>
  </si>
  <si>
    <t>Supplemental Non Commercial Spreading F+O</t>
  </si>
  <si>
    <t>Supplemental Non Commercial Net Position F+O</t>
  </si>
  <si>
    <t>Supplemental Commercial Long F+O</t>
  </si>
  <si>
    <t>Supplemental Commercial Short F+O</t>
  </si>
  <si>
    <t>Supplemental Commercial Net Position F+O</t>
  </si>
  <si>
    <t>Supplemental Non Reportable Long F+O</t>
  </si>
  <si>
    <t>Supplemental Non Reportable Short F+O</t>
  </si>
  <si>
    <t>Supplemental Non Reportable Net Position F+O</t>
  </si>
  <si>
    <t>TAG2</t>
  </si>
  <si>
    <t>GRAIN - CBOT WHEAT</t>
  </si>
  <si>
    <t>W 1 Comdty</t>
  </si>
  <si>
    <t>CBT1WNCL Index</t>
  </si>
  <si>
    <t>CBT1WNCS Index</t>
  </si>
  <si>
    <t>CBT1WNCP Index</t>
  </si>
  <si>
    <t>CBT1WCOL Index</t>
  </si>
  <si>
    <t>CBT1WCOS Index</t>
  </si>
  <si>
    <t>CBT1WTLL Index</t>
  </si>
  <si>
    <t>CBT1WTLS Index</t>
  </si>
  <si>
    <t>CBT1WOIN Index</t>
  </si>
  <si>
    <t>CBT1WNRL Index</t>
  </si>
  <si>
    <t>CBT1WNRS Index</t>
  </si>
  <si>
    <t>CFFDAMML Index</t>
  </si>
  <si>
    <t>CFFDAMMS Index</t>
  </si>
  <si>
    <t>CFFDAPML Index</t>
  </si>
  <si>
    <t>CFFDAPMS Index</t>
  </si>
  <si>
    <t>CFFDASWL Index</t>
  </si>
  <si>
    <t>CFFDASWS Index</t>
  </si>
  <si>
    <t>CFFDASWD Index</t>
  </si>
  <si>
    <t>CFFDAMMD Index</t>
  </si>
  <si>
    <t>CFFDAORL Index</t>
  </si>
  <si>
    <t>CFFDAORS Index</t>
  </si>
  <si>
    <t>CFFDAORD Index</t>
  </si>
  <si>
    <t>CBT1WNCN Index</t>
  </si>
  <si>
    <t>CBTOTCIL Index</t>
  </si>
  <si>
    <t>CBTOTCIS Index</t>
  </si>
  <si>
    <t>CBTOWNCL Index</t>
  </si>
  <si>
    <t>CBTOWNCS Index</t>
  </si>
  <si>
    <t>CBTOWNCP Index</t>
  </si>
  <si>
    <t>CBTOWCOL Index</t>
  </si>
  <si>
    <t>CBTOWCOS Index</t>
  </si>
  <si>
    <t>CBTOWTLL Index</t>
  </si>
  <si>
    <t>CBTOWTLS Index</t>
  </si>
  <si>
    <t>CBTOWOIN Index</t>
  </si>
  <si>
    <t>CBTOWNRL Index</t>
  </si>
  <si>
    <t>CBTOWNRS Index</t>
  </si>
  <si>
    <t>CFCDAMML Index</t>
  </si>
  <si>
    <t>CFCDAMMS Index</t>
  </si>
  <si>
    <t>CFCDAMMD Index</t>
  </si>
  <si>
    <t>CFCDAPML Index</t>
  </si>
  <si>
    <t>CFCDAPMS Index</t>
  </si>
  <si>
    <t>CFCDASWL Index</t>
  </si>
  <si>
    <t>CFCDASWS Index</t>
  </si>
  <si>
    <t>CFCDASWD Index</t>
  </si>
  <si>
    <t>CFCDAORL Index</t>
  </si>
  <si>
    <t>CFCDAORS Index</t>
  </si>
  <si>
    <t>CFCDAORD Index</t>
  </si>
  <si>
    <t>CBTOWNCN Index</t>
  </si>
  <si>
    <t>CBTOWCON Index</t>
  </si>
  <si>
    <t>CBTOWNRN Index</t>
  </si>
  <si>
    <t>GRAIN - KCB WHEAT</t>
  </si>
  <si>
    <t>KW1 Comdty</t>
  </si>
  <si>
    <t>KCBTWNCL Index</t>
  </si>
  <si>
    <t>KCBTWNCS Index</t>
  </si>
  <si>
    <t>KCBTWNCP Index</t>
  </si>
  <si>
    <t>KCBTWCOL Index</t>
  </si>
  <si>
    <t>KCBTWCOS Index</t>
  </si>
  <si>
    <t>KCBTWTLL Index</t>
  </si>
  <si>
    <t>KCBTWTLS Index</t>
  </si>
  <si>
    <t>KCBTWOIN Index</t>
  </si>
  <si>
    <t>KCBTWNRL Index</t>
  </si>
  <si>
    <t>KCBTWNRS Index</t>
  </si>
  <si>
    <t>CFFDBMML Index</t>
  </si>
  <si>
    <t>CFFDBMMS Index</t>
  </si>
  <si>
    <t>CFFDBPML Index</t>
  </si>
  <si>
    <t>CFFDBPMS Index</t>
  </si>
  <si>
    <t>CFFDBSWL Index</t>
  </si>
  <si>
    <t>CFFDBSWS Index</t>
  </si>
  <si>
    <t>CFFDBSWD Index</t>
  </si>
  <si>
    <t>CFFDBORL Index</t>
  </si>
  <si>
    <t>CFFDBORS Index</t>
  </si>
  <si>
    <t>CFFDBORD Index</t>
  </si>
  <si>
    <t>KCBTWNCN Index</t>
  </si>
  <si>
    <t>KCBOTCIL Index</t>
  </si>
  <si>
    <t>KCBOTCIS Index</t>
  </si>
  <si>
    <t>KCBOWNCL Index</t>
  </si>
  <si>
    <t>KCBOWNCS Index</t>
  </si>
  <si>
    <t>KCBOWNCP Index</t>
  </si>
  <si>
    <t>KCBOWCOL Index</t>
  </si>
  <si>
    <t>KCBOWCOS Index</t>
  </si>
  <si>
    <t>KCBOWTLL Index</t>
  </si>
  <si>
    <t>KCBOWTLS Index</t>
  </si>
  <si>
    <t>KCBOWOIN Index</t>
  </si>
  <si>
    <t>KCBOWNRL Index</t>
  </si>
  <si>
    <t>KCBOWNRS Index</t>
  </si>
  <si>
    <t>CFCDBMML Index</t>
  </si>
  <si>
    <t>CFCDBMMS Index</t>
  </si>
  <si>
    <t>CFCDBMMD Index</t>
  </si>
  <si>
    <t>CFCDBPML Index</t>
  </si>
  <si>
    <t>CFCDBPMS Index</t>
  </si>
  <si>
    <t>CFCDBSWL Index</t>
  </si>
  <si>
    <t>CFCDBSWS Index</t>
  </si>
  <si>
    <t>CFCDBSWD Index</t>
  </si>
  <si>
    <t>CFCDBORL Index</t>
  </si>
  <si>
    <t>CFCDBORS Index</t>
  </si>
  <si>
    <t>CFCDBORD Index</t>
  </si>
  <si>
    <t>KCBOWNCN Index</t>
  </si>
  <si>
    <t>KCBOWCON Index</t>
  </si>
  <si>
    <t>KCBOWNRN Index</t>
  </si>
  <si>
    <t>GRAIN - MGE WHEAT</t>
  </si>
  <si>
    <t>MW1 Comdty</t>
  </si>
  <si>
    <t>MGE1WNCL Index</t>
  </si>
  <si>
    <t>MGE1WNCS Index</t>
  </si>
  <si>
    <t>MGE1WNCP Index</t>
  </si>
  <si>
    <t>MGE1WCOL Index</t>
  </si>
  <si>
    <t>MGE1WCOS Index</t>
  </si>
  <si>
    <t>MGE1WTLL Index</t>
  </si>
  <si>
    <t>MGE1WTLS Index</t>
  </si>
  <si>
    <t>MGE1WOIN Index</t>
  </si>
  <si>
    <t>MGE1WNRL Index</t>
  </si>
  <si>
    <t>MGE1WNRS Index</t>
  </si>
  <si>
    <t>DFU1AMML Index</t>
  </si>
  <si>
    <t>DFU1AMMS Index</t>
  </si>
  <si>
    <t>DFU1APML Index</t>
  </si>
  <si>
    <t>DFU1APMS Index</t>
  </si>
  <si>
    <t>DFU1ASWL Index</t>
  </si>
  <si>
    <t>DFU1ASWS Index</t>
  </si>
  <si>
    <t>DFU1ASWD Index</t>
  </si>
  <si>
    <t>DFU1AMMD Index</t>
  </si>
  <si>
    <t>DFU1AORL Index</t>
  </si>
  <si>
    <t>DFU1AORS Index</t>
  </si>
  <si>
    <t>DFU1AORD Index</t>
  </si>
  <si>
    <t>MGE1WNCN Index</t>
  </si>
  <si>
    <t>MGEOWNCL Index</t>
  </si>
  <si>
    <t>MGEOWNCS Index</t>
  </si>
  <si>
    <t>MGEOWNCP Index</t>
  </si>
  <si>
    <t>MGEOWCOL Index</t>
  </si>
  <si>
    <t>MGEOWCOS Index</t>
  </si>
  <si>
    <t>MGEOWTLL Index</t>
  </si>
  <si>
    <t>MGEOWTLS Index</t>
  </si>
  <si>
    <t>MGEOWOIN Index</t>
  </si>
  <si>
    <t>MGEOWNRL Index</t>
  </si>
  <si>
    <t>MGEOWNRS Index</t>
  </si>
  <si>
    <t>DCO1AMML Index</t>
  </si>
  <si>
    <t>DCO1AMMS Index</t>
  </si>
  <si>
    <t>DCO1AMMD Index</t>
  </si>
  <si>
    <t>DCO1APML Index</t>
  </si>
  <si>
    <t>DCO1APMS Index</t>
  </si>
  <si>
    <t>DCO1ASWL Index</t>
  </si>
  <si>
    <t>DCO1ASWS Index</t>
  </si>
  <si>
    <t>DCO1ASWD Index</t>
  </si>
  <si>
    <t>DCO1AORL Index</t>
  </si>
  <si>
    <t>DCO1AORS Index</t>
  </si>
  <si>
    <t>DCO1AORD Index</t>
  </si>
  <si>
    <t>GRAIN - CBOT SOYBEAN</t>
  </si>
  <si>
    <t>S 1 Comdty</t>
  </si>
  <si>
    <t>CBT1SNCL Index</t>
  </si>
  <si>
    <t>CBT1SNCS Index</t>
  </si>
  <si>
    <t>CBT1SNCP Index</t>
  </si>
  <si>
    <t>CBT1SCOL Index</t>
  </si>
  <si>
    <t>CBT1SCOS Index</t>
  </si>
  <si>
    <t>CBT1STLL Index</t>
  </si>
  <si>
    <t>CBT1STLS Index</t>
  </si>
  <si>
    <t>CBT1SOIN Index</t>
  </si>
  <si>
    <t>CBT1SNRL Index</t>
  </si>
  <si>
    <t>CBT1SNRS Index</t>
  </si>
  <si>
    <t>CFFDGMML Index</t>
  </si>
  <si>
    <t>CFFDGMMS Index</t>
  </si>
  <si>
    <t>CFFDGPML Index</t>
  </si>
  <si>
    <t>CFFDGPMS Index</t>
  </si>
  <si>
    <t>CFFDGSWL Index</t>
  </si>
  <si>
    <t>CFFDGSWS Index</t>
  </si>
  <si>
    <t>CFFDGSWD Index</t>
  </si>
  <si>
    <t>CFFDGMMD Index</t>
  </si>
  <si>
    <t>CFFDGORL Index</t>
  </si>
  <si>
    <t>CFFDGORS Index</t>
  </si>
  <si>
    <t>CFFDGORD Index</t>
  </si>
  <si>
    <t>CBT1SNCN Index</t>
  </si>
  <si>
    <t>CBTOSCIL Index</t>
  </si>
  <si>
    <t>CBTOSCIS Index</t>
  </si>
  <si>
    <t>CBTOSNCL Index</t>
  </si>
  <si>
    <t>CBTOSNCS Index</t>
  </si>
  <si>
    <t>CBTOSNCP Index</t>
  </si>
  <si>
    <t>CBTOSCOL Index</t>
  </si>
  <si>
    <t>CBTOSCOS Index</t>
  </si>
  <si>
    <t>CBTOSTLL Index</t>
  </si>
  <si>
    <t>CBTOSTLS Index</t>
  </si>
  <si>
    <t>CBTOSOIN Index</t>
  </si>
  <si>
    <t>CBTOSNRL Index</t>
  </si>
  <si>
    <t>CBTOSNRS Index</t>
  </si>
  <si>
    <t>CFCDGMML Index</t>
  </si>
  <si>
    <t>CFCDGMMS Index</t>
  </si>
  <si>
    <t>CFCDGMMD Index</t>
  </si>
  <si>
    <t>CFCDGPML Index</t>
  </si>
  <si>
    <t>CFCDGPMS Index</t>
  </si>
  <si>
    <t>CFCDGSWL Index</t>
  </si>
  <si>
    <t>CFCDGSWS Index</t>
  </si>
  <si>
    <t>CFCDGSWD Index</t>
  </si>
  <si>
    <t>CFCDGORL Index</t>
  </si>
  <si>
    <t>CFCDGORS Index</t>
  </si>
  <si>
    <t>CFCDGORD Index</t>
  </si>
  <si>
    <t>CBTOSNCN Index</t>
  </si>
  <si>
    <t>CBTOSCON Index</t>
  </si>
  <si>
    <t>CBTOSNRN Index</t>
  </si>
  <si>
    <t>GRAIN - CBOT CORN</t>
  </si>
  <si>
    <t>C 1 Comdty</t>
  </si>
  <si>
    <t>CBT1CNCL Index</t>
  </si>
  <si>
    <t>CBT1CNCS Index</t>
  </si>
  <si>
    <t>CBT1CNCP Index</t>
  </si>
  <si>
    <t>CBT1CCOL Index</t>
  </si>
  <si>
    <t>CBT1CCOS Index</t>
  </si>
  <si>
    <t>CBT1CTLL Index</t>
  </si>
  <si>
    <t>CBT1CTLS Index</t>
  </si>
  <si>
    <t>CBT1COIN Index</t>
  </si>
  <si>
    <t>CBT1CNRL Index</t>
  </si>
  <si>
    <t>CBT1CNRS Index</t>
  </si>
  <si>
    <t>CFFDCMML Index</t>
  </si>
  <si>
    <t>CFFDCMMS Index</t>
  </si>
  <si>
    <t>CFFDCPML Index</t>
  </si>
  <si>
    <t>CFFDCPMS Index</t>
  </si>
  <si>
    <t>CFFDCSWL Index</t>
  </si>
  <si>
    <t>CFFDCSWS Index</t>
  </si>
  <si>
    <t>CFFDCSWD Index</t>
  </si>
  <si>
    <t>CFFDCMMD Index</t>
  </si>
  <si>
    <t>CFFDCORL Index</t>
  </si>
  <si>
    <t>CFFDCORS Index</t>
  </si>
  <si>
    <t>CFFDCORD Index</t>
  </si>
  <si>
    <t>CBT1CNCN Index</t>
  </si>
  <si>
    <t>CBTOCCIL Index</t>
  </si>
  <si>
    <t>CBTOCCIS Index</t>
  </si>
  <si>
    <t>CBTOCNCL Index</t>
  </si>
  <si>
    <t>CBTOCNCS Index</t>
  </si>
  <si>
    <t>CBTOCNCP Index</t>
  </si>
  <si>
    <t>CBTOCCOL Index</t>
  </si>
  <si>
    <t>CBTOCCOS Index</t>
  </si>
  <si>
    <t>CBTOCTLL Index</t>
  </si>
  <si>
    <t>CBTOCTLS Index</t>
  </si>
  <si>
    <t>CBTOCOIN Index</t>
  </si>
  <si>
    <t>CBTOCNRL Index</t>
  </si>
  <si>
    <t>CBTOCNRS Index</t>
  </si>
  <si>
    <t>CFCDCMML Index</t>
  </si>
  <si>
    <t>CFCDCMMS Index</t>
  </si>
  <si>
    <t>CFCDCMMD Index</t>
  </si>
  <si>
    <t>CFCDCPML Index</t>
  </si>
  <si>
    <t>CFCDCPMS Index</t>
  </si>
  <si>
    <t>CFCDCSWL Index</t>
  </si>
  <si>
    <t>CFCDCSWS Index</t>
  </si>
  <si>
    <t>CFCDCSWD Index</t>
  </si>
  <si>
    <t>CFCDCORL Index</t>
  </si>
  <si>
    <t>CFCDCORS Index</t>
  </si>
  <si>
    <t>CFCDCORD Index</t>
  </si>
  <si>
    <t>CBTOCNCN Index</t>
  </si>
  <si>
    <t>CBTOCCON Index</t>
  </si>
  <si>
    <t>CBTOCNRN Index</t>
  </si>
  <si>
    <t>GRAIN - CBOT SOYBEAN OIL</t>
  </si>
  <si>
    <t>BO1 Comdty</t>
  </si>
  <si>
    <t>CBT2SNCL Index</t>
  </si>
  <si>
    <t>CBT2SNCS Index</t>
  </si>
  <si>
    <t>CBT2SNCP Index</t>
  </si>
  <si>
    <t>CBT2SCOL Index</t>
  </si>
  <si>
    <t>CBT2SCOS Index</t>
  </si>
  <si>
    <t>CBT2STLL Index</t>
  </si>
  <si>
    <t>CBT2STLS Index</t>
  </si>
  <si>
    <t>CBT2SOIN Index</t>
  </si>
  <si>
    <t>CBT2SNRL Index</t>
  </si>
  <si>
    <t>CBT2SNRS Index</t>
  </si>
  <si>
    <t>CFFDHMML Index</t>
  </si>
  <si>
    <t>CFFDHMMS Index</t>
  </si>
  <si>
    <t>CFFDHPML Index</t>
  </si>
  <si>
    <t>CFFDHPMS Index</t>
  </si>
  <si>
    <t>CFFDHSWL Index</t>
  </si>
  <si>
    <t>CFFDHSWS Index</t>
  </si>
  <si>
    <t>CFFDHSWD Index</t>
  </si>
  <si>
    <t>CFFDHMMD Index</t>
  </si>
  <si>
    <t>CFFDHORL Index</t>
  </si>
  <si>
    <t>CFFDHORS Index</t>
  </si>
  <si>
    <t>CFFDHORD Index</t>
  </si>
  <si>
    <t>CBT2SNCN Index</t>
  </si>
  <si>
    <t>CBTPOCIL Index</t>
  </si>
  <si>
    <t>CBTPOCIS Index</t>
  </si>
  <si>
    <t>CBTPSNCL Index</t>
  </si>
  <si>
    <t>CBTPSNCS Index</t>
  </si>
  <si>
    <t>CBTPSNCP Index</t>
  </si>
  <si>
    <t>CBTPSCOL Index</t>
  </si>
  <si>
    <t>CBTPSCOS Index</t>
  </si>
  <si>
    <t>CBTPSTLL Index</t>
  </si>
  <si>
    <t>CBTPSTLS Index</t>
  </si>
  <si>
    <t>CBTPSOIN Index</t>
  </si>
  <si>
    <t>CBTPSNRL Index</t>
  </si>
  <si>
    <t>CBTPSNRS Index</t>
  </si>
  <si>
    <t>CFCDHMML Index</t>
  </si>
  <si>
    <t>CFCDHMMS Index</t>
  </si>
  <si>
    <t>CFCDHMMD Index</t>
  </si>
  <si>
    <t>CFCDHPML Index</t>
  </si>
  <si>
    <t>CFCDHPMS Index</t>
  </si>
  <si>
    <t>CFCDHSWL Index</t>
  </si>
  <si>
    <t>CFCDHSWS Index</t>
  </si>
  <si>
    <t>CFCDHSWD Index</t>
  </si>
  <si>
    <t>CFCDHORL Index</t>
  </si>
  <si>
    <t>CFCDHORS Index</t>
  </si>
  <si>
    <t>CFCDHORD Index</t>
  </si>
  <si>
    <t>CBT2SCON Index</t>
  </si>
  <si>
    <t>CBT2SNRN Index</t>
  </si>
  <si>
    <t>GRAIN - CBOT SOYBEAN MEAL</t>
  </si>
  <si>
    <t>SM1 Comdty</t>
  </si>
  <si>
    <t>CBT3SNCL Index</t>
  </si>
  <si>
    <t>CBT3SNCS Index</t>
  </si>
  <si>
    <t>CBT3SNCP Index</t>
  </si>
  <si>
    <t>CBT3SCOL Index</t>
  </si>
  <si>
    <t>CBT3SCOS Index</t>
  </si>
  <si>
    <t>CBT3STLL Index</t>
  </si>
  <si>
    <t>CBT3STLS Index</t>
  </si>
  <si>
    <t>CBT3SOIN index</t>
  </si>
  <si>
    <t>CBT3SNRL Index</t>
  </si>
  <si>
    <t>CBT3SNRS Index</t>
  </si>
  <si>
    <t>CFFDIMML Index</t>
  </si>
  <si>
    <t>CFFDIMMS Index</t>
  </si>
  <si>
    <t>CFFDIPML Index</t>
  </si>
  <si>
    <t>CFFDIPMS Index</t>
  </si>
  <si>
    <t>CFFDISWL Index</t>
  </si>
  <si>
    <t>CFFDISWS Index</t>
  </si>
  <si>
    <t>CFFDISWD Index</t>
  </si>
  <si>
    <t>CFFDIMMD Index</t>
  </si>
  <si>
    <t>CFFDIORL Index</t>
  </si>
  <si>
    <t>CFFDIORS Index</t>
  </si>
  <si>
    <t>CFFDIORD Index</t>
  </si>
  <si>
    <t>CBT3SNCN Index</t>
  </si>
  <si>
    <t>CBTTSNCL Index</t>
  </si>
  <si>
    <t>CBTTSNCS Index</t>
  </si>
  <si>
    <t>CBTTSNCP Index</t>
  </si>
  <si>
    <t>CBTTSCOL Index</t>
  </si>
  <si>
    <t>CBTTSCOS Index</t>
  </si>
  <si>
    <t>CBTTSTLL Index</t>
  </si>
  <si>
    <t>CBTTSTLS Index</t>
  </si>
  <si>
    <t>CBTTSOIN Index</t>
  </si>
  <si>
    <t>CBTTSNRL Index</t>
  </si>
  <si>
    <t>CBTTSNRS Index</t>
  </si>
  <si>
    <t>CFCDIMML Index</t>
  </si>
  <si>
    <t>CFCDIMMS Index</t>
  </si>
  <si>
    <t>CFCDIMMD Index</t>
  </si>
  <si>
    <t>CFCDIPML Index</t>
  </si>
  <si>
    <t>CFCDIPMS Index</t>
  </si>
  <si>
    <t>CFCDISWL Index</t>
  </si>
  <si>
    <t>CFCDISWS Index</t>
  </si>
  <si>
    <t>CFCDISWD Index</t>
  </si>
  <si>
    <t>CFCDIORL Index</t>
  </si>
  <si>
    <t>CFCDIORS Index</t>
  </si>
  <si>
    <t>CFCDIORD Index</t>
  </si>
  <si>
    <t>LIVESTOCK - CME FEEDER CATTLE</t>
  </si>
  <si>
    <t>FC1 Comdty</t>
  </si>
  <si>
    <t>CME1FNCL Index</t>
  </si>
  <si>
    <t>CME1FNCS Index</t>
  </si>
  <si>
    <t>CME1FNCP Index</t>
  </si>
  <si>
    <t>CME1FCOL Index</t>
  </si>
  <si>
    <t>CME1FCOS Index</t>
  </si>
  <si>
    <t>CME1FTLL Index</t>
  </si>
  <si>
    <t>CME1FTLS Index</t>
  </si>
  <si>
    <t>CME1FOIN Index</t>
  </si>
  <si>
    <t>CME1FNRL Index</t>
  </si>
  <si>
    <t>CME1FNRS Index</t>
  </si>
  <si>
    <t>CFFDFMML Index</t>
  </si>
  <si>
    <t>CFFDFMMS Index</t>
  </si>
  <si>
    <t>CFFDFPML Index</t>
  </si>
  <si>
    <t>CFFDFPMS Index</t>
  </si>
  <si>
    <t>CFFDFSWL Index</t>
  </si>
  <si>
    <t>CFFDFSWS Index</t>
  </si>
  <si>
    <t>CFFDFSWD Index</t>
  </si>
  <si>
    <t>CFFDFMMD Index</t>
  </si>
  <si>
    <t>CFFDFORL Index</t>
  </si>
  <si>
    <t>CFFDFORS Index</t>
  </si>
  <si>
    <t>CFFDFORD Index</t>
  </si>
  <si>
    <t>CME1FNCN Index</t>
  </si>
  <si>
    <t>CMEOFCIL Index</t>
  </si>
  <si>
    <t>CMEOFCIS Index</t>
  </si>
  <si>
    <t>CMEOFNCL Index</t>
  </si>
  <si>
    <t>CMEOFNCS Index</t>
  </si>
  <si>
    <t>CMEOFNCP Index</t>
  </si>
  <si>
    <t>CMEOFCOL Index</t>
  </si>
  <si>
    <t>CMEOFCOS Index</t>
  </si>
  <si>
    <t>CMEOFTLL Index</t>
  </si>
  <si>
    <t>CMEOFTLS Index</t>
  </si>
  <si>
    <t>CMEOFOIN Index</t>
  </si>
  <si>
    <t>CMEOFNRL Index</t>
  </si>
  <si>
    <t>CMEOFNRS Index</t>
  </si>
  <si>
    <t>CFCDFMML Index</t>
  </si>
  <si>
    <t>CFCDFMMS Index</t>
  </si>
  <si>
    <t>CFCDFMMD Index</t>
  </si>
  <si>
    <t>CFCDFPML Index</t>
  </si>
  <si>
    <t>CFCDFPMS Index</t>
  </si>
  <si>
    <t>CFCDFSWL Index</t>
  </si>
  <si>
    <t>CFCDFSWS Index</t>
  </si>
  <si>
    <t>CFCDFSWD Index</t>
  </si>
  <si>
    <t>CFCDFORL Index</t>
  </si>
  <si>
    <t>CFCDFORS Index</t>
  </si>
  <si>
    <t>CFCDFORD Index</t>
  </si>
  <si>
    <t>CMEOFNCN Index</t>
  </si>
  <si>
    <t>CMEOFCON Index</t>
  </si>
  <si>
    <t>CMEOFNRN Index</t>
  </si>
  <si>
    <t>LIVESTOCK-CME LEAN HOGS</t>
  </si>
  <si>
    <t>LH1 Comdty</t>
  </si>
  <si>
    <t>CME3HNCL Index</t>
  </si>
  <si>
    <t>CME3HNCS Index</t>
  </si>
  <si>
    <t>CME3HNCP Index</t>
  </si>
  <si>
    <t>CME3HCOL Index</t>
  </si>
  <si>
    <t>CME3HCOS Index</t>
  </si>
  <si>
    <t>CME3HTLL Index</t>
  </si>
  <si>
    <t>CME3HTLS Index</t>
  </si>
  <si>
    <t>CME3HOIN Index</t>
  </si>
  <si>
    <t>CME3HNRL Index</t>
  </si>
  <si>
    <t>CME3HNRS Index</t>
  </si>
  <si>
    <t>CFFDDMML Index</t>
  </si>
  <si>
    <t>CFFDDMMS Index</t>
  </si>
  <si>
    <t>CFFDDPML Index</t>
  </si>
  <si>
    <t>CFFDDPMS Index</t>
  </si>
  <si>
    <t>CFFDDSWL Index</t>
  </si>
  <si>
    <t>CFFDDSWS Index</t>
  </si>
  <si>
    <t>CFFDDSWD Index</t>
  </si>
  <si>
    <t>CFFDDMMD Index</t>
  </si>
  <si>
    <t>CFFDDORL Index</t>
  </si>
  <si>
    <t>CFFDDORS Index</t>
  </si>
  <si>
    <t>CFFDDORD Index</t>
  </si>
  <si>
    <t>CME3HNCN Index</t>
  </si>
  <si>
    <t>CMEOHCIL Index</t>
  </si>
  <si>
    <t>CMEOHCIS Index</t>
  </si>
  <si>
    <t>CMEOHNCL Index</t>
  </si>
  <si>
    <t>CMEOHNCS Index</t>
  </si>
  <si>
    <t>CMEOHNCP Index</t>
  </si>
  <si>
    <t>CMEOHCOL Index</t>
  </si>
  <si>
    <t>CMEOHCOS Index</t>
  </si>
  <si>
    <t>CMEOHTLL Index</t>
  </si>
  <si>
    <t>CMEOHTLS Index</t>
  </si>
  <si>
    <t>CMEOHOIN Index</t>
  </si>
  <si>
    <t>CMEOHNRL Index</t>
  </si>
  <si>
    <t>CMEOHNRS Index</t>
  </si>
  <si>
    <t>CFCDDMML Index</t>
  </si>
  <si>
    <t>CFCDDMMS Index</t>
  </si>
  <si>
    <t>CFCDDMMD Index</t>
  </si>
  <si>
    <t>CFCDDPML Index</t>
  </si>
  <si>
    <t>CFCDDPMS Index</t>
  </si>
  <si>
    <t>CFCDDSWL Index</t>
  </si>
  <si>
    <t>CFCDDSWS Index</t>
  </si>
  <si>
    <t>CFCDDSWD Index</t>
  </si>
  <si>
    <t>CFCDDORL Index</t>
  </si>
  <si>
    <t>CFCDDORS Index</t>
  </si>
  <si>
    <t>CFCDDORD Index</t>
  </si>
  <si>
    <t>CMEOHNCN Index</t>
  </si>
  <si>
    <t>CMEOHCON Index</t>
  </si>
  <si>
    <t>CMEOHNRN Index</t>
  </si>
  <si>
    <t>LIVESTOCK - CME LIVE CATTLE</t>
  </si>
  <si>
    <t>LC1 Comdty</t>
  </si>
  <si>
    <t>CME1LNCL Index</t>
  </si>
  <si>
    <t>CME1LNCS Index</t>
  </si>
  <si>
    <t>CME1LNCP Index</t>
  </si>
  <si>
    <t>CME1LCOL Index</t>
  </si>
  <si>
    <t>CME1LCOS Index</t>
  </si>
  <si>
    <t>CME1LTLL Index</t>
  </si>
  <si>
    <t>CME1LTLS Index</t>
  </si>
  <si>
    <t>CME1LOIN Index</t>
  </si>
  <si>
    <t>CME1LNRL Index</t>
  </si>
  <si>
    <t>CME1LNRS Index</t>
  </si>
  <si>
    <t>CFFDEMML Index</t>
  </si>
  <si>
    <t>CFFDEMMS Index</t>
  </si>
  <si>
    <t>CFFDEPML Index</t>
  </si>
  <si>
    <t>CFFDEPMS Index</t>
  </si>
  <si>
    <t>CFFDESWL Index</t>
  </si>
  <si>
    <t>CFFDESWS Index</t>
  </si>
  <si>
    <t>CFFDESWD Index</t>
  </si>
  <si>
    <t>CFFDEMMD Index</t>
  </si>
  <si>
    <t>CFFDEORL Index</t>
  </si>
  <si>
    <t>CFFDEORS Index</t>
  </si>
  <si>
    <t>CFFDEORD Index</t>
  </si>
  <si>
    <t>CME1LNCN Index</t>
  </si>
  <si>
    <t>CMEOLCIL Index</t>
  </si>
  <si>
    <t>CMEOLCIS Index</t>
  </si>
  <si>
    <t>CMEOLNCL Index</t>
  </si>
  <si>
    <t>CMEOLNCS Index</t>
  </si>
  <si>
    <t>CMEOLNCP Index</t>
  </si>
  <si>
    <t>CMEOLCOL Index</t>
  </si>
  <si>
    <t>CMEOLCOS Index</t>
  </si>
  <si>
    <t>CMEOLTLL Index</t>
  </si>
  <si>
    <t>CMEOLTLS Index</t>
  </si>
  <si>
    <t>CMEOLOIN Index</t>
  </si>
  <si>
    <t>CMEOLNRL Index</t>
  </si>
  <si>
    <t>CMEOLNRS Index</t>
  </si>
  <si>
    <t>CFCDEMML Index</t>
  </si>
  <si>
    <t>CFCDEMMS Index</t>
  </si>
  <si>
    <t>CFCDEMMD Index</t>
  </si>
  <si>
    <t>CFCDEPML Index</t>
  </si>
  <si>
    <t>CFCDEPMS Index</t>
  </si>
  <si>
    <t>CFCDESWL Index</t>
  </si>
  <si>
    <t>CFCDESWS Index</t>
  </si>
  <si>
    <t>CFCDESWD Index</t>
  </si>
  <si>
    <t>CFCDEORL Index</t>
  </si>
  <si>
    <t>CFCDEORS Index</t>
  </si>
  <si>
    <t>CFCDEORD Index</t>
  </si>
  <si>
    <t>CMEOLNCN Index</t>
  </si>
  <si>
    <t>CMEOLCON Index</t>
  </si>
  <si>
    <t>CMEOLNRN Index</t>
  </si>
  <si>
    <t>FOODSTUFF -  CME MILK (class III)</t>
  </si>
  <si>
    <t>DA1 comdty</t>
  </si>
  <si>
    <t>USD/cwt</t>
  </si>
  <si>
    <t>CME4MNCL Index</t>
  </si>
  <si>
    <t>CME4MNCS Index</t>
  </si>
  <si>
    <t>CME4MNCP Index</t>
  </si>
  <si>
    <t>CME4MCOL Index</t>
  </si>
  <si>
    <t>CME4MCOS Index</t>
  </si>
  <si>
    <t>CME4MTLL Index</t>
  </si>
  <si>
    <t>CME4MTLS Index</t>
  </si>
  <si>
    <t>CME4MOIN Index</t>
  </si>
  <si>
    <t>CME4MNRL Index</t>
  </si>
  <si>
    <t>CME4MNRS Index</t>
  </si>
  <si>
    <t>DFU2JMML Index</t>
  </si>
  <si>
    <t>DFU2JMMS Index</t>
  </si>
  <si>
    <t>DFU2JPML Index</t>
  </si>
  <si>
    <t>DFU2JPMS Index</t>
  </si>
  <si>
    <t>DFU2JSWL Index</t>
  </si>
  <si>
    <t>DFU2JSWS Index</t>
  </si>
  <si>
    <t>DFU2JSWD Index</t>
  </si>
  <si>
    <t>DFU2JMMD Index</t>
  </si>
  <si>
    <t>DFU2JORL Index</t>
  </si>
  <si>
    <t>DFU2JORS Index</t>
  </si>
  <si>
    <t>DFU2JORD Index</t>
  </si>
  <si>
    <t>CME4MNCN Index</t>
  </si>
  <si>
    <t>CMEOMNCL Index</t>
  </si>
  <si>
    <t>CMEOMNCS Index</t>
  </si>
  <si>
    <t>CMEOMNCP Index</t>
  </si>
  <si>
    <t>CMEOMCOL Index</t>
  </si>
  <si>
    <t>CMEOMCOS Index</t>
  </si>
  <si>
    <t>CMEOMTLL Index</t>
  </si>
  <si>
    <t>CMEOMTLS Index</t>
  </si>
  <si>
    <t>CMEOMOIN Index</t>
  </si>
  <si>
    <t>CMEOMNRL Index</t>
  </si>
  <si>
    <t>CMEOMNRS Index</t>
  </si>
  <si>
    <t>DCO2JMML Index</t>
  </si>
  <si>
    <t>DCO2JMMS Index</t>
  </si>
  <si>
    <t>DCO2JMMD Index</t>
  </si>
  <si>
    <t>DCO2JPML Index</t>
  </si>
  <si>
    <t>DCO2JPMS Index</t>
  </si>
  <si>
    <t>DCO2JSWL Index</t>
  </si>
  <si>
    <t>DCO2JSWS Index</t>
  </si>
  <si>
    <t>DCO2JSWD Index</t>
  </si>
  <si>
    <t>DCO2JORL Index</t>
  </si>
  <si>
    <t>DCO2JORS Index</t>
  </si>
  <si>
    <t>DCO2JORD Index</t>
  </si>
  <si>
    <t>FOODSTUFF -  CME BUTTER (Grade AA)</t>
  </si>
  <si>
    <t>v61 comdty</t>
  </si>
  <si>
    <t>USd/lb</t>
  </si>
  <si>
    <t>CCBFTNCL Index</t>
  </si>
  <si>
    <t>CCBFTNCS Index</t>
  </si>
  <si>
    <t>CCBFTNCP Index</t>
  </si>
  <si>
    <t>CCBFTCOL Index</t>
  </si>
  <si>
    <t>CCBFTCOS Index</t>
  </si>
  <si>
    <t>CCBFTTLL Index</t>
  </si>
  <si>
    <t>CCBFTTLS Index</t>
  </si>
  <si>
    <t>CCBFTOIN Index</t>
  </si>
  <si>
    <t>CCBFTNRL Index</t>
  </si>
  <si>
    <t>CCBFTNRS Index</t>
  </si>
  <si>
    <t>CMB1AMML Index</t>
  </si>
  <si>
    <t>CMB1AMMS Index</t>
  </si>
  <si>
    <t>CMB1APML Index</t>
  </si>
  <si>
    <t>CMB1APMS Index</t>
  </si>
  <si>
    <t>CMB1ASWL Index</t>
  </si>
  <si>
    <t>CMB1ASWS Index</t>
  </si>
  <si>
    <t>CMB1ASWD Index</t>
  </si>
  <si>
    <t>CMB1AMMD Index</t>
  </si>
  <si>
    <t>CMB1AORL Index</t>
  </si>
  <si>
    <t>CMB1AORS Index</t>
  </si>
  <si>
    <t>CMB1AORD Index</t>
  </si>
  <si>
    <t>CCBFTNCN Index</t>
  </si>
  <si>
    <t>CCBCTNCL Index</t>
  </si>
  <si>
    <t>CCBCTNCS Index</t>
  </si>
  <si>
    <t>CCBCTNCP Index</t>
  </si>
  <si>
    <t>CCBCTCOL Index</t>
  </si>
  <si>
    <t>CCBCTCOS Index</t>
  </si>
  <si>
    <t>CCBCTTLL Index</t>
  </si>
  <si>
    <t>CCBCTTLS Index</t>
  </si>
  <si>
    <t>CCBCTOIN Index</t>
  </si>
  <si>
    <t>CCBCTNRL Index</t>
  </si>
  <si>
    <t>CCBCTNRS Index</t>
  </si>
  <si>
    <t>CMBCAMML Index</t>
  </si>
  <si>
    <t>CMBCAMMS Index</t>
  </si>
  <si>
    <t>CMBCAMMD Index</t>
  </si>
  <si>
    <t>CMBCAPML Index</t>
  </si>
  <si>
    <t>CMBCAPMS Index</t>
  </si>
  <si>
    <t>CMBCASWL Index</t>
  </si>
  <si>
    <t>CMBCASWS Index</t>
  </si>
  <si>
    <t>CMBCASWD Index</t>
  </si>
  <si>
    <t>CMBCAORL Index</t>
  </si>
  <si>
    <t>CMBCAORS Index</t>
  </si>
  <si>
    <t>CMBCAORD Index</t>
  </si>
  <si>
    <t>OIL - NYM CRUDE OIL</t>
  </si>
  <si>
    <t>CL1 Comdty</t>
  </si>
  <si>
    <t>NYM1CNCL Index</t>
  </si>
  <si>
    <t>NYM1CNCS Index</t>
  </si>
  <si>
    <t>NYM1CNCP Index</t>
  </si>
  <si>
    <t>NYM1CCOL Index</t>
  </si>
  <si>
    <t>NYM1CCOS Index</t>
  </si>
  <si>
    <t>NYM1CTLL Index</t>
  </si>
  <si>
    <t>NYM1CTLS Index</t>
  </si>
  <si>
    <t>NYM1COIN Index</t>
  </si>
  <si>
    <t>NYM1CNRL Index</t>
  </si>
  <si>
    <t>NYM1CNRS Index</t>
  </si>
  <si>
    <t>CFFDQMML Index</t>
  </si>
  <si>
    <t>CFFDQMMS Index</t>
  </si>
  <si>
    <t>CFFDQPML Index</t>
  </si>
  <si>
    <t>CFFDQPMS Index</t>
  </si>
  <si>
    <t>CFFDQSWL Index</t>
  </si>
  <si>
    <t>CFFDQSWS Index</t>
  </si>
  <si>
    <t>CFFDQSWD Index</t>
  </si>
  <si>
    <t>CFFDQMMD Index</t>
  </si>
  <si>
    <t>CFFDQORL Index</t>
  </si>
  <si>
    <t>CFFDQORS Index</t>
  </si>
  <si>
    <t>CFFDQORD Index</t>
  </si>
  <si>
    <t>NYM1CNCN Index</t>
  </si>
  <si>
    <t>NYMOCNCL Index</t>
  </si>
  <si>
    <t>NYMOCNCS Index</t>
  </si>
  <si>
    <t>NYMOCNCP Index</t>
  </si>
  <si>
    <t>NYMOCCOL Index</t>
  </si>
  <si>
    <t>NYMOCCOS Index</t>
  </si>
  <si>
    <t>NYMOCTLL Index</t>
  </si>
  <si>
    <t>NYMOCTLS Index</t>
  </si>
  <si>
    <t>NYMOCOIN Index</t>
  </si>
  <si>
    <t>NYMOCNRL Index</t>
  </si>
  <si>
    <t>NYMOCNRS Index</t>
  </si>
  <si>
    <t>CFCDQMML Index</t>
  </si>
  <si>
    <t>CFCDQMMS Index</t>
  </si>
  <si>
    <t>CFCDQMMD Index</t>
  </si>
  <si>
    <t>CFCDQPML Index</t>
  </si>
  <si>
    <t>CFCDQPMS Index</t>
  </si>
  <si>
    <t>CFCDQSWL Index</t>
  </si>
  <si>
    <t>CFCDQSWS Index</t>
  </si>
  <si>
    <t>CFCDQSWD Index</t>
  </si>
  <si>
    <t>CFCDQORL Index</t>
  </si>
  <si>
    <t>CFCDQORS Index</t>
  </si>
  <si>
    <t>CFCDQORD Index</t>
  </si>
  <si>
    <t>OIL - NYM GASOLINE RBOB</t>
  </si>
  <si>
    <t>XB1 Comdty</t>
  </si>
  <si>
    <t>NYM2XNCL Index</t>
  </si>
  <si>
    <t>NYM2XNCS Index</t>
  </si>
  <si>
    <t>NYM2XNCP Index</t>
  </si>
  <si>
    <t>NYM2XCOL Index</t>
  </si>
  <si>
    <t>NYM2XCOS Index</t>
  </si>
  <si>
    <t>NYM2XTLL Index</t>
  </si>
  <si>
    <t>NYM2XTLS Index</t>
  </si>
  <si>
    <t>NYM2XOIN Index</t>
  </si>
  <si>
    <t>NYM2XNRL Index</t>
  </si>
  <si>
    <t>NYM2XNRS Index</t>
  </si>
  <si>
    <t>CFFDRMML Index</t>
  </si>
  <si>
    <t>CFFDRMMS Index</t>
  </si>
  <si>
    <t>CFFDRPML Index</t>
  </si>
  <si>
    <t>CFFDRPMS Index</t>
  </si>
  <si>
    <t>CFFDRSWL Index</t>
  </si>
  <si>
    <t>CFFDRSWS Index</t>
  </si>
  <si>
    <t>CFFDRSWD Index</t>
  </si>
  <si>
    <t>CFFDRMMD Index</t>
  </si>
  <si>
    <t>CFFDRORL Index</t>
  </si>
  <si>
    <t>CFFDRORS Index</t>
  </si>
  <si>
    <t>CFFDRORD Index</t>
  </si>
  <si>
    <t>NYM2XNCN Index</t>
  </si>
  <si>
    <t>NYMOXNCL Index</t>
  </si>
  <si>
    <t>NYMOXNCS Index</t>
  </si>
  <si>
    <t>NYMOXNCP Index</t>
  </si>
  <si>
    <t>NYMOXCOL Index</t>
  </si>
  <si>
    <t>NYMOXCOS Index</t>
  </si>
  <si>
    <t>NYMOXTLL Index</t>
  </si>
  <si>
    <t>NYMOXTLS Index</t>
  </si>
  <si>
    <t>NYMOXOIN Index</t>
  </si>
  <si>
    <t>NYMOXNRL Index</t>
  </si>
  <si>
    <t>NYMOXNRS Index</t>
  </si>
  <si>
    <t>CFCDRMML Index</t>
  </si>
  <si>
    <t>CFCDRMMS Index</t>
  </si>
  <si>
    <t>CFCDRMMD Index</t>
  </si>
  <si>
    <t>CFCDRPML Index</t>
  </si>
  <si>
    <t>CFCDRPMS Index</t>
  </si>
  <si>
    <t>CFCDRSWL Index</t>
  </si>
  <si>
    <t>CFCDRSWS Index</t>
  </si>
  <si>
    <t>CFCDRSWD Index</t>
  </si>
  <si>
    <t>CFCDRORL Index</t>
  </si>
  <si>
    <t>CFCDRORS Index</t>
  </si>
  <si>
    <t>CFCDRORD Index</t>
  </si>
  <si>
    <t>OIL - NYM NATURAL GAS</t>
  </si>
  <si>
    <t>NG1 Comdty</t>
  </si>
  <si>
    <t>NYM1NNCL Index</t>
  </si>
  <si>
    <t>NYM1NNCS Index</t>
  </si>
  <si>
    <t>NYM1NNCP Index</t>
  </si>
  <si>
    <t>NYM1NCOL Index</t>
  </si>
  <si>
    <t>NYM1NCOS Index</t>
  </si>
  <si>
    <t>NYM1NTLL Index</t>
  </si>
  <si>
    <t>NYM1NTLS Index</t>
  </si>
  <si>
    <t>NYM1NOIN Index</t>
  </si>
  <si>
    <t>NYM1NNRL Index</t>
  </si>
  <si>
    <t>NYM1NNRS Index</t>
  </si>
  <si>
    <t>CFFDOMML Index</t>
  </si>
  <si>
    <t>CFFDOMMS Index</t>
  </si>
  <si>
    <t>CFFDOPML Index</t>
  </si>
  <si>
    <t>CFFDOPMS Index</t>
  </si>
  <si>
    <t>CFFDOSWL Index</t>
  </si>
  <si>
    <t>CFFDOSWS Index</t>
  </si>
  <si>
    <t>CFFDOSWD Index</t>
  </si>
  <si>
    <t>CFFDOMMD Index</t>
  </si>
  <si>
    <t>CFFDOORL Index</t>
  </si>
  <si>
    <t>CFFDOORS Index</t>
  </si>
  <si>
    <t>CFFDOORD Index</t>
  </si>
  <si>
    <t>NYM1NNCN Index</t>
  </si>
  <si>
    <t>NYMONNCL Index</t>
  </si>
  <si>
    <t>NYMONNCS Index</t>
  </si>
  <si>
    <t>NYMONNCP Index</t>
  </si>
  <si>
    <t>NYMONCOL Index</t>
  </si>
  <si>
    <t>NYMONCOS Index</t>
  </si>
  <si>
    <t>NYMONTLL Index</t>
  </si>
  <si>
    <t>NYMONTLS Index</t>
  </si>
  <si>
    <t>NYMONOIN Index</t>
  </si>
  <si>
    <t>NYMONNRL Index</t>
  </si>
  <si>
    <t>NYMONNRS Index</t>
  </si>
  <si>
    <t>CFCDOMML Index</t>
  </si>
  <si>
    <t>CFCDOMMS Index</t>
  </si>
  <si>
    <t>CFCDOMMD Index</t>
  </si>
  <si>
    <t>CFCDOPML Index</t>
  </si>
  <si>
    <t>CFCDOPMS Index</t>
  </si>
  <si>
    <t>CFCDOSWL Index</t>
  </si>
  <si>
    <t>CFCDOSWS Index</t>
  </si>
  <si>
    <t>CFCDOSWD Index</t>
  </si>
  <si>
    <t>CFCDOORL Index</t>
  </si>
  <si>
    <t>CFCDOORS Index</t>
  </si>
  <si>
    <t>CFCDOORD Index</t>
  </si>
  <si>
    <t>OIL - NYM PROPANE</t>
  </si>
  <si>
    <t>BAP1 Comdty</t>
  </si>
  <si>
    <t>CFF2ZNCL Index</t>
  </si>
  <si>
    <t>CFF2ZNCS Index</t>
  </si>
  <si>
    <t>CFF2ZNCP Index</t>
  </si>
  <si>
    <t>CFF2ZCOL Index</t>
  </si>
  <si>
    <t>CFF2ZCOS Index</t>
  </si>
  <si>
    <t>CFF2ZTLL Index</t>
  </si>
  <si>
    <t>CFF2ZTLS Index</t>
  </si>
  <si>
    <t>CFF2ZOIN Index</t>
  </si>
  <si>
    <t>CFF2ZNRL Index</t>
  </si>
  <si>
    <t>CFF2ZNRS Index</t>
  </si>
  <si>
    <t>DFU3EMML Index</t>
  </si>
  <si>
    <t>DFU3EMMS Index</t>
  </si>
  <si>
    <t>DFU3EPML Index</t>
  </si>
  <si>
    <t>DFU3EPMS Index</t>
  </si>
  <si>
    <t>DFU3ESWL Index</t>
  </si>
  <si>
    <t>DFU3ESWS Index</t>
  </si>
  <si>
    <t>DFU3ESWD Index</t>
  </si>
  <si>
    <t>DFU3EMMD Index</t>
  </si>
  <si>
    <t>DFU3EORL Index</t>
  </si>
  <si>
    <t>DFU3EORS Index</t>
  </si>
  <si>
    <t>DFU3EORD Index</t>
  </si>
  <si>
    <t>CFF2ZNCN Index</t>
  </si>
  <si>
    <t>CFO2ZNCL Index</t>
  </si>
  <si>
    <t>CFO2ZNCS Index</t>
  </si>
  <si>
    <t>CFO2ZNCP Index</t>
  </si>
  <si>
    <t>CFO2ZCOL Index</t>
  </si>
  <si>
    <t>CFO2ZCOS Index</t>
  </si>
  <si>
    <t>CFO2ZTLL Index</t>
  </si>
  <si>
    <t>CFO2ZTLS Index</t>
  </si>
  <si>
    <t>CFO2ZOIN Index</t>
  </si>
  <si>
    <t>CFO2ZNRL Index</t>
  </si>
  <si>
    <t>CFO2ZNRS Index</t>
  </si>
  <si>
    <t>DCO3EMML Index</t>
  </si>
  <si>
    <t>DCO3EMMS Index</t>
  </si>
  <si>
    <t>DCO3EMMD Index</t>
  </si>
  <si>
    <t>DCO3EPML Index</t>
  </si>
  <si>
    <t>DCO3EPMS Index</t>
  </si>
  <si>
    <t>DCO3ESWL Index</t>
  </si>
  <si>
    <t>DCO3ESWS Index</t>
  </si>
  <si>
    <t>DCO3ESWD Index</t>
  </si>
  <si>
    <t>DCO3EORL Index</t>
  </si>
  <si>
    <t>DCO3EORS Index</t>
  </si>
  <si>
    <t>DCO3EORD Index</t>
  </si>
  <si>
    <t>OIL- NYM ETHANE</t>
  </si>
  <si>
    <t>CAP1 Comdty</t>
  </si>
  <si>
    <t>CFF3ANCL Index</t>
  </si>
  <si>
    <t>CFF3ANCS Index</t>
  </si>
  <si>
    <t>CFF3ANCP Index</t>
  </si>
  <si>
    <t>CFF3ACOL Index</t>
  </si>
  <si>
    <t>CFF3ACOS Index</t>
  </si>
  <si>
    <t>CFF3ATLL Index</t>
  </si>
  <si>
    <t>CFF3ATLS Index</t>
  </si>
  <si>
    <t>CFF3AOIN Index</t>
  </si>
  <si>
    <t>CFF3ANRL Index</t>
  </si>
  <si>
    <t>CFF3ANRS Index</t>
  </si>
  <si>
    <t>DFU3FMML Index</t>
  </si>
  <si>
    <t>DFU3FMMS Index</t>
  </si>
  <si>
    <t>DFU3FPML Index</t>
  </si>
  <si>
    <t>DFU3FPMS Index</t>
  </si>
  <si>
    <t>DFU3FSWL Index</t>
  </si>
  <si>
    <t>DFU3FSWS Index</t>
  </si>
  <si>
    <t>DFU3FSWD Index</t>
  </si>
  <si>
    <t>DFU3FMMD Index</t>
  </si>
  <si>
    <t>DFU3FORL Index</t>
  </si>
  <si>
    <t>DFU3FORS Index</t>
  </si>
  <si>
    <t>DFU3FORD Index</t>
  </si>
  <si>
    <t>CFF3ANCN Index</t>
  </si>
  <si>
    <t>CFO3ANCL Index</t>
  </si>
  <si>
    <t>CFO3ANCS Index</t>
  </si>
  <si>
    <t>CFO3ANCP Index</t>
  </si>
  <si>
    <t>CFO3ACOL Index</t>
  </si>
  <si>
    <t>CFO3ACOS Index</t>
  </si>
  <si>
    <t>CFO3ATLL Index</t>
  </si>
  <si>
    <t>CFO3ATLS Index</t>
  </si>
  <si>
    <t>CFO3AOIN Index</t>
  </si>
  <si>
    <t>CFO3ANRL Index</t>
  </si>
  <si>
    <t>CFO3ANRS Index</t>
  </si>
  <si>
    <t>DCO3FMML Index</t>
  </si>
  <si>
    <t>DCO3FMMS Index</t>
  </si>
  <si>
    <t>DCO3FMMD Index</t>
  </si>
  <si>
    <t>DCO3FPML Index</t>
  </si>
  <si>
    <t>DCO3FPMS Index</t>
  </si>
  <si>
    <t>DCO3FSWL Index</t>
  </si>
  <si>
    <t>DCO3FSWS Index</t>
  </si>
  <si>
    <t>DCO3FSWD Index</t>
  </si>
  <si>
    <t>DCO3FORL Index</t>
  </si>
  <si>
    <t>DCO3FORS Index</t>
  </si>
  <si>
    <t>DCO3FORD Index</t>
  </si>
  <si>
    <t>OIL- NYM BUTANE</t>
  </si>
  <si>
    <t>DAE1 Comdty</t>
  </si>
  <si>
    <t>CFF3BNCL Index</t>
  </si>
  <si>
    <t>CFF3BNCS Index</t>
  </si>
  <si>
    <t>CFF3BNCP Index</t>
  </si>
  <si>
    <t>CFF3BCOL Index</t>
  </si>
  <si>
    <t>CFF3BCOS Index</t>
  </si>
  <si>
    <t>CFF3BTLL Index</t>
  </si>
  <si>
    <t>CFF3BTLS Index</t>
  </si>
  <si>
    <t>CFF3BOIN Index</t>
  </si>
  <si>
    <t>CFF3BNRL Index</t>
  </si>
  <si>
    <t>CFF3BNRS Index</t>
  </si>
  <si>
    <t>DFU3GMML Index</t>
  </si>
  <si>
    <t>DFU3GMMS Index</t>
  </si>
  <si>
    <t>DFU3GPML Index</t>
  </si>
  <si>
    <t>DFU3GPMS Index</t>
  </si>
  <si>
    <t>DFU3GSWL Index</t>
  </si>
  <si>
    <t>DFU3GSWS Index</t>
  </si>
  <si>
    <t>DFU3GSWD Index</t>
  </si>
  <si>
    <t>DFU3GMMD Index</t>
  </si>
  <si>
    <t>DFU3GORL Index</t>
  </si>
  <si>
    <t>DFU3GORS Index</t>
  </si>
  <si>
    <t>DFU3GORD Index</t>
  </si>
  <si>
    <t>CFF3BNCN Index</t>
  </si>
  <si>
    <t>CFO3BNCL Index</t>
  </si>
  <si>
    <t>CFO3BNCS Index</t>
  </si>
  <si>
    <t>CFO3BNCP Index</t>
  </si>
  <si>
    <t>CFO3BCOL Index</t>
  </si>
  <si>
    <t>CFO3BCOS Index</t>
  </si>
  <si>
    <t>CFO3BTLL Index</t>
  </si>
  <si>
    <t>CFO3BTLS Index</t>
  </si>
  <si>
    <t>CFO3BOIN Index</t>
  </si>
  <si>
    <t>CFO3BNRL Index</t>
  </si>
  <si>
    <t>CFO3BNRS Index</t>
  </si>
  <si>
    <t>DCO3GMML Index</t>
  </si>
  <si>
    <t>DCO3GMMS Index</t>
  </si>
  <si>
    <t>DCO3GMMD Index</t>
  </si>
  <si>
    <t>DCO3GPML Index</t>
  </si>
  <si>
    <t>DCO3GPMS Index</t>
  </si>
  <si>
    <t>DCO3GSWL Index</t>
  </si>
  <si>
    <t>DCO3GSWS Index</t>
  </si>
  <si>
    <t>DCO3GSWD Index</t>
  </si>
  <si>
    <t>DCO3GORL Index</t>
  </si>
  <si>
    <t>DCO3GORS Index</t>
  </si>
  <si>
    <t>DCO3GORD Index</t>
  </si>
  <si>
    <t>OIL - NYM - GASOLINE OPIS</t>
  </si>
  <si>
    <t>MMB1 Comdty</t>
  </si>
  <si>
    <t>CFF3CNCL Index</t>
  </si>
  <si>
    <t>CFF3CNCS Index</t>
  </si>
  <si>
    <t>CFF3CNCP Index</t>
  </si>
  <si>
    <t>CFF3CCOL Index</t>
  </si>
  <si>
    <t>CFF3CCOS Index</t>
  </si>
  <si>
    <t>CFF3CTLL Index</t>
  </si>
  <si>
    <t>CFF3CTLS Index</t>
  </si>
  <si>
    <t>CFF3COIN Index</t>
  </si>
  <si>
    <t>CFF3CNRL Index</t>
  </si>
  <si>
    <t>CFF3CNRS Index</t>
  </si>
  <si>
    <t>DFU3HMML Index</t>
  </si>
  <si>
    <t>DFU3HMMS Index</t>
  </si>
  <si>
    <t>DFU3HPML Index</t>
  </si>
  <si>
    <t>DFU3HPMS Index</t>
  </si>
  <si>
    <t>DFU3HSWL Index</t>
  </si>
  <si>
    <t>DFU3HSWS Index</t>
  </si>
  <si>
    <t>DFU3HSWD Index</t>
  </si>
  <si>
    <t>DFU3HMMD Index</t>
  </si>
  <si>
    <t>DFU3HORL Index</t>
  </si>
  <si>
    <t>DFU3HORS Index</t>
  </si>
  <si>
    <t>DFU3HORD Index</t>
  </si>
  <si>
    <t>CFF3CNCN Index</t>
  </si>
  <si>
    <t>CFO3CNCL Index</t>
  </si>
  <si>
    <t>CFO3CNCS Index</t>
  </si>
  <si>
    <t>CFO3CNCP Index</t>
  </si>
  <si>
    <t>CFO3CCOL Index</t>
  </si>
  <si>
    <t>CFO3CCOS Index</t>
  </si>
  <si>
    <t>CFO3CTLL Index</t>
  </si>
  <si>
    <t>CFO3CTLS Index</t>
  </si>
  <si>
    <t>CFO3COIN Index</t>
  </si>
  <si>
    <t>CFO3CNRL Index</t>
  </si>
  <si>
    <t>CFO3CNRS Index</t>
  </si>
  <si>
    <t>DCO3HMML Index</t>
  </si>
  <si>
    <t>DCO3HMMS Index</t>
  </si>
  <si>
    <t>DCO3HMMD Index</t>
  </si>
  <si>
    <t>DCO3HPML Index</t>
  </si>
  <si>
    <t>DCO3HPMS Index</t>
  </si>
  <si>
    <t>DCO3HSWL Index</t>
  </si>
  <si>
    <t>DCO3HSWS Index</t>
  </si>
  <si>
    <t>DCO3HSWD Index</t>
  </si>
  <si>
    <t>DCO3HORL Index</t>
  </si>
  <si>
    <t>DCO3HORS Index</t>
  </si>
  <si>
    <t>DCO3HORD Index</t>
  </si>
  <si>
    <t xml:space="preserve">OIL - ICE EUROPE BRENT CRUDE </t>
  </si>
  <si>
    <t>CO1 COMDTY</t>
  </si>
  <si>
    <t>USD/bbl.</t>
  </si>
  <si>
    <t>ICFUBOIN Index</t>
  </si>
  <si>
    <t>ICFUBNRL Index</t>
  </si>
  <si>
    <t>ICFUBNRS Index</t>
  </si>
  <si>
    <t>ICFUBMML Index</t>
  </si>
  <si>
    <t>ICFUBMMS Index</t>
  </si>
  <si>
    <t>ICFUBPML Index</t>
  </si>
  <si>
    <t>ICFUBPMS Index</t>
  </si>
  <si>
    <t>ICFUBSWL Index</t>
  </si>
  <si>
    <t>ICFUBSWS Index</t>
  </si>
  <si>
    <t>ICFUBSWD Index</t>
  </si>
  <si>
    <t>ICFUBMMD Index</t>
  </si>
  <si>
    <t>ICFUBORL Index</t>
  </si>
  <si>
    <t>ICFUBORS Index</t>
  </si>
  <si>
    <t>ICFUBORD Index</t>
  </si>
  <si>
    <t>ICCBBOIN Index</t>
  </si>
  <si>
    <t>ICCBBNRL Index</t>
  </si>
  <si>
    <t>ICCBBNRS Index</t>
  </si>
  <si>
    <t>ICCBBMML Index</t>
  </si>
  <si>
    <t>ICCBBMMS Index</t>
  </si>
  <si>
    <t>ICCBBMMD Index</t>
  </si>
  <si>
    <t>ICCBBPML Index</t>
  </si>
  <si>
    <t>ICCBBPMS Index</t>
  </si>
  <si>
    <t>ICCBBSWL Index</t>
  </si>
  <si>
    <t>ICCBBSWS Index</t>
  </si>
  <si>
    <t>ICCBBSWD Index</t>
  </si>
  <si>
    <t>ICCBBORL Index</t>
  </si>
  <si>
    <t>ICCBBORS Index</t>
  </si>
  <si>
    <t>ICCBBORD Index</t>
  </si>
  <si>
    <t>OIL - NYM HEATING OIL</t>
  </si>
  <si>
    <t>HO1 Comdty</t>
  </si>
  <si>
    <t>NYM1HNCL Index</t>
  </si>
  <si>
    <t>NYM1HNCS Index</t>
  </si>
  <si>
    <t>NYM1HNCP Index</t>
  </si>
  <si>
    <t>NYM1HCOL Index</t>
  </si>
  <si>
    <t>NYM1HCOS Index</t>
  </si>
  <si>
    <t>NYM1HTLL Index</t>
  </si>
  <si>
    <t>NYM1HTLS Index</t>
  </si>
  <si>
    <t>NYM1HOIN Index</t>
  </si>
  <si>
    <t>NYM1HNRL Index</t>
  </si>
  <si>
    <t>NYM1HNRS Index</t>
  </si>
  <si>
    <t>CFFDNMML Index</t>
  </si>
  <si>
    <t>CFFDNMMS Index</t>
  </si>
  <si>
    <t>CFFDNPML Index</t>
  </si>
  <si>
    <t>CFFDNPMS Index</t>
  </si>
  <si>
    <t>CFFDNSWL Index</t>
  </si>
  <si>
    <t>CFFDNSWS Index</t>
  </si>
  <si>
    <t>CFFDNSWD Index</t>
  </si>
  <si>
    <t>CFFDNMMD Index</t>
  </si>
  <si>
    <t>CFFDNORL Index</t>
  </si>
  <si>
    <t>CFFDNORS Index</t>
  </si>
  <si>
    <t>CFFDNORD Index</t>
  </si>
  <si>
    <t>NYM1HNCN Index</t>
  </si>
  <si>
    <t>NYMOHNCL Index</t>
  </si>
  <si>
    <t>NYMOHNCS Index</t>
  </si>
  <si>
    <t>NYMOHNCP Index</t>
  </si>
  <si>
    <t>NYMOHCOL Index</t>
  </si>
  <si>
    <t>NYMOHCOS Index</t>
  </si>
  <si>
    <t>NYMOHTLL Index</t>
  </si>
  <si>
    <t>NYMOHTLS Index</t>
  </si>
  <si>
    <t>NYMOHOIN Index</t>
  </si>
  <si>
    <t>NYMOHNRL Index</t>
  </si>
  <si>
    <t>NYMOHNRS Index</t>
  </si>
  <si>
    <t>CFCDNMML Index</t>
  </si>
  <si>
    <t>CFCDNMMS Index</t>
  </si>
  <si>
    <t>CFCDNMMD Index</t>
  </si>
  <si>
    <t>CFCDNPML Index</t>
  </si>
  <si>
    <t>CFCDNPMS Index</t>
  </si>
  <si>
    <t>CFCDNSWL Index</t>
  </si>
  <si>
    <t>CFCDNSWS Index</t>
  </si>
  <si>
    <t>CFCDNSWD Index</t>
  </si>
  <si>
    <t>CFCDNORL Index</t>
  </si>
  <si>
    <t>CFCDNORS Index</t>
  </si>
  <si>
    <t>CFCDNORD Index</t>
  </si>
  <si>
    <t>OIL - ICE EUROPE GASOIL FUTURES</t>
  </si>
  <si>
    <t>QS1 COMDTY</t>
  </si>
  <si>
    <t>ICFUAOIN INDEX</t>
  </si>
  <si>
    <t>ICFUANRL Index</t>
  </si>
  <si>
    <t>ICFUANRS Index</t>
  </si>
  <si>
    <t>ICFUAMML INDEX</t>
  </si>
  <si>
    <t>ICFUAMMS INDEX</t>
  </si>
  <si>
    <t>ICFUAPML INDEX</t>
  </si>
  <si>
    <t>ICFUAPMS INDEX</t>
  </si>
  <si>
    <t>ICFUASWL INDEX</t>
  </si>
  <si>
    <t>ICFUASWS INDEX</t>
  </si>
  <si>
    <t>ICFUASWD INDEX</t>
  </si>
  <si>
    <t>ICFUAMMD INDEX</t>
  </si>
  <si>
    <t>ICFUAORL INDEX</t>
  </si>
  <si>
    <t>ICFUAORS INDEX</t>
  </si>
  <si>
    <t>ICFUAORD INDEX</t>
  </si>
  <si>
    <t>ICFUAORN INDEX</t>
  </si>
  <si>
    <t>ICCBAOIN INDEX</t>
  </si>
  <si>
    <t>ICCBANRL Index</t>
  </si>
  <si>
    <t>ICCBANRS Index</t>
  </si>
  <si>
    <t>ICCBAMML Index</t>
  </si>
  <si>
    <t>ICCBAMMS Index</t>
  </si>
  <si>
    <t>ICCBAMMD Index</t>
  </si>
  <si>
    <t>ICCBAPML INDEX</t>
  </si>
  <si>
    <t>ICCBAPMS INDEX</t>
  </si>
  <si>
    <t>ICCBASWL INDEX</t>
  </si>
  <si>
    <t>ICCBASWS INDEX</t>
  </si>
  <si>
    <t>ICCBASWD INDEX</t>
  </si>
  <si>
    <t>ICCBAORL INDEX</t>
  </si>
  <si>
    <t>ICCBAORS INDEX</t>
  </si>
  <si>
    <t>ICCBAORD INDEX</t>
  </si>
  <si>
    <t>OIL - ICE NATURAL GAS HENRY HUB</t>
  </si>
  <si>
    <t>NR1 COMDTY</t>
  </si>
  <si>
    <t>EN1FBNCL Index</t>
  </si>
  <si>
    <t>EN1FBNCS Index</t>
  </si>
  <si>
    <t>EN1FBNCP Index</t>
  </si>
  <si>
    <t>EN1FBCOL Index</t>
  </si>
  <si>
    <t>EN1FBCOS Index</t>
  </si>
  <si>
    <t>EN1FBTLL Index</t>
  </si>
  <si>
    <t>EN1FBTLS Index</t>
  </si>
  <si>
    <t>EN1FBOIN Index</t>
  </si>
  <si>
    <t>EN1FBNRL Index</t>
  </si>
  <si>
    <t>EN1FBNRS Index</t>
  </si>
  <si>
    <t>DFU4NMML Index</t>
  </si>
  <si>
    <t>DFU4NMMS Index</t>
  </si>
  <si>
    <t>DFU4NPML Index</t>
  </si>
  <si>
    <t>DFU4NPMS Index</t>
  </si>
  <si>
    <t>DFU4NSWL Index</t>
  </si>
  <si>
    <t>DFU4NSWS Index</t>
  </si>
  <si>
    <t>DFU4NSWD Index</t>
  </si>
  <si>
    <t>DFU4NMMD Index</t>
  </si>
  <si>
    <t>DFU4NORL Index</t>
  </si>
  <si>
    <t>DFU4NORS Index</t>
  </si>
  <si>
    <t>DFU4NORD Index</t>
  </si>
  <si>
    <t>EN1FBNCN Index</t>
  </si>
  <si>
    <t>EN1CBNCL Index</t>
  </si>
  <si>
    <t>EN1CBNCS Index</t>
  </si>
  <si>
    <t>EN1CBNCP Index</t>
  </si>
  <si>
    <t>EN1CBCOL Index</t>
  </si>
  <si>
    <t>EN1CBCOS Index</t>
  </si>
  <si>
    <t>EN1CBTLL Index</t>
  </si>
  <si>
    <t>EN1CBTLS Index</t>
  </si>
  <si>
    <t>EN1CBOIN Index</t>
  </si>
  <si>
    <t>EN1CBNRL Index</t>
  </si>
  <si>
    <t>EN1CBNRS Index</t>
  </si>
  <si>
    <t>DCO4NMML Index</t>
  </si>
  <si>
    <t>DCO4NMMS Index</t>
  </si>
  <si>
    <t>DCO4NMMD Index</t>
  </si>
  <si>
    <t>DCO4NPML Index</t>
  </si>
  <si>
    <t>DCO4NPMS Index</t>
  </si>
  <si>
    <t>DCO4NSWL Index</t>
  </si>
  <si>
    <t>DCO4NSWS Index</t>
  </si>
  <si>
    <t>DCO4NSWD Index</t>
  </si>
  <si>
    <t>DCO4NORL Index</t>
  </si>
  <si>
    <t>DCO4NORS Index</t>
  </si>
  <si>
    <t>DCO4NORD Index</t>
  </si>
  <si>
    <t>OIL - CRUDE OIL, LIGHT SWEET</t>
  </si>
  <si>
    <t>EN1 COMDTY</t>
  </si>
  <si>
    <t>EN1FANCL Index</t>
  </si>
  <si>
    <t>EN1FANCS Index</t>
  </si>
  <si>
    <t>EN1FANCP Index</t>
  </si>
  <si>
    <t>EN1FACOL Index</t>
  </si>
  <si>
    <t>EN1FACOS Index</t>
  </si>
  <si>
    <t>EN1FATLL Index</t>
  </si>
  <si>
    <t>EN1FATLS Index</t>
  </si>
  <si>
    <t>EN1FAOIN Index</t>
  </si>
  <si>
    <t>EN1FANRL Index</t>
  </si>
  <si>
    <t>EN1FANRS Index</t>
  </si>
  <si>
    <t>CFFDPMML Index</t>
  </si>
  <si>
    <t>CFFDPMMS Index</t>
  </si>
  <si>
    <t>CFFDPPML Index</t>
  </si>
  <si>
    <t>CFFDPPMS Index</t>
  </si>
  <si>
    <t>CFFDPSWL Index</t>
  </si>
  <si>
    <t>CFFDPSWS Index</t>
  </si>
  <si>
    <t>CFFDPSWD Index</t>
  </si>
  <si>
    <t>CFFDPMMD Index</t>
  </si>
  <si>
    <t>CFFDPORL Index</t>
  </si>
  <si>
    <t>CFFDPORS Index</t>
  </si>
  <si>
    <t>CFFDPORD Index</t>
  </si>
  <si>
    <t>EN1FANCN Index</t>
  </si>
  <si>
    <t>EN1CANCL Index</t>
  </si>
  <si>
    <t>EN1CANCS Index</t>
  </si>
  <si>
    <t>EN1CANCP Index</t>
  </si>
  <si>
    <t>EN1CACOL Index</t>
  </si>
  <si>
    <t>EN1CACOS Index</t>
  </si>
  <si>
    <t>EN1CATLL Index</t>
  </si>
  <si>
    <t>EN1CATLS Index</t>
  </si>
  <si>
    <t>EN1CAOIN Index</t>
  </si>
  <si>
    <t>EN1CANRL Index</t>
  </si>
  <si>
    <t>EN1CANRS Index</t>
  </si>
  <si>
    <t>CFCDPMML Index</t>
  </si>
  <si>
    <t>CFCDPMMS Index</t>
  </si>
  <si>
    <t>CFCDPMMD Index</t>
  </si>
  <si>
    <t>CFCDPPML Index</t>
  </si>
  <si>
    <t>CFCDPPMS Index</t>
  </si>
  <si>
    <t>CFCDPSWL Index</t>
  </si>
  <si>
    <t>CFCDPSWS Index</t>
  </si>
  <si>
    <t>CFCDPSWD Index</t>
  </si>
  <si>
    <t>CFCDPORL Index</t>
  </si>
  <si>
    <t>CFCDPORS Index</t>
  </si>
  <si>
    <t>CFCDPORD Index</t>
  </si>
  <si>
    <t>METALS - CMX GOLD</t>
  </si>
  <si>
    <t>GC1 Comdty</t>
  </si>
  <si>
    <t>CEI1GNCL Index</t>
  </si>
  <si>
    <t>CEI1GNCS Index</t>
  </si>
  <si>
    <t>CEI1GNCP Index</t>
  </si>
  <si>
    <t>CEI1GCOL Index</t>
  </si>
  <si>
    <t>CEI1GCOS Index</t>
  </si>
  <si>
    <t>CEI1GTLL Index</t>
  </si>
  <si>
    <t>CEI1GTLS Index</t>
  </si>
  <si>
    <t>CEI1GOIN Index</t>
  </si>
  <si>
    <t>CEI1GNRL Index</t>
  </si>
  <si>
    <t>CEI1GNRS Index</t>
  </si>
  <si>
    <t>CFFDUMML Index</t>
  </si>
  <si>
    <t>CFFDUMMS Index</t>
  </si>
  <si>
    <t>CFFDUPML Index</t>
  </si>
  <si>
    <t>CFFDUPMS Index</t>
  </si>
  <si>
    <t>CFFDUSWL Index</t>
  </si>
  <si>
    <t>CFFDUSWS Index</t>
  </si>
  <si>
    <t>CFFDUSWD Index</t>
  </si>
  <si>
    <t>CFFDUMMD Index</t>
  </si>
  <si>
    <t>CFFDUORL Index</t>
  </si>
  <si>
    <t>CFFDUORS Index</t>
  </si>
  <si>
    <t>CFFDUORD Index</t>
  </si>
  <si>
    <t>CEI1GNCN Index</t>
  </si>
  <si>
    <t>CMXOGNCL Index</t>
  </si>
  <si>
    <t>CMXOGNCS Index</t>
  </si>
  <si>
    <t>CMXOGNCP Index</t>
  </si>
  <si>
    <t>CMXOGCOL Index</t>
  </si>
  <si>
    <t>CMXOGCOS Index</t>
  </si>
  <si>
    <t>CMXOGTLL Index</t>
  </si>
  <si>
    <t>CMXOGTLS Index</t>
  </si>
  <si>
    <t>CMXOGOIN Index</t>
  </si>
  <si>
    <t>CMXOGNRL Index</t>
  </si>
  <si>
    <t>CMXOGNRS Index</t>
  </si>
  <si>
    <t>CFCDUMML Index</t>
  </si>
  <si>
    <t>CFCDUMMS Index</t>
  </si>
  <si>
    <t>CFCDUMMD Index</t>
  </si>
  <si>
    <t>CFCDUPML Index</t>
  </si>
  <si>
    <t>CFCDUPMS Index</t>
  </si>
  <si>
    <t>CFCDUSWL Index</t>
  </si>
  <si>
    <t>CFCDUSWS Index</t>
  </si>
  <si>
    <t>CFCDUSWD Index</t>
  </si>
  <si>
    <t>CFCDUORL Index</t>
  </si>
  <si>
    <t>CFCDUORS Index</t>
  </si>
  <si>
    <t>CFCDUORD Index</t>
  </si>
  <si>
    <t>METALS - CMX SILVER</t>
  </si>
  <si>
    <t>SI1 Comdty</t>
  </si>
  <si>
    <t>CEI1SNCL Index</t>
  </si>
  <si>
    <t>CEI1SNCS Index</t>
  </si>
  <si>
    <t>CEI1SNCP Index</t>
  </si>
  <si>
    <t>CEI1SCOL Index</t>
  </si>
  <si>
    <t>CEI1SCOS Index</t>
  </si>
  <si>
    <t>CEI1STLL Index</t>
  </si>
  <si>
    <t>CEI1STLS Index</t>
  </si>
  <si>
    <t>CEI1SOIN Index</t>
  </si>
  <si>
    <t>CEI1SNRL Index</t>
  </si>
  <si>
    <t>CEI1SNRS Index</t>
  </si>
  <si>
    <t>CFFDSMML Index</t>
  </si>
  <si>
    <t>CFFDSMMS Index</t>
  </si>
  <si>
    <t>CFFDSPML Index</t>
  </si>
  <si>
    <t>CFFDSPMS Index</t>
  </si>
  <si>
    <t>CFFDSSWL Index</t>
  </si>
  <si>
    <t>CFFDSSWS Index</t>
  </si>
  <si>
    <t>CFFDSSWD Index</t>
  </si>
  <si>
    <t>CFFDSMMD Index</t>
  </si>
  <si>
    <t>CFFDSORL Index</t>
  </si>
  <si>
    <t>CFFDSORS Index</t>
  </si>
  <si>
    <t>CFFDSORD Index</t>
  </si>
  <si>
    <t>CEI1SNCN Index</t>
  </si>
  <si>
    <t>CMXOSNCL Index</t>
  </si>
  <si>
    <t>CMXOSNCS Index</t>
  </si>
  <si>
    <t>CMXOSNCP Index</t>
  </si>
  <si>
    <t>CMXOSCOL Index</t>
  </si>
  <si>
    <t>CMXOSCOS Index</t>
  </si>
  <si>
    <t>CMXOSTLL Index</t>
  </si>
  <si>
    <t>CMXOSTLS Index</t>
  </si>
  <si>
    <t>CMXOSOIN Index</t>
  </si>
  <si>
    <t>CMXOSNRL Index</t>
  </si>
  <si>
    <t>CMXOSNRS Index</t>
  </si>
  <si>
    <t>CFCDSMML Index</t>
  </si>
  <si>
    <t>CFCDSMMS Index</t>
  </si>
  <si>
    <t>CFCDSMMD Index</t>
  </si>
  <si>
    <t>CFCDSPML Index</t>
  </si>
  <si>
    <t>CFCDSPMS Index</t>
  </si>
  <si>
    <t>CFCDSSWL Index</t>
  </si>
  <si>
    <t>CFCDSSWS Index</t>
  </si>
  <si>
    <t>CFCDSSWD Index</t>
  </si>
  <si>
    <t>CFCDSORL Index</t>
  </si>
  <si>
    <t>CFCDSORS Index</t>
  </si>
  <si>
    <t>CFCDSORD Index</t>
  </si>
  <si>
    <t>METALS - CMX PLATINUM</t>
  </si>
  <si>
    <t>PL1 Comdty</t>
  </si>
  <si>
    <t>NYM3PNCL Index</t>
  </si>
  <si>
    <t>NYM3PNCS Index</t>
  </si>
  <si>
    <t>NYM3PNCP Index</t>
  </si>
  <si>
    <t>NYM3PCOL Index</t>
  </si>
  <si>
    <t>NYM3PCOS Index</t>
  </si>
  <si>
    <t>NYM3PTLL Index</t>
  </si>
  <si>
    <t>NYM3PTLS Index</t>
  </si>
  <si>
    <t>NYM3POIN Index</t>
  </si>
  <si>
    <t>NYM3PNRL Index</t>
  </si>
  <si>
    <t>NYM3PNRS Index</t>
  </si>
  <si>
    <t>DFU3OMML Index</t>
  </si>
  <si>
    <t>DFU3OMMS Index</t>
  </si>
  <si>
    <t>DFU3OPML Index</t>
  </si>
  <si>
    <t>DFU3OPMS Index</t>
  </si>
  <si>
    <t>DFU3OSWL Index</t>
  </si>
  <si>
    <t>DFU3OSWS Index</t>
  </si>
  <si>
    <t>DFU3OSWD Index</t>
  </si>
  <si>
    <t>DFU3OMMD Index</t>
  </si>
  <si>
    <t>DFU3OORL Index</t>
  </si>
  <si>
    <t>DFU3OORS Index</t>
  </si>
  <si>
    <t>DFU3OORD Index</t>
  </si>
  <si>
    <t>NYM3PNCN Index</t>
  </si>
  <si>
    <t>NYMOPNCL Index</t>
  </si>
  <si>
    <t>NYMOPNCS Index</t>
  </si>
  <si>
    <t>NYMOPNCP Index</t>
  </si>
  <si>
    <t>NYMOPCOL Index</t>
  </si>
  <si>
    <t>NYMOPCOS Index</t>
  </si>
  <si>
    <t>NYMOPTLL Index</t>
  </si>
  <si>
    <t>NYMOPTLS Index</t>
  </si>
  <si>
    <t>NYMOPOIN Index</t>
  </si>
  <si>
    <t>NYMOPNRL Index</t>
  </si>
  <si>
    <t>NYMOPNRS Index</t>
  </si>
  <si>
    <t>DCO3OMML Index</t>
  </si>
  <si>
    <t>DCO3OMMS Index</t>
  </si>
  <si>
    <t>DCO3OMMD Index</t>
  </si>
  <si>
    <t>DCO3OPML Index</t>
  </si>
  <si>
    <t>DCO3OPMS Index</t>
  </si>
  <si>
    <t>DCO3OSWL Index</t>
  </si>
  <si>
    <t>DCO3OSWS Index</t>
  </si>
  <si>
    <t>DCO3OSWD Index</t>
  </si>
  <si>
    <t>DCO3OORL Index</t>
  </si>
  <si>
    <t>DCO3OORS Index</t>
  </si>
  <si>
    <t>DCO3OORD Index</t>
  </si>
  <si>
    <t>METALS - CMX PALLADIUM</t>
  </si>
  <si>
    <t>PA1 Comdty</t>
  </si>
  <si>
    <t>NYM2PNCL Index</t>
  </si>
  <si>
    <t>NYM2PNCS Index</t>
  </si>
  <si>
    <t>NYM2PNCP Index</t>
  </si>
  <si>
    <t>NYM2PCOL Index</t>
  </si>
  <si>
    <t>NYM2PCOS Index</t>
  </si>
  <si>
    <t>NYM2PTLL Index</t>
  </si>
  <si>
    <t>NYM2PTLS Index</t>
  </si>
  <si>
    <t>NYM2POIN Index</t>
  </si>
  <si>
    <t>NYM2PNRL Index</t>
  </si>
  <si>
    <t>NYM2PNRS Index</t>
  </si>
  <si>
    <t>DFU3NMML Index</t>
  </si>
  <si>
    <t>DFU3NMMS Index</t>
  </si>
  <si>
    <t>DFU3NPML Index</t>
  </si>
  <si>
    <t>DFU3NPMS Index</t>
  </si>
  <si>
    <t>DFU3NSWL Index</t>
  </si>
  <si>
    <t>DFU3NSWS Index</t>
  </si>
  <si>
    <t>DFU3NSWD Index</t>
  </si>
  <si>
    <t>DFU3NMMD Index</t>
  </si>
  <si>
    <t>DFU3NORL Index</t>
  </si>
  <si>
    <t>DFU3NORS Index</t>
  </si>
  <si>
    <t>DFU3NORD Index</t>
  </si>
  <si>
    <t>NYM2PNCN Index</t>
  </si>
  <si>
    <t>NYMOANCL Index</t>
  </si>
  <si>
    <t>NYMOANCS Index</t>
  </si>
  <si>
    <t>NYMOANCP Index</t>
  </si>
  <si>
    <t>NYMOACOL Index</t>
  </si>
  <si>
    <t>NYMOACOS Index</t>
  </si>
  <si>
    <t>NYMOATLL Index</t>
  </si>
  <si>
    <t>NYMOATLS Index</t>
  </si>
  <si>
    <t>NYMOAOIN Index</t>
  </si>
  <si>
    <t>NYMOANRL Index</t>
  </si>
  <si>
    <t>NYMOANRS Index</t>
  </si>
  <si>
    <t>DCO3NMML Index</t>
  </si>
  <si>
    <t>DCO3NMMS Index</t>
  </si>
  <si>
    <t>DCO3NMMD Index</t>
  </si>
  <si>
    <t>DCO3NPML Index</t>
  </si>
  <si>
    <t>DCO3NPMS Index</t>
  </si>
  <si>
    <t>DCO3NSWL Index</t>
  </si>
  <si>
    <t>DCO3NSWS Index</t>
  </si>
  <si>
    <t>DCO3NSWD Index</t>
  </si>
  <si>
    <t>DCO3NORL Index</t>
  </si>
  <si>
    <t>DCO3NORS Index</t>
  </si>
  <si>
    <t>DCO3NORD Index</t>
  </si>
  <si>
    <t>METALS - CMX  COPPER</t>
  </si>
  <si>
    <t>HG1 Comdty</t>
  </si>
  <si>
    <t>CEI1CNCL Index</t>
  </si>
  <si>
    <t>CEI1CNCS Index</t>
  </si>
  <si>
    <t>CEI1CNCP Index</t>
  </si>
  <si>
    <t>CEI1CCOL Index</t>
  </si>
  <si>
    <t>CEI1CCOS Index</t>
  </si>
  <si>
    <t>CEI1CTLL Index</t>
  </si>
  <si>
    <t>CEI1CTLS Index</t>
  </si>
  <si>
    <t>CEI1COIN Index</t>
  </si>
  <si>
    <t>CEI1CNRL Index</t>
  </si>
  <si>
    <t>CEI1CNRS Index</t>
  </si>
  <si>
    <t>CFFDTMML Index</t>
  </si>
  <si>
    <t>CFFDTMMS Index</t>
  </si>
  <si>
    <t>CFFDTPML Index</t>
  </si>
  <si>
    <t>CFFDTPMS Index</t>
  </si>
  <si>
    <t>CFFDTSWL Index</t>
  </si>
  <si>
    <t>CFFDTSWS Index</t>
  </si>
  <si>
    <t>CFFDTSWD Index</t>
  </si>
  <si>
    <t>CFFDTMMD Index</t>
  </si>
  <si>
    <t>CFFDTORL Index</t>
  </si>
  <si>
    <t>CFFDTORS Index</t>
  </si>
  <si>
    <t>CFFDTORD Index</t>
  </si>
  <si>
    <t>CEI1CNCN Index</t>
  </si>
  <si>
    <t>CMXOCNCL Index</t>
  </si>
  <si>
    <t>CMXOCNCS Index</t>
  </si>
  <si>
    <t>CMXOCNCP Index</t>
  </si>
  <si>
    <t>CMXOCCOL Index</t>
  </si>
  <si>
    <t>CMXOCCOS Index</t>
  </si>
  <si>
    <t>CMXOCTLL Index</t>
  </si>
  <si>
    <t>CMXOCTLS Index</t>
  </si>
  <si>
    <t>CMXOCOIN Index</t>
  </si>
  <si>
    <t>CMXOCNRL Index</t>
  </si>
  <si>
    <t>CMXOCNRS Index</t>
  </si>
  <si>
    <t>CFCDTMML Index</t>
  </si>
  <si>
    <t>CFCDTMMS Index</t>
  </si>
  <si>
    <t>CFCDTMMD Index</t>
  </si>
  <si>
    <t>CFCDTPML Index</t>
  </si>
  <si>
    <t>CFCDTPMS Index</t>
  </si>
  <si>
    <t>CFCDTSWL Index</t>
  </si>
  <si>
    <t>CFCDTSWS Index</t>
  </si>
  <si>
    <t>CFCDTSWD Index</t>
  </si>
  <si>
    <t>CFCDTORL Index</t>
  </si>
  <si>
    <t>CFCDTORS Index</t>
  </si>
  <si>
    <t>CFCDTORD Index</t>
  </si>
  <si>
    <t>SOFTS - ICE COTTON N2</t>
  </si>
  <si>
    <t>CT1 Comdty</t>
  </si>
  <si>
    <t>NYC1CNCL Index</t>
  </si>
  <si>
    <t>NYC1CNCS Index</t>
  </si>
  <si>
    <t>NYC1CNCP Index</t>
  </si>
  <si>
    <t>NYC1CCOL Index</t>
  </si>
  <si>
    <t>NYC1CCOS Index</t>
  </si>
  <si>
    <t>NYC1CTLL Index</t>
  </si>
  <si>
    <t>NYC1CTLS Index</t>
  </si>
  <si>
    <t>NYC1COIN Index</t>
  </si>
  <si>
    <t>NYC1CNRL Index</t>
  </si>
  <si>
    <t>NYC1CNRS Index</t>
  </si>
  <si>
    <t>CFFDJMML Index</t>
  </si>
  <si>
    <t>CFFDJMMS Index</t>
  </si>
  <si>
    <t>CFFDJPML Index</t>
  </si>
  <si>
    <t>CFFDJPMS Index</t>
  </si>
  <si>
    <t>CFFDJSWL Index</t>
  </si>
  <si>
    <t>CFFDJSWS Index</t>
  </si>
  <si>
    <t>CFFDJSWD Index</t>
  </si>
  <si>
    <t>CFFDJMMD Index</t>
  </si>
  <si>
    <t>CFFDJORL Index</t>
  </si>
  <si>
    <t>CFFDJORS Index</t>
  </si>
  <si>
    <t>CFFDJORD Index</t>
  </si>
  <si>
    <t>NYC1CNCN Index</t>
  </si>
  <si>
    <t>NYCOCCIL Index</t>
  </si>
  <si>
    <t>NYCOCCIS Index</t>
  </si>
  <si>
    <t>NYCOCNCL Index</t>
  </si>
  <si>
    <t>NYCOCNCS Index</t>
  </si>
  <si>
    <t>NYCOCNCP Index</t>
  </si>
  <si>
    <t>NYCOCCOL Index</t>
  </si>
  <si>
    <t>NYCOCCOS Index</t>
  </si>
  <si>
    <t>NYCOCTLL Index</t>
  </si>
  <si>
    <t>NYCOCTLS Index</t>
  </si>
  <si>
    <t>NYCOCOIN Index</t>
  </si>
  <si>
    <t>NYCOCNRL Index</t>
  </si>
  <si>
    <t>NYCOCNRS Index</t>
  </si>
  <si>
    <t>CFCDJMML Index</t>
  </si>
  <si>
    <t>CFCDJMMS Index</t>
  </si>
  <si>
    <t>CFCDJMMD Index</t>
  </si>
  <si>
    <t>CFCDJPML Index</t>
  </si>
  <si>
    <t>CFCDJPMS Index</t>
  </si>
  <si>
    <t>CFCDJSWL Index</t>
  </si>
  <si>
    <t>CFCDJSWS Index</t>
  </si>
  <si>
    <t>CFCDJSWD Index</t>
  </si>
  <si>
    <t>CFCDJORL Index</t>
  </si>
  <si>
    <t>CFCDJORS Index</t>
  </si>
  <si>
    <t>CFCDJORD Index</t>
  </si>
  <si>
    <t>NYCOCNCN Index</t>
  </si>
  <si>
    <t>NYCOCCON Index</t>
  </si>
  <si>
    <t>NYCOCNRN Index</t>
  </si>
  <si>
    <t>SOFTS - ICE COFFEE C</t>
  </si>
  <si>
    <t>KC1 Comdty</t>
  </si>
  <si>
    <t>CSC1FNCL Index</t>
  </si>
  <si>
    <t>CSC1FNCS Index</t>
  </si>
  <si>
    <t>CSC1FNCP Index</t>
  </si>
  <si>
    <t>CSC1FCOL Index</t>
  </si>
  <si>
    <t>CSC1FCOS Index</t>
  </si>
  <si>
    <t>CSC1FTLL Index</t>
  </si>
  <si>
    <t>CSC1FTLS Index</t>
  </si>
  <si>
    <t>CSC1FOIN Index</t>
  </si>
  <si>
    <t>CSC1FNRL Index</t>
  </si>
  <si>
    <t>CSC1FNRS Index</t>
  </si>
  <si>
    <t>CFFDMMML Index</t>
  </si>
  <si>
    <t>CFFDMMMS Index</t>
  </si>
  <si>
    <t>CFFDMPML Index</t>
  </si>
  <si>
    <t>CFFDMPMS Index</t>
  </si>
  <si>
    <t>CFFDMSWL Index</t>
  </si>
  <si>
    <t>CFFDMSWS Index</t>
  </si>
  <si>
    <t>CFFDMSWD Index</t>
  </si>
  <si>
    <t>CFFDMMMD Index</t>
  </si>
  <si>
    <t>CFFDMORL Index</t>
  </si>
  <si>
    <t>CFFDMORS Index</t>
  </si>
  <si>
    <t>CFFDMORD Index</t>
  </si>
  <si>
    <t>CSC1FNCN Index</t>
  </si>
  <si>
    <t>CSCOFCIL Index</t>
  </si>
  <si>
    <t>CSCOFCIS Index</t>
  </si>
  <si>
    <t>CSCOFNCL Index</t>
  </si>
  <si>
    <t>CSCOFNCS Index</t>
  </si>
  <si>
    <t>CSCOFNCP Index</t>
  </si>
  <si>
    <t>CSCOFCOL Index</t>
  </si>
  <si>
    <t>CSCOFCOS Index</t>
  </si>
  <si>
    <t>CSCOFTLL Index</t>
  </si>
  <si>
    <t>CSCOFTLS Index</t>
  </si>
  <si>
    <t>CSCOFOIN Index</t>
  </si>
  <si>
    <t>CSCOFNRL Index</t>
  </si>
  <si>
    <t>CSCOFNRS Index</t>
  </si>
  <si>
    <t>CFCDMMML Index</t>
  </si>
  <si>
    <t>CFCDMMMS Index</t>
  </si>
  <si>
    <t>CFCDMMMD Index</t>
  </si>
  <si>
    <t>CFCDMPML Index</t>
  </si>
  <si>
    <t>CFCDMPMS Index</t>
  </si>
  <si>
    <t>CFCDMSWL Index</t>
  </si>
  <si>
    <t>CFCDMSWS Index</t>
  </si>
  <si>
    <t>CFCDMSWD Index</t>
  </si>
  <si>
    <t>CFCDMORL Index</t>
  </si>
  <si>
    <t>CFCDMORS Index</t>
  </si>
  <si>
    <t>CFCDMORD Index</t>
  </si>
  <si>
    <t>CSCOFNCN Index</t>
  </si>
  <si>
    <t>CSCOFCON Index</t>
  </si>
  <si>
    <t>CSCOFNRN Index</t>
  </si>
  <si>
    <t>SOFTS - ICE SUGAR N11</t>
  </si>
  <si>
    <t>SB1 Comdty</t>
  </si>
  <si>
    <t>CSC1SNCL Index</t>
  </si>
  <si>
    <t>CSC1SNCS Index</t>
  </si>
  <si>
    <t>CSC1SNCP Index</t>
  </si>
  <si>
    <t>CSC1SCOL Index</t>
  </si>
  <si>
    <t>CSC1SCOS Index</t>
  </si>
  <si>
    <t>NYM1ETLL Index</t>
  </si>
  <si>
    <t>NYM1ETLS Index</t>
  </si>
  <si>
    <t>CSC1SOIN Index</t>
  </si>
  <si>
    <t>CSC1SNRL Index</t>
  </si>
  <si>
    <t>CSC1SNRS Index</t>
  </si>
  <si>
    <t>CFFDLMML Index</t>
  </si>
  <si>
    <t>CFFDLMMS Index</t>
  </si>
  <si>
    <t>CFFDLPML Index</t>
  </si>
  <si>
    <t>CFFDLPMS Index</t>
  </si>
  <si>
    <t>CFFDLSWL Index</t>
  </si>
  <si>
    <t>CFFDLSWS Index</t>
  </si>
  <si>
    <t>CFFDLSWD Index</t>
  </si>
  <si>
    <t>CFFDLMMD Index</t>
  </si>
  <si>
    <t>CFFDLORL Index</t>
  </si>
  <si>
    <t>CFFDLORS Index</t>
  </si>
  <si>
    <t>CFFDLORD Index</t>
  </si>
  <si>
    <t>CSC1SNCN Index</t>
  </si>
  <si>
    <t>CSCOSCIL Index</t>
  </si>
  <si>
    <t>CSCOSCIS Index</t>
  </si>
  <si>
    <t>CSCOSNCL Index</t>
  </si>
  <si>
    <t>CSCOSNCS Index</t>
  </si>
  <si>
    <t>CSCOSNCP Index</t>
  </si>
  <si>
    <t>CSCOSCOL Index</t>
  </si>
  <si>
    <t>CSCOSCOS Index</t>
  </si>
  <si>
    <t>CSCOSTLL Index</t>
  </si>
  <si>
    <t>CSCOSTLS Index</t>
  </si>
  <si>
    <t>CSCOSOIN Index</t>
  </si>
  <si>
    <t>CSCOSNRL Index</t>
  </si>
  <si>
    <t>CSCOSNRS Index</t>
  </si>
  <si>
    <t>CFCDLMML Index</t>
  </si>
  <si>
    <t>CFCDLMMS Index</t>
  </si>
  <si>
    <t>CFCDLMMD Index</t>
  </si>
  <si>
    <t>CFCDLPML Index</t>
  </si>
  <si>
    <t>CFCDLPMS Index</t>
  </si>
  <si>
    <t>CFCDLSWL Index</t>
  </si>
  <si>
    <t>CFCDLSWS Index</t>
  </si>
  <si>
    <t>CFCDLSWD Index</t>
  </si>
  <si>
    <t>CFCDLORL Index</t>
  </si>
  <si>
    <t>CFCDLORS Index</t>
  </si>
  <si>
    <t>CFCDLORD Index</t>
  </si>
  <si>
    <t>CSCOSNCN Index</t>
  </si>
  <si>
    <t>CSCOSCON Index</t>
  </si>
  <si>
    <t>CSCOSNRN Index</t>
  </si>
  <si>
    <t>SOFTS - ICE FROZEN ORANGE JUICE</t>
  </si>
  <si>
    <t>JO1 Comdty</t>
  </si>
  <si>
    <t>CAN1ONCL Index</t>
  </si>
  <si>
    <t>CAN1ONCS Index</t>
  </si>
  <si>
    <t>CAN1ONCP Index</t>
  </si>
  <si>
    <t>CAN1OCOL Index</t>
  </si>
  <si>
    <t>CAN1OCOS Index</t>
  </si>
  <si>
    <t>CAN1OTLL Index</t>
  </si>
  <si>
    <t>CAN1OTLS Index</t>
  </si>
  <si>
    <t>CAN1OOIN Index</t>
  </si>
  <si>
    <t>CAN1ONRL Index</t>
  </si>
  <si>
    <t>CAN1ONRS Index</t>
  </si>
  <si>
    <t>DFU2IMML Index</t>
  </si>
  <si>
    <t>DFU2IMMS Index</t>
  </si>
  <si>
    <t>DFU2IPML Index</t>
  </si>
  <si>
    <t>DFU2IPMS Index</t>
  </si>
  <si>
    <t>DFU2ISWL Index</t>
  </si>
  <si>
    <t>DFU2ISWS Index</t>
  </si>
  <si>
    <t>DFU2ISWD Index</t>
  </si>
  <si>
    <t>DFU2IMMD Index</t>
  </si>
  <si>
    <t>DFU2IORL Index</t>
  </si>
  <si>
    <t>DFU2IORS Index</t>
  </si>
  <si>
    <t>DFU2IORD Index</t>
  </si>
  <si>
    <t>CAN1ONCN Index</t>
  </si>
  <si>
    <t>NYCOONCL Index</t>
  </si>
  <si>
    <t>NYCOONCS Index</t>
  </si>
  <si>
    <t>NYCOONCP Index</t>
  </si>
  <si>
    <t>NYCOOCOL Index</t>
  </si>
  <si>
    <t>NYCOOCOS Index</t>
  </si>
  <si>
    <t>NYCOOTLL Index</t>
  </si>
  <si>
    <t>NYCOOTLS Index</t>
  </si>
  <si>
    <t>NYCOOOIN Index</t>
  </si>
  <si>
    <t>NYCOONRL Index</t>
  </si>
  <si>
    <t>NYCOONRS Index</t>
  </si>
  <si>
    <t>DCO2IMML Index</t>
  </si>
  <si>
    <t>DCO2IMMS Index</t>
  </si>
  <si>
    <t>DCO2IMMD Index</t>
  </si>
  <si>
    <t>DCO2IPML Index</t>
  </si>
  <si>
    <t>DCO2IPMS Index</t>
  </si>
  <si>
    <t>DCO2ISWL Index</t>
  </si>
  <si>
    <t>DCO2ISWS Index</t>
  </si>
  <si>
    <t>DCO2ISWD Index</t>
  </si>
  <si>
    <t>DCO2IORL Index</t>
  </si>
  <si>
    <t>DCO2IORS Index</t>
  </si>
  <si>
    <t>DCO2IORD Index</t>
  </si>
  <si>
    <t>SOFTS - ICE COCOA</t>
  </si>
  <si>
    <t>CC1 Comdty</t>
  </si>
  <si>
    <t>CSC1CNCL Index</t>
  </si>
  <si>
    <t>CSC1CNCS Index</t>
  </si>
  <si>
    <t>CSC1CNCP Index</t>
  </si>
  <si>
    <t>CSC1CCOL Index</t>
  </si>
  <si>
    <t>CSC1CCOS Index</t>
  </si>
  <si>
    <t>CSC1CTLL Index</t>
  </si>
  <si>
    <t>CSC1CTLS Index</t>
  </si>
  <si>
    <t>CSC1COIN Index</t>
  </si>
  <si>
    <t>CSC1CNRL Index</t>
  </si>
  <si>
    <t>CSC1CNRS Index</t>
  </si>
  <si>
    <t>CFFDKMML Index</t>
  </si>
  <si>
    <t>CFFDKMMS Index</t>
  </si>
  <si>
    <t>CFFDKPML Index</t>
  </si>
  <si>
    <t>CFFDKPMS Index</t>
  </si>
  <si>
    <t>CFFDKSWL Index</t>
  </si>
  <si>
    <t>CFFDKSWS Index</t>
  </si>
  <si>
    <t>CFFDKSWD Index</t>
  </si>
  <si>
    <t>CFFDKMMD Index</t>
  </si>
  <si>
    <t>CFFDKORL Index</t>
  </si>
  <si>
    <t>CFFDKORS Index</t>
  </si>
  <si>
    <t>CFFDKORD Index</t>
  </si>
  <si>
    <t>CSC1CNCN Index</t>
  </si>
  <si>
    <t>CSCOCCIL Index</t>
  </si>
  <si>
    <t>CSCOCCIS Index</t>
  </si>
  <si>
    <t>CSCOCNCL Index</t>
  </si>
  <si>
    <t>CSCOCNCS Index</t>
  </si>
  <si>
    <t>CSCOCNCP Index</t>
  </si>
  <si>
    <t>CSCOCCOL Index</t>
  </si>
  <si>
    <t>CSCOCCOS Index</t>
  </si>
  <si>
    <t>CSCOCTLL Index</t>
  </si>
  <si>
    <t>CSCOCTLS Index</t>
  </si>
  <si>
    <t>CSCOCOIN Index</t>
  </si>
  <si>
    <t>CSCOCNRL Index</t>
  </si>
  <si>
    <t>CSCOCNRS Index</t>
  </si>
  <si>
    <t>CFCDKMML Index</t>
  </si>
  <si>
    <t>CFCDKMMS Index</t>
  </si>
  <si>
    <t>CFCDKMMD Index</t>
  </si>
  <si>
    <t>CFCDKPML Index</t>
  </si>
  <si>
    <t>CFCDKPMS Index</t>
  </si>
  <si>
    <t>CFCDKSWL Index</t>
  </si>
  <si>
    <t>CFCDKSWS Index</t>
  </si>
  <si>
    <t>CFCDKSWD Index</t>
  </si>
  <si>
    <t>CFCDKORL Index</t>
  </si>
  <si>
    <t>CFCDKORS Index</t>
  </si>
  <si>
    <t>CFCDKORD Index</t>
  </si>
  <si>
    <t>CSCOCNCN Index</t>
  </si>
  <si>
    <t>CSCOCCON Index</t>
  </si>
  <si>
    <t>CSCOCNRN Index</t>
  </si>
  <si>
    <t>SOFTS - NYSE LIFFE COCOA</t>
  </si>
  <si>
    <t>QC1 COMDTY</t>
  </si>
  <si>
    <t>LIFFAOIN Index</t>
  </si>
  <si>
    <t>LIFFANRL Index</t>
  </si>
  <si>
    <t>LIFFANRS Index</t>
  </si>
  <si>
    <t>DLIFAMML Index</t>
  </si>
  <si>
    <t>DLIFAMMS Index</t>
  </si>
  <si>
    <t>DLIFAPML Index</t>
  </si>
  <si>
    <t>DLIFAPMS Index</t>
  </si>
  <si>
    <t>DLIFASWL Index</t>
  </si>
  <si>
    <t>DLIFASWS Index</t>
  </si>
  <si>
    <t>DLIFASWD Index</t>
  </si>
  <si>
    <t>DLIFAMMD Index</t>
  </si>
  <si>
    <t>DLIFAORL Index</t>
  </si>
  <si>
    <t>DLIFAORS Index</t>
  </si>
  <si>
    <t>DLIFAORD Index</t>
  </si>
  <si>
    <t>LIFCAOIN Index</t>
  </si>
  <si>
    <t>LIFCANRL Index</t>
  </si>
  <si>
    <t>LIFCANRS Index</t>
  </si>
  <si>
    <t>DLICAMML Index</t>
  </si>
  <si>
    <t>DLICAMMS Index</t>
  </si>
  <si>
    <t>DLICAMMD Index</t>
  </si>
  <si>
    <t>DLICAPML Index</t>
  </si>
  <si>
    <t>DLICAPMS Index</t>
  </si>
  <si>
    <t>DLICASWL Index</t>
  </si>
  <si>
    <t>DLICASWS Index</t>
  </si>
  <si>
    <t>DLICASWD Index</t>
  </si>
  <si>
    <t>DLICAORL Index</t>
  </si>
  <si>
    <t>DLICAORS Index</t>
  </si>
  <si>
    <t>DLICAORD Index</t>
  </si>
  <si>
    <t>SOFTS - NYSE LIFFE ROBUSTA COFFE</t>
  </si>
  <si>
    <t>DF1 COMDTY</t>
  </si>
  <si>
    <t>LIFFBOIN Index</t>
  </si>
  <si>
    <t>LIFFBNRL Index</t>
  </si>
  <si>
    <t>LIFFBNRS Index</t>
  </si>
  <si>
    <t>DLIFBMML Index</t>
  </si>
  <si>
    <t>DLIFBMMS Index</t>
  </si>
  <si>
    <t>DLIFBPML Index</t>
  </si>
  <si>
    <t>DLIFBPMS Index</t>
  </si>
  <si>
    <t>DLIFBSWL Index</t>
  </si>
  <si>
    <t>DLIFBSWS Index</t>
  </si>
  <si>
    <t>DLIFBSWD Index</t>
  </si>
  <si>
    <t>DLIFBMMD Index</t>
  </si>
  <si>
    <t>DLIFBORL Index</t>
  </si>
  <si>
    <t>DLIFBORS Index</t>
  </si>
  <si>
    <t>DLIFBORD Index</t>
  </si>
  <si>
    <t>LIFCBOIN Index</t>
  </si>
  <si>
    <t>LIFCBNRL Index</t>
  </si>
  <si>
    <t>LIFCBNRS Index</t>
  </si>
  <si>
    <t>DLICBMML Index</t>
  </si>
  <si>
    <t>DLICBMMS Index</t>
  </si>
  <si>
    <t>DLICBMMD Index</t>
  </si>
  <si>
    <t>DLICBPML Index</t>
  </si>
  <si>
    <t>DLICBPMS Index</t>
  </si>
  <si>
    <t>DLICBSWL Index</t>
  </si>
  <si>
    <t>DLICBSWS Index</t>
  </si>
  <si>
    <t>DLICBSWD Index</t>
  </si>
  <si>
    <t>DLICBORL Index</t>
  </si>
  <si>
    <t>DLICBORS Index</t>
  </si>
  <si>
    <t>DLICBORD Index</t>
  </si>
  <si>
    <t>FX - CME  BRITISH POUND STERLING</t>
  </si>
  <si>
    <t>BP1 CURNCY</t>
  </si>
  <si>
    <t>IMM5PNCL Index</t>
  </si>
  <si>
    <t>IMM5PNCS Index</t>
  </si>
  <si>
    <t>IMM5PNCP Index</t>
  </si>
  <si>
    <t>IMM5PCOL Index</t>
  </si>
  <si>
    <t>IMM5PCOS Index</t>
  </si>
  <si>
    <t>IMM5PTLL Index</t>
  </si>
  <si>
    <t>IMM5PTLS Index</t>
  </si>
  <si>
    <t>IMM5POIN Index</t>
  </si>
  <si>
    <t>IMM5PNRL Index</t>
  </si>
  <si>
    <t>IMM5PNRS Index</t>
  </si>
  <si>
    <t>IMM5PNCN Index</t>
  </si>
  <si>
    <t>IMMOPNCL Index</t>
  </si>
  <si>
    <t>IMMOPNCS Index</t>
  </si>
  <si>
    <t>IMMOPNCP Index</t>
  </si>
  <si>
    <t>IMMOPCOL Index</t>
  </si>
  <si>
    <t>IMMOPCOS Index</t>
  </si>
  <si>
    <t>IMMOPTLL Index</t>
  </si>
  <si>
    <t>IMMOPTLS Index</t>
  </si>
  <si>
    <t>IMMOPOIN Index</t>
  </si>
  <si>
    <t>IMMOPNRL Index</t>
  </si>
  <si>
    <t>IMMOPNRS Index</t>
  </si>
  <si>
    <t xml:space="preserve">FX - CME EURO </t>
  </si>
  <si>
    <t>EC1 CURNCY</t>
  </si>
  <si>
    <t>IMMBENCL Index</t>
  </si>
  <si>
    <t>IMMBENCS Index</t>
  </si>
  <si>
    <t>IMMBENCP Index</t>
  </si>
  <si>
    <t>IMMBECOL Index</t>
  </si>
  <si>
    <t>IMMBECOS Index</t>
  </si>
  <si>
    <t>IMMBETLL Index</t>
  </si>
  <si>
    <t>IMMBETLS Index</t>
  </si>
  <si>
    <t>IMMBEOIN Index</t>
  </si>
  <si>
    <t>IMMBENRL Index</t>
  </si>
  <si>
    <t>IMMBENRS Index</t>
  </si>
  <si>
    <t>IMMBENCN Index</t>
  </si>
  <si>
    <t>IMMPFNCL Index</t>
  </si>
  <si>
    <t>IMMPFNCS Index</t>
  </si>
  <si>
    <t>IMMPFNCP Index</t>
  </si>
  <si>
    <t>IMMPFCOL Index</t>
  </si>
  <si>
    <t>IMMPFCOS Index</t>
  </si>
  <si>
    <t>IMMPFTLL Index</t>
  </si>
  <si>
    <t>IMMPFTLS Index</t>
  </si>
  <si>
    <t>IMMPFOIN Index</t>
  </si>
  <si>
    <t>IMMPFNRL Index</t>
  </si>
  <si>
    <t>IMMPFNRS Index</t>
  </si>
  <si>
    <t>FX -CME CANADIAN DOLLAR</t>
  </si>
  <si>
    <t>CD1 CURNCY</t>
  </si>
  <si>
    <t>IMM3CNCL Index</t>
  </si>
  <si>
    <t>IMM3CNCS Index</t>
  </si>
  <si>
    <t>IMM3CNCP Index</t>
  </si>
  <si>
    <t>IMM3CCOL Index</t>
  </si>
  <si>
    <t>IMM3CCOS Index</t>
  </si>
  <si>
    <t>IMM3CTLL Index</t>
  </si>
  <si>
    <t>IMM3CTLS Index</t>
  </si>
  <si>
    <t>IMM3COIN Index</t>
  </si>
  <si>
    <t>IMM3CNRL Index</t>
  </si>
  <si>
    <t>IMM3CNRS Index</t>
  </si>
  <si>
    <t>IMM3CNCN Index</t>
  </si>
  <si>
    <t>IMMOCNCL Index</t>
  </si>
  <si>
    <t>IMMOCNCS Index</t>
  </si>
  <si>
    <t>IMMOCNCP Index</t>
  </si>
  <si>
    <t>IMMOCCOL Index</t>
  </si>
  <si>
    <t>IMMOCCOS Index</t>
  </si>
  <si>
    <t>IMMOCTLL Index</t>
  </si>
  <si>
    <t>IMMOCTLS Index</t>
  </si>
  <si>
    <t>IMMOCOIN Index</t>
  </si>
  <si>
    <t>IMMOCNRL Index</t>
  </si>
  <si>
    <t>IMMOCNRS Index</t>
  </si>
  <si>
    <t>FX - CME MEXICAN PESO</t>
  </si>
  <si>
    <t>PE1 CURNCY</t>
  </si>
  <si>
    <t>IMM6MNCL Index</t>
  </si>
  <si>
    <t>IMM6MNCS Index</t>
  </si>
  <si>
    <t>IMM6MNCP Index</t>
  </si>
  <si>
    <t>IMM6MCOL Index</t>
  </si>
  <si>
    <t>IMM6MCOS Index</t>
  </si>
  <si>
    <t>IMM6MTLL Index</t>
  </si>
  <si>
    <t>IMM6MTLS Index</t>
  </si>
  <si>
    <t>IMM6MOIN Index</t>
  </si>
  <si>
    <t>IMM6MNRL Index</t>
  </si>
  <si>
    <t>IMM6MNRS Index</t>
  </si>
  <si>
    <t>IMM6MNCN Index</t>
  </si>
  <si>
    <t>IMMPMNCL Index</t>
  </si>
  <si>
    <t>IMMPMNCS Index</t>
  </si>
  <si>
    <t>IMMPMNCP Index</t>
  </si>
  <si>
    <t>IMMPMCOL Index</t>
  </si>
  <si>
    <t>IMMPMCOS Index</t>
  </si>
  <si>
    <t>IMMPMTLL Index</t>
  </si>
  <si>
    <t>IMMPMTLS Index</t>
  </si>
  <si>
    <t>IMMPMOIN Index</t>
  </si>
  <si>
    <t>IMMPMNRL Index</t>
  </si>
  <si>
    <t>IMMPMNRS Index</t>
  </si>
  <si>
    <t>FX - CME AUSTRALIAN DOLLAR</t>
  </si>
  <si>
    <t>AD1 CURNCY</t>
  </si>
  <si>
    <t>IMM6ANCL Index</t>
  </si>
  <si>
    <t>IMM6ANCS Index</t>
  </si>
  <si>
    <t>IMM6ANCP Index</t>
  </si>
  <si>
    <t>IMM6ACOL Index</t>
  </si>
  <si>
    <t>IMM6ACOS Index</t>
  </si>
  <si>
    <t>IMM6ATLL Index</t>
  </si>
  <si>
    <t>IMM6ATLS Index</t>
  </si>
  <si>
    <t>IMM6AOIN Index</t>
  </si>
  <si>
    <t>IMM6ANRL Index</t>
  </si>
  <si>
    <t>IMM6ANRS Index</t>
  </si>
  <si>
    <t>IMM6ANCN Index</t>
  </si>
  <si>
    <t>IMMOANCL Index</t>
  </si>
  <si>
    <t>IMMOANCS Index</t>
  </si>
  <si>
    <t>IMMOANCP Index</t>
  </si>
  <si>
    <t>IMMOACOL Index</t>
  </si>
  <si>
    <t>IMMOACOS Index</t>
  </si>
  <si>
    <t>IMMOATLL Index</t>
  </si>
  <si>
    <t>IMMOATLS Index</t>
  </si>
  <si>
    <t>IMMOAOIN Index</t>
  </si>
  <si>
    <t>IMMOANRL Index</t>
  </si>
  <si>
    <t>IMMOANRS Index</t>
  </si>
  <si>
    <t>FX - CME JAPANESE YEN</t>
  </si>
  <si>
    <t>JY1 CURNCY</t>
  </si>
  <si>
    <t>IMM5JNCL Index</t>
  </si>
  <si>
    <t>IMM5JNCS Index</t>
  </si>
  <si>
    <t>IMM5JNCP Index</t>
  </si>
  <si>
    <t>IMM5JCOL Index</t>
  </si>
  <si>
    <t>IMM5JCOS Index</t>
  </si>
  <si>
    <t>IMM5JTLL Index</t>
  </si>
  <si>
    <t>IMM5JTLS Index</t>
  </si>
  <si>
    <t>IMM5JOIN Index</t>
  </si>
  <si>
    <t>IMM5JNRL Index</t>
  </si>
  <si>
    <t>IMM5JNRS Index</t>
  </si>
  <si>
    <t>IMM5JNCN Index</t>
  </si>
  <si>
    <t>IMMOJNCL Index</t>
  </si>
  <si>
    <t>IMMOJNCS Index</t>
  </si>
  <si>
    <t>IMMOJNCP Index</t>
  </si>
  <si>
    <t>IMMOJCOL Index</t>
  </si>
  <si>
    <t>IMMOJCOS Index</t>
  </si>
  <si>
    <t>IMMOJTLL Index</t>
  </si>
  <si>
    <t>IMMOJTLS Index</t>
  </si>
  <si>
    <t>IMMOJOIN Index</t>
  </si>
  <si>
    <t>IMMOJNRL Index</t>
  </si>
  <si>
    <t>IMMOJNRS Index</t>
  </si>
  <si>
    <t>FX - CME NEW ZEALAND DOLLARS</t>
  </si>
  <si>
    <t>NV1 CURNCY</t>
  </si>
  <si>
    <t>IMM6ZNCL Index</t>
  </si>
  <si>
    <t>IMM6ZNCS Index</t>
  </si>
  <si>
    <t>IMM6ZNCP Index</t>
  </si>
  <si>
    <t>IMM6ZCOL Index</t>
  </si>
  <si>
    <t>IMM6ZCOS Index</t>
  </si>
  <si>
    <t>IMM6ZTLL Index</t>
  </si>
  <si>
    <t>IMM6ZTLS Index</t>
  </si>
  <si>
    <t>IMM6ZOIN Index</t>
  </si>
  <si>
    <t>IMM6ZNRL Index</t>
  </si>
  <si>
    <t>IMM6ZNRS Index</t>
  </si>
  <si>
    <t>IMM6ZNCN Index</t>
  </si>
  <si>
    <t>IMMTZNCL Index</t>
  </si>
  <si>
    <t>IMMTZNCS Index</t>
  </si>
  <si>
    <t>IMMTZNCP Index</t>
  </si>
  <si>
    <t>IMMTZCOL Index</t>
  </si>
  <si>
    <t>IMMTZCOS Index</t>
  </si>
  <si>
    <t>IMMTZTLL Index</t>
  </si>
  <si>
    <t>IMMTZTLS Index</t>
  </si>
  <si>
    <t>IMMTZOIN Index</t>
  </si>
  <si>
    <t>IMMTZNRL Index</t>
  </si>
  <si>
    <t>IMMTZNRS Index</t>
  </si>
  <si>
    <t>FX - CME SWISS FRANC</t>
  </si>
  <si>
    <t>SF1 Curncy</t>
  </si>
  <si>
    <t>IMM4SNCL Index</t>
  </si>
  <si>
    <t>IMM4SNCS Index</t>
  </si>
  <si>
    <t>IMM4SNCP Index</t>
  </si>
  <si>
    <t>IMM4SCOL Index</t>
  </si>
  <si>
    <t>IMM4SCOS Index</t>
  </si>
  <si>
    <t>IMM4STLL Index</t>
  </si>
  <si>
    <t>IMM4STLS Index</t>
  </si>
  <si>
    <t>IMM4SOIN Index</t>
  </si>
  <si>
    <t>IMM2SNRL Index</t>
  </si>
  <si>
    <t>IMM4SNRS Index</t>
  </si>
  <si>
    <t>IMM4SNCN Index</t>
  </si>
  <si>
    <t>IMMTSNCL Index</t>
  </si>
  <si>
    <t>IMMTSNCS Index</t>
  </si>
  <si>
    <t>IMMTSNCP Index</t>
  </si>
  <si>
    <t>IMMTSCOL Index</t>
  </si>
  <si>
    <t>IMMTSCOS Index</t>
  </si>
  <si>
    <t>IMMTSTLL Index</t>
  </si>
  <si>
    <t>IMMTSTLS Index</t>
  </si>
  <si>
    <t>IMMTSOIN Index</t>
  </si>
  <si>
    <t>IMMTSNRL Index</t>
  </si>
  <si>
    <t>IMMTSNRS Index</t>
  </si>
  <si>
    <t>FX - CME BRAZILIAN REAL</t>
  </si>
  <si>
    <t>BR1 CURNCY</t>
  </si>
  <si>
    <t>IMM1VNCL Index</t>
  </si>
  <si>
    <t>IMM1VNCS Index</t>
  </si>
  <si>
    <t>IMM1VNCP Index</t>
  </si>
  <si>
    <t>IMM1VCOL Index</t>
  </si>
  <si>
    <t>IMM1VCOS Index</t>
  </si>
  <si>
    <t>IMM1VTLL Index</t>
  </si>
  <si>
    <t>IMM1VTLS Index</t>
  </si>
  <si>
    <t>IMM1VOIN Index</t>
  </si>
  <si>
    <t>IMM1VNRL Index</t>
  </si>
  <si>
    <t>IMM1VNRS Index</t>
  </si>
  <si>
    <t>IMM1VNCN Index</t>
  </si>
  <si>
    <t>IMMOVNCL Index</t>
  </si>
  <si>
    <t>IMMOVNCS Index</t>
  </si>
  <si>
    <t>IMMOVNCP Index</t>
  </si>
  <si>
    <t>IMMOVCOL Index</t>
  </si>
  <si>
    <t>IMMOVCOS Index</t>
  </si>
  <si>
    <t>IMMOVTLL Index</t>
  </si>
  <si>
    <t>IMMOVTLS Index</t>
  </si>
  <si>
    <t>IMMOVOIN Index</t>
  </si>
  <si>
    <t>IMMOVNRL Index</t>
  </si>
  <si>
    <t>IMMOVNRS Index</t>
  </si>
  <si>
    <t>FX - ICE US DOLLAR</t>
  </si>
  <si>
    <t>DX1 Curncy</t>
  </si>
  <si>
    <t>NYC2UNCL Index</t>
  </si>
  <si>
    <t>NYC2UNCS Index</t>
  </si>
  <si>
    <t>NYC2UNCP Index</t>
  </si>
  <si>
    <t>NYC2UCOL Index</t>
  </si>
  <si>
    <t>NYC2UCOS Index</t>
  </si>
  <si>
    <t>NYC2UTLL Index</t>
  </si>
  <si>
    <t>NYC2UTLS Index</t>
  </si>
  <si>
    <t>NYC2UOIN Index</t>
  </si>
  <si>
    <t>NYC2UNRL Index</t>
  </si>
  <si>
    <t>NYC2UNRS Index</t>
  </si>
  <si>
    <t>NYC2UNCN Index</t>
  </si>
  <si>
    <t>NYCOUNCL Index</t>
  </si>
  <si>
    <t>NYCOUNCS Index</t>
  </si>
  <si>
    <t>NYCOUNCP Index</t>
  </si>
  <si>
    <t>NYCOUCOL Index</t>
  </si>
  <si>
    <t>NYCOUCOS Index</t>
  </si>
  <si>
    <t>NYCOUTLL Index</t>
  </si>
  <si>
    <t>NYCOUTLS Index</t>
  </si>
  <si>
    <t>NYCOUOIN Index</t>
  </si>
  <si>
    <t>NYCOUNRL Index</t>
  </si>
  <si>
    <t>NYCOUNRS Index</t>
  </si>
  <si>
    <t>STOCK - CME S&amp;P 500 STOCK INDEX</t>
  </si>
  <si>
    <t>SP1 Index</t>
  </si>
  <si>
    <t>IMM2SNCL Index</t>
  </si>
  <si>
    <t>IMM2SNCS Index</t>
  </si>
  <si>
    <t>IMM2SNCP Index</t>
  </si>
  <si>
    <t>IMM2SCOL Index</t>
  </si>
  <si>
    <t>IMM2SCOS Index</t>
  </si>
  <si>
    <t>IMM2STLL Index</t>
  </si>
  <si>
    <t>IMM2STLS Index</t>
  </si>
  <si>
    <t>IMM2SOIN Index</t>
  </si>
  <si>
    <t>IMM4SNRL Index</t>
  </si>
  <si>
    <t>IMM2SNRS Index</t>
  </si>
  <si>
    <t>IMM2SNCN Index</t>
  </si>
  <si>
    <t>IMMOSNCL Index</t>
  </si>
  <si>
    <t>IMMOSNCS Index</t>
  </si>
  <si>
    <t>IMMOSNCP Index</t>
  </si>
  <si>
    <t>IMMOSCOL Index</t>
  </si>
  <si>
    <t>IMMOSCOS Index</t>
  </si>
  <si>
    <t>IMMOSTLL Index</t>
  </si>
  <si>
    <t>IMMOSTLS Index</t>
  </si>
  <si>
    <t>IMMOSOIN Index</t>
  </si>
  <si>
    <t>IMMOSNRL Index</t>
  </si>
  <si>
    <t>IMMOSNRS Index</t>
  </si>
  <si>
    <t>STOCK - CME E-MINI S&amp;P 500</t>
  </si>
  <si>
    <t>ES1 Index</t>
  </si>
  <si>
    <t>IMM0ENCL Index</t>
  </si>
  <si>
    <t>IMM0ENCS Index</t>
  </si>
  <si>
    <t>IMM0ENCP Index</t>
  </si>
  <si>
    <t>IMM0ECOL Index</t>
  </si>
  <si>
    <t>IMM0ECOS Index</t>
  </si>
  <si>
    <t>IMM0ETLL Index</t>
  </si>
  <si>
    <t>IMM0ETLS Index</t>
  </si>
  <si>
    <t>IMM0EOIN Index</t>
  </si>
  <si>
    <t>IMM0ENRL Index</t>
  </si>
  <si>
    <t>IMM0ENRS Index</t>
  </si>
  <si>
    <t>IMM0ENCN Index</t>
  </si>
  <si>
    <t>IMMTENCL Index</t>
  </si>
  <si>
    <t>IMMTENCS Index</t>
  </si>
  <si>
    <t>IMMTENCP Index</t>
  </si>
  <si>
    <t>IMMTECOL Index</t>
  </si>
  <si>
    <t>IMMTECOS Index</t>
  </si>
  <si>
    <t>IMMTETLL Index</t>
  </si>
  <si>
    <t>IMMTETLS Index</t>
  </si>
  <si>
    <t>IMMTEOIN Index</t>
  </si>
  <si>
    <t>IMMTENRL Index</t>
  </si>
  <si>
    <t>IMMTENRS Index</t>
  </si>
  <si>
    <t>STOCK - CME NASDAQ 100 Mini</t>
  </si>
  <si>
    <t>NQ1 Index</t>
  </si>
  <si>
    <t>IMM3NNCL Index</t>
  </si>
  <si>
    <t>IMM3NNCS Index</t>
  </si>
  <si>
    <t>IMM3NNCP Index</t>
  </si>
  <si>
    <t>IMM3NCOL Index</t>
  </si>
  <si>
    <t>IMM3NCOS Index</t>
  </si>
  <si>
    <t>IMM3NTLL Index</t>
  </si>
  <si>
    <t>IMM3NTLS Index</t>
  </si>
  <si>
    <t>IMM3NOIN Index</t>
  </si>
  <si>
    <t>IMM3NNRL Index</t>
  </si>
  <si>
    <t>IMM3NNRS Index</t>
  </si>
  <si>
    <t>IMM3NNCN Index</t>
  </si>
  <si>
    <t>IMMPNNCL Index</t>
  </si>
  <si>
    <t>IMMPNNCS Index</t>
  </si>
  <si>
    <t>IMMPNNCP Index</t>
  </si>
  <si>
    <t>IMMPNCOL Index</t>
  </si>
  <si>
    <t>IMMPNCOS Index</t>
  </si>
  <si>
    <t>IMMPNTLL Index</t>
  </si>
  <si>
    <t>IMMPNTLS Index</t>
  </si>
  <si>
    <t>IMMPNOIN Index</t>
  </si>
  <si>
    <t>IMMPNNRL Index</t>
  </si>
  <si>
    <t>IMMPNNRS Index</t>
  </si>
  <si>
    <t xml:space="preserve">STOCK - CBOT DJIA MINI </t>
  </si>
  <si>
    <t>DM1 Index</t>
  </si>
  <si>
    <t>CBT1DNCL Index</t>
  </si>
  <si>
    <t>CBT1DNCS Index</t>
  </si>
  <si>
    <t>CBT1DNCP Index</t>
  </si>
  <si>
    <t>CBT1DCOL Index</t>
  </si>
  <si>
    <t>CBT1DCOS Index</t>
  </si>
  <si>
    <t>CBT1DTLL Index</t>
  </si>
  <si>
    <t>CBT1DTLS Index</t>
  </si>
  <si>
    <t>CBT1DOIN Index</t>
  </si>
  <si>
    <t>CBT1DNRL Index</t>
  </si>
  <si>
    <t>CBT1DNRS Index</t>
  </si>
  <si>
    <t>CBT1DNCN Index</t>
  </si>
  <si>
    <t>CBTODNCL Index</t>
  </si>
  <si>
    <t>CBTODNCS Index</t>
  </si>
  <si>
    <t>CBTODNCP Index</t>
  </si>
  <si>
    <t>CBTODCOL Index</t>
  </si>
  <si>
    <t>CBTODCOS Index</t>
  </si>
  <si>
    <t>CBTODTLL Index</t>
  </si>
  <si>
    <t>CBTODTLS Index</t>
  </si>
  <si>
    <t>CBTODOIN Index</t>
  </si>
  <si>
    <t>CBTODNRL Index</t>
  </si>
  <si>
    <t>CBTODNRS Index</t>
  </si>
  <si>
    <t>FI - CBOT 2-YR US TREASURY NOTE</t>
  </si>
  <si>
    <t>TU1 comdty</t>
  </si>
  <si>
    <t>CBT42NCL Index</t>
  </si>
  <si>
    <t>CBT42NCS Index</t>
  </si>
  <si>
    <t>CBT42NCP Index</t>
  </si>
  <si>
    <t>CBT42COL Index</t>
  </si>
  <si>
    <t>CBT42COS Index</t>
  </si>
  <si>
    <t>CBT42TLL Index</t>
  </si>
  <si>
    <t>CBT42TLS Index</t>
  </si>
  <si>
    <t>CBT42OIN Index</t>
  </si>
  <si>
    <t>CBT42NRL Index</t>
  </si>
  <si>
    <t>CBT42NRS Index</t>
  </si>
  <si>
    <t>CBT42NCN Index</t>
  </si>
  <si>
    <t>CBTO2NCL Index</t>
  </si>
  <si>
    <t>CBTO2NCS Index</t>
  </si>
  <si>
    <t>CBTO2NCP Index</t>
  </si>
  <si>
    <t>CBTO2COL Index</t>
  </si>
  <si>
    <t>CBTO2COS Index</t>
  </si>
  <si>
    <t>CBTO2TLL Index</t>
  </si>
  <si>
    <t>CBTO2TLS Index</t>
  </si>
  <si>
    <t>CBTO2OIN Index</t>
  </si>
  <si>
    <t>CBTO2NRL Index</t>
  </si>
  <si>
    <t>CBTO2NRS Index</t>
  </si>
  <si>
    <t>FI - CBOT  5 YR US TREASURY NOTES</t>
  </si>
  <si>
    <t>FV1 Comdty</t>
  </si>
  <si>
    <t>CBT55NCL Index</t>
  </si>
  <si>
    <t>CBT55NCS Index</t>
  </si>
  <si>
    <t>CBT55NCP Index</t>
  </si>
  <si>
    <t>CBT55COL Index</t>
  </si>
  <si>
    <t>CBT55COS Index</t>
  </si>
  <si>
    <t>CBT55TLL Index</t>
  </si>
  <si>
    <t>CBT55TLS Index</t>
  </si>
  <si>
    <t>CBT55OIN Index</t>
  </si>
  <si>
    <t>CBT55NRL Index</t>
  </si>
  <si>
    <t>CBT55NRS Index</t>
  </si>
  <si>
    <t>CBT55NCN Index</t>
  </si>
  <si>
    <t>CBTP5NCL Index</t>
  </si>
  <si>
    <t>CBTP5NCS Index</t>
  </si>
  <si>
    <t>CBTP5NCP Index</t>
  </si>
  <si>
    <t>CBTP5COL Index</t>
  </si>
  <si>
    <t>CBTP5COS Index</t>
  </si>
  <si>
    <t>CBTP5TLL Index</t>
  </si>
  <si>
    <t>CBTP5TLS Index</t>
  </si>
  <si>
    <t>CBTP5OIN Index</t>
  </si>
  <si>
    <t>CBTP5NRL Index</t>
  </si>
  <si>
    <t>CBTP5NRS Index</t>
  </si>
  <si>
    <t>FI - CBOT 10 YR US TREASURY NOTES</t>
  </si>
  <si>
    <t>TY1 Comdty</t>
  </si>
  <si>
    <t>CBT4TNCL Index</t>
  </si>
  <si>
    <t>CBT4TNCS Index</t>
  </si>
  <si>
    <t>CBT4TNCP Index</t>
  </si>
  <si>
    <t>CBT4TCOL Index</t>
  </si>
  <si>
    <t>CBT4TCOS Index</t>
  </si>
  <si>
    <t>CBT4TTLL Index</t>
  </si>
  <si>
    <t>CBT4TTLS Index</t>
  </si>
  <si>
    <t>CBT4TOIN Index</t>
  </si>
  <si>
    <t>CBT4TNRL Index</t>
  </si>
  <si>
    <t>CBT4TNRS Index</t>
  </si>
  <si>
    <t>CBT4TNCN Index</t>
  </si>
  <si>
    <t>CBTPTNCL Index</t>
  </si>
  <si>
    <t>CBTPTNCS Index</t>
  </si>
  <si>
    <t>CBTPTNCP Index</t>
  </si>
  <si>
    <t>CBTPTCOL Index</t>
  </si>
  <si>
    <t>CBTPTCOS Index</t>
  </si>
  <si>
    <t>CBTPTTLL Index</t>
  </si>
  <si>
    <t>CBTPTTLS Index</t>
  </si>
  <si>
    <t>CBTPTOIN Index</t>
  </si>
  <si>
    <t>CBTPTNRL Index</t>
  </si>
  <si>
    <t>CBTPTNRS Index</t>
  </si>
  <si>
    <t>FI - CBOT 30 YR US TREASURY NOTES</t>
  </si>
  <si>
    <t>US1 Comdty</t>
  </si>
  <si>
    <t>CBT3TNCL Index</t>
  </si>
  <si>
    <t>CBT3TNCS Index</t>
  </si>
  <si>
    <t>CBT3TNCP Index</t>
  </si>
  <si>
    <t>CBT3TCOL Index</t>
  </si>
  <si>
    <t>CBT3TCOS Index</t>
  </si>
  <si>
    <t>CBT3TTLL Index</t>
  </si>
  <si>
    <t>CBT3TTLS Index</t>
  </si>
  <si>
    <t>CBT3TOIN Index</t>
  </si>
  <si>
    <t>CBT3TNRL Index</t>
  </si>
  <si>
    <t>CBT3TNRS Index</t>
  </si>
  <si>
    <t>CBT3TNCN Index</t>
  </si>
  <si>
    <t>CBTOTNCL Index</t>
  </si>
  <si>
    <t>CBTOTNCS Index</t>
  </si>
  <si>
    <t>CBTOTNCP Index</t>
  </si>
  <si>
    <t>CBTOTCOL Index</t>
  </si>
  <si>
    <t>CBTOTCOS Index</t>
  </si>
  <si>
    <t>CBTOTTLL Index</t>
  </si>
  <si>
    <t>CBTOTTLS Index</t>
  </si>
  <si>
    <t>CBTOTOIN Index</t>
  </si>
  <si>
    <t>CBTOTNRL Index</t>
  </si>
  <si>
    <t>CBTOTNRS Index</t>
  </si>
  <si>
    <t>FI - CBOT ULTRA-LONG U.S. TREASURY BONDS</t>
  </si>
  <si>
    <t>WN1 Comdty</t>
  </si>
  <si>
    <t>CBT3BNCL Index</t>
  </si>
  <si>
    <t>CBT3BNCS Index</t>
  </si>
  <si>
    <t>CBT3BNCP Index</t>
  </si>
  <si>
    <t>CBT3BCOL Index</t>
  </si>
  <si>
    <t>CBT3BCOS Index</t>
  </si>
  <si>
    <t>CBT3BTLL Index</t>
  </si>
  <si>
    <t>CBT3BTLS Index</t>
  </si>
  <si>
    <t>CBT3BOIN Index</t>
  </si>
  <si>
    <t>CBT3BNRL Index</t>
  </si>
  <si>
    <t>CBT3BNRS Index</t>
  </si>
  <si>
    <t>CBT3BNCN Index</t>
  </si>
  <si>
    <t>CBTOBNCL Index</t>
  </si>
  <si>
    <t>CBTOBNCS Index</t>
  </si>
  <si>
    <t>CBTOBNCP Index</t>
  </si>
  <si>
    <t>CBTOBCOL Index</t>
  </si>
  <si>
    <t>CBTOBCOS Index</t>
  </si>
  <si>
    <t>CBTOBTLL Index</t>
  </si>
  <si>
    <t>CBTOBTLS Index</t>
  </si>
  <si>
    <t>CBTOBOIN Index</t>
  </si>
  <si>
    <t>CBTOBNRL Index</t>
  </si>
  <si>
    <t>CBTOBNRS Index</t>
  </si>
  <si>
    <t>FI - CME 3-MONTH EURODOLLARS</t>
  </si>
  <si>
    <t>ED1 COMDTY</t>
  </si>
  <si>
    <t>IMM13NCL Index</t>
  </si>
  <si>
    <t>IMM13NCS Index</t>
  </si>
  <si>
    <t>IMM13NCP Index</t>
  </si>
  <si>
    <t>IMM13COL Index</t>
  </si>
  <si>
    <t>IMM13COS Index</t>
  </si>
  <si>
    <t>IMM13TLL Index</t>
  </si>
  <si>
    <t>IMM13TLS Index</t>
  </si>
  <si>
    <t>IMM13OIN Index</t>
  </si>
  <si>
    <t>IMM13NRL Index</t>
  </si>
  <si>
    <t>IMM13NRS Index</t>
  </si>
  <si>
    <t>IMM13NCN Index</t>
  </si>
  <si>
    <t>IMMO3NCL Index</t>
  </si>
  <si>
    <t>IMMO3NCS Index</t>
  </si>
  <si>
    <t>IMMO3NCP Index</t>
  </si>
  <si>
    <t>IMMO3COL Index</t>
  </si>
  <si>
    <t>IMMO3COS Index</t>
  </si>
  <si>
    <t>IMMO3TLL Index</t>
  </si>
  <si>
    <t>IMMO3TLS Index</t>
  </si>
  <si>
    <t>IMMO3OIN Index</t>
  </si>
  <si>
    <t>IMMO3NRL Index</t>
  </si>
  <si>
    <t>IMMO3NRS Index</t>
  </si>
  <si>
    <t>1st Contract 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</si>
</sst>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_);[Red]\(#,##0.0000\)"/>
  </numFmts>
  <fonts count="5" x14ac:knownFonts="1">
    <font>
      <sz val="11"/>
      <color theme="1"/>
      <name val="宋体"/>
      <family val="2"/>
      <scheme val="minor"/>
    </font>
    <font>
      <sz val="10"/>
      <color theme="1" tint="0.499984740745262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0"/>
      <color theme="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76" fontId="3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/>
    <xf numFmtId="176" fontId="4" fillId="0" borderId="0" xfId="0" applyNumberFormat="1" applyFont="1"/>
  </cellXfs>
  <cellStyles count="1">
    <cellStyle name="Normal" xfId="0" builtinId="0"/>
  </cellStyles>
  <dxfs count="65">
    <dxf>
      <font>
        <strike val="0"/>
        <outline val="0"/>
        <shadow val="0"/>
        <u val="none"/>
        <vertAlign val="baseline"/>
        <sz val="10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theme="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0"/>
        <name val="宋体"/>
        <scheme val="minor"/>
      </font>
      <numFmt numFmtId="176" formatCode="#,##0.0000_);[Red]\(#,##0.0000\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宋体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AppData\Local\Temp\BLOOMB~1\data\XCOT.xlsm" TargetMode="External"/><Relationship Id="rId1" Type="http://schemas.openxmlformats.org/officeDocument/2006/relationships/externalLinkPath" Target="/Users/ASUS/AppData/Local/Temp/BLOOMB~1/data/XCO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FTC"/>
      <sheetName val="Non Commercial Position"/>
      <sheetName val="Historical Analysis"/>
      <sheetName val="Change Analysis"/>
      <sheetName val="Weekly Changings"/>
      <sheetName val="Futures"/>
      <sheetName val="Tickers"/>
      <sheetName val="Help"/>
      <sheetName val="Hit trac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B7">
            <v>272</v>
          </cell>
        </row>
        <row r="8">
          <cell r="A8" t="str">
            <v>Choose a date below</v>
          </cell>
        </row>
        <row r="9">
          <cell r="A9" t="e">
            <v>#NAME?</v>
          </cell>
          <cell r="B9" t="e">
            <v>#NAME?</v>
          </cell>
          <cell r="D9" t="e">
            <v>#NAME?</v>
          </cell>
          <cell r="E9" t="e">
            <v>#NAME?</v>
          </cell>
          <cell r="G9" t="e">
            <v>#NAME?</v>
          </cell>
          <cell r="I9" t="e">
            <v>#NAME?</v>
          </cell>
          <cell r="J9" t="e">
            <v>#NAME?</v>
          </cell>
          <cell r="L9" t="e">
            <v>#NAME?</v>
          </cell>
        </row>
        <row r="10">
          <cell r="A10">
            <v>44635</v>
          </cell>
        </row>
        <row r="11">
          <cell r="A11">
            <v>44628</v>
          </cell>
        </row>
        <row r="12">
          <cell r="A12">
            <v>44621</v>
          </cell>
        </row>
        <row r="13">
          <cell r="A13">
            <v>44614</v>
          </cell>
        </row>
        <row r="14">
          <cell r="A14">
            <v>44607</v>
          </cell>
        </row>
        <row r="15">
          <cell r="A15">
            <v>44600</v>
          </cell>
        </row>
        <row r="16">
          <cell r="A16">
            <v>44593</v>
          </cell>
        </row>
        <row r="17">
          <cell r="A17">
            <v>44586</v>
          </cell>
        </row>
        <row r="18">
          <cell r="A18">
            <v>44579</v>
          </cell>
        </row>
        <row r="19">
          <cell r="A19">
            <v>44572</v>
          </cell>
        </row>
        <row r="20">
          <cell r="A20">
            <v>44565</v>
          </cell>
        </row>
        <row r="21">
          <cell r="A21">
            <v>44558</v>
          </cell>
        </row>
        <row r="22">
          <cell r="A22">
            <v>44551</v>
          </cell>
        </row>
        <row r="23">
          <cell r="A23">
            <v>44544</v>
          </cell>
        </row>
        <row r="24">
          <cell r="A24">
            <v>44537</v>
          </cell>
        </row>
        <row r="25">
          <cell r="A25">
            <v>44530</v>
          </cell>
        </row>
        <row r="26">
          <cell r="A26">
            <v>44523</v>
          </cell>
        </row>
        <row r="27">
          <cell r="A27">
            <v>44516</v>
          </cell>
        </row>
        <row r="28">
          <cell r="A28">
            <v>44509</v>
          </cell>
        </row>
        <row r="29">
          <cell r="A29">
            <v>44502</v>
          </cell>
        </row>
        <row r="30">
          <cell r="A30">
            <v>44495</v>
          </cell>
        </row>
        <row r="31">
          <cell r="A31">
            <v>44488</v>
          </cell>
        </row>
        <row r="32">
          <cell r="A32">
            <v>44481</v>
          </cell>
        </row>
        <row r="33">
          <cell r="A33">
            <v>44474</v>
          </cell>
        </row>
        <row r="34">
          <cell r="A34">
            <v>44467</v>
          </cell>
        </row>
        <row r="35">
          <cell r="A35">
            <v>44460</v>
          </cell>
        </row>
        <row r="36">
          <cell r="A36">
            <v>44453</v>
          </cell>
        </row>
        <row r="37">
          <cell r="A37">
            <v>44446</v>
          </cell>
        </row>
        <row r="38">
          <cell r="A38">
            <v>44439</v>
          </cell>
        </row>
        <row r="39">
          <cell r="A39">
            <v>44432</v>
          </cell>
        </row>
        <row r="40">
          <cell r="A40">
            <v>44425</v>
          </cell>
        </row>
        <row r="41">
          <cell r="A41">
            <v>44418</v>
          </cell>
        </row>
        <row r="42">
          <cell r="A42">
            <v>44411</v>
          </cell>
        </row>
        <row r="43">
          <cell r="A43">
            <v>44404</v>
          </cell>
        </row>
        <row r="44">
          <cell r="A44">
            <v>44397</v>
          </cell>
        </row>
        <row r="45">
          <cell r="A45">
            <v>44390</v>
          </cell>
        </row>
        <row r="46">
          <cell r="A46">
            <v>44383</v>
          </cell>
        </row>
        <row r="47">
          <cell r="A47">
            <v>44376</v>
          </cell>
        </row>
        <row r="48">
          <cell r="A48">
            <v>44369</v>
          </cell>
        </row>
        <row r="49">
          <cell r="A49">
            <v>44362</v>
          </cell>
        </row>
        <row r="50">
          <cell r="A50">
            <v>44355</v>
          </cell>
        </row>
        <row r="51">
          <cell r="A51">
            <v>44348</v>
          </cell>
        </row>
        <row r="52">
          <cell r="A52">
            <v>44341</v>
          </cell>
        </row>
        <row r="53">
          <cell r="A53">
            <v>44334</v>
          </cell>
        </row>
        <row r="54">
          <cell r="A54">
            <v>44327</v>
          </cell>
        </row>
        <row r="55">
          <cell r="A55">
            <v>44320</v>
          </cell>
        </row>
        <row r="56">
          <cell r="A56">
            <v>44313</v>
          </cell>
        </row>
        <row r="57">
          <cell r="A57">
            <v>44306</v>
          </cell>
        </row>
        <row r="58">
          <cell r="A58">
            <v>44299</v>
          </cell>
        </row>
        <row r="59">
          <cell r="A59">
            <v>44292</v>
          </cell>
        </row>
        <row r="60">
          <cell r="A60">
            <v>44285</v>
          </cell>
        </row>
        <row r="61">
          <cell r="A61">
            <v>44278</v>
          </cell>
        </row>
        <row r="62">
          <cell r="A62">
            <v>44271</v>
          </cell>
        </row>
        <row r="63">
          <cell r="A63">
            <v>44264</v>
          </cell>
        </row>
        <row r="64">
          <cell r="A64">
            <v>44257</v>
          </cell>
        </row>
        <row r="65">
          <cell r="A65">
            <v>44250</v>
          </cell>
        </row>
        <row r="66">
          <cell r="A66">
            <v>44243</v>
          </cell>
        </row>
        <row r="67">
          <cell r="A67">
            <v>44236</v>
          </cell>
        </row>
        <row r="68">
          <cell r="A68">
            <v>44229</v>
          </cell>
        </row>
        <row r="69">
          <cell r="A69">
            <v>44222</v>
          </cell>
        </row>
        <row r="70">
          <cell r="A70">
            <v>44215</v>
          </cell>
        </row>
        <row r="71">
          <cell r="A71">
            <v>44208</v>
          </cell>
        </row>
        <row r="72">
          <cell r="A72">
            <v>44201</v>
          </cell>
        </row>
        <row r="73">
          <cell r="A73">
            <v>44194</v>
          </cell>
        </row>
        <row r="74">
          <cell r="A74">
            <v>44187</v>
          </cell>
        </row>
        <row r="75">
          <cell r="A75">
            <v>44180</v>
          </cell>
        </row>
        <row r="76">
          <cell r="A76">
            <v>44173</v>
          </cell>
        </row>
        <row r="77">
          <cell r="A77">
            <v>44166</v>
          </cell>
        </row>
        <row r="78">
          <cell r="A78">
            <v>44159</v>
          </cell>
        </row>
        <row r="79">
          <cell r="A79">
            <v>44152</v>
          </cell>
        </row>
        <row r="80">
          <cell r="A80">
            <v>44145</v>
          </cell>
        </row>
        <row r="81">
          <cell r="A81">
            <v>44138</v>
          </cell>
        </row>
        <row r="82">
          <cell r="A82">
            <v>44131</v>
          </cell>
        </row>
        <row r="83">
          <cell r="A83">
            <v>44124</v>
          </cell>
        </row>
        <row r="84">
          <cell r="A84">
            <v>44117</v>
          </cell>
        </row>
        <row r="85">
          <cell r="A85">
            <v>44110</v>
          </cell>
        </row>
        <row r="86">
          <cell r="A86">
            <v>44103</v>
          </cell>
        </row>
        <row r="87">
          <cell r="A87">
            <v>44096</v>
          </cell>
        </row>
        <row r="88">
          <cell r="A88">
            <v>44089</v>
          </cell>
        </row>
        <row r="89">
          <cell r="A89">
            <v>44082</v>
          </cell>
        </row>
        <row r="90">
          <cell r="A90">
            <v>44075</v>
          </cell>
        </row>
        <row r="91">
          <cell r="A91">
            <v>44068</v>
          </cell>
        </row>
        <row r="92">
          <cell r="A92">
            <v>44061</v>
          </cell>
        </row>
        <row r="93">
          <cell r="A93">
            <v>44054</v>
          </cell>
        </row>
        <row r="94">
          <cell r="A94">
            <v>44047</v>
          </cell>
        </row>
        <row r="95">
          <cell r="A95">
            <v>44040</v>
          </cell>
        </row>
        <row r="96">
          <cell r="A96">
            <v>44033</v>
          </cell>
        </row>
        <row r="97">
          <cell r="A97">
            <v>44026</v>
          </cell>
        </row>
        <row r="98">
          <cell r="A98">
            <v>44019</v>
          </cell>
        </row>
        <row r="99">
          <cell r="A99">
            <v>44012</v>
          </cell>
        </row>
        <row r="100">
          <cell r="A100">
            <v>44005</v>
          </cell>
        </row>
        <row r="101">
          <cell r="A101">
            <v>43998</v>
          </cell>
        </row>
        <row r="102">
          <cell r="A102">
            <v>43991</v>
          </cell>
        </row>
        <row r="103">
          <cell r="A103">
            <v>43984</v>
          </cell>
        </row>
        <row r="104">
          <cell r="A104">
            <v>43977</v>
          </cell>
        </row>
        <row r="105">
          <cell r="A105">
            <v>43970</v>
          </cell>
        </row>
        <row r="106">
          <cell r="A106">
            <v>43963</v>
          </cell>
        </row>
        <row r="107">
          <cell r="A107">
            <v>43956</v>
          </cell>
        </row>
        <row r="108">
          <cell r="A108">
            <v>43949</v>
          </cell>
        </row>
        <row r="109">
          <cell r="A109">
            <v>43942</v>
          </cell>
        </row>
        <row r="110">
          <cell r="A110">
            <v>43935</v>
          </cell>
        </row>
        <row r="111">
          <cell r="A111">
            <v>43928</v>
          </cell>
        </row>
        <row r="112">
          <cell r="A112">
            <v>43921</v>
          </cell>
        </row>
        <row r="113">
          <cell r="A113">
            <v>43914</v>
          </cell>
        </row>
        <row r="114">
          <cell r="A114">
            <v>43907</v>
          </cell>
        </row>
        <row r="115">
          <cell r="A115">
            <v>43900</v>
          </cell>
        </row>
        <row r="116">
          <cell r="A116">
            <v>43893</v>
          </cell>
        </row>
        <row r="117">
          <cell r="A117">
            <v>43886</v>
          </cell>
        </row>
        <row r="118">
          <cell r="A118">
            <v>43879</v>
          </cell>
        </row>
        <row r="119">
          <cell r="A119">
            <v>43872</v>
          </cell>
        </row>
        <row r="120">
          <cell r="A120">
            <v>43865</v>
          </cell>
        </row>
        <row r="121">
          <cell r="A121">
            <v>43858</v>
          </cell>
        </row>
        <row r="122">
          <cell r="A122">
            <v>43851</v>
          </cell>
        </row>
        <row r="123">
          <cell r="A123">
            <v>43844</v>
          </cell>
        </row>
        <row r="124">
          <cell r="A124">
            <v>43837</v>
          </cell>
        </row>
        <row r="125">
          <cell r="A125">
            <v>43830</v>
          </cell>
        </row>
        <row r="126">
          <cell r="A126">
            <v>43823</v>
          </cell>
        </row>
        <row r="127">
          <cell r="A127">
            <v>43816</v>
          </cell>
        </row>
        <row r="128">
          <cell r="A128">
            <v>43809</v>
          </cell>
        </row>
        <row r="129">
          <cell r="A129">
            <v>43802</v>
          </cell>
        </row>
        <row r="130">
          <cell r="A130">
            <v>43795</v>
          </cell>
        </row>
        <row r="131">
          <cell r="A131">
            <v>43788</v>
          </cell>
        </row>
        <row r="132">
          <cell r="A132">
            <v>43781</v>
          </cell>
        </row>
        <row r="133">
          <cell r="A133">
            <v>43774</v>
          </cell>
        </row>
        <row r="134">
          <cell r="A134">
            <v>43767</v>
          </cell>
        </row>
        <row r="135">
          <cell r="A135">
            <v>43760</v>
          </cell>
        </row>
        <row r="136">
          <cell r="A136">
            <v>43753</v>
          </cell>
        </row>
        <row r="137">
          <cell r="A137">
            <v>43746</v>
          </cell>
        </row>
        <row r="138">
          <cell r="A138">
            <v>43739</v>
          </cell>
        </row>
        <row r="139">
          <cell r="A139">
            <v>43732</v>
          </cell>
        </row>
        <row r="140">
          <cell r="A140">
            <v>43725</v>
          </cell>
        </row>
        <row r="141">
          <cell r="A141">
            <v>43718</v>
          </cell>
        </row>
        <row r="142">
          <cell r="A142">
            <v>43711</v>
          </cell>
        </row>
        <row r="143">
          <cell r="A143">
            <v>43704</v>
          </cell>
        </row>
        <row r="144">
          <cell r="A144">
            <v>43697</v>
          </cell>
        </row>
        <row r="145">
          <cell r="A145">
            <v>43690</v>
          </cell>
        </row>
        <row r="146">
          <cell r="A146">
            <v>43683</v>
          </cell>
        </row>
        <row r="147">
          <cell r="A147">
            <v>43676</v>
          </cell>
        </row>
        <row r="148">
          <cell r="A148">
            <v>43669</v>
          </cell>
        </row>
        <row r="149">
          <cell r="A149">
            <v>43662</v>
          </cell>
        </row>
        <row r="150">
          <cell r="A150">
            <v>43655</v>
          </cell>
        </row>
        <row r="151">
          <cell r="A151">
            <v>43648</v>
          </cell>
        </row>
        <row r="152">
          <cell r="A152">
            <v>43641</v>
          </cell>
        </row>
        <row r="153">
          <cell r="A153">
            <v>43634</v>
          </cell>
        </row>
        <row r="154">
          <cell r="A154">
            <v>43627</v>
          </cell>
        </row>
        <row r="155">
          <cell r="A155">
            <v>43620</v>
          </cell>
        </row>
        <row r="156">
          <cell r="A156">
            <v>43613</v>
          </cell>
        </row>
        <row r="157">
          <cell r="A157">
            <v>43606</v>
          </cell>
        </row>
        <row r="158">
          <cell r="A158">
            <v>43599</v>
          </cell>
        </row>
        <row r="159">
          <cell r="A159">
            <v>43592</v>
          </cell>
        </row>
        <row r="160">
          <cell r="A160">
            <v>43585</v>
          </cell>
        </row>
        <row r="161">
          <cell r="A161">
            <v>43578</v>
          </cell>
        </row>
        <row r="162">
          <cell r="A162">
            <v>43571</v>
          </cell>
        </row>
        <row r="163">
          <cell r="A163">
            <v>43564</v>
          </cell>
        </row>
        <row r="164">
          <cell r="A164">
            <v>43557</v>
          </cell>
        </row>
        <row r="165">
          <cell r="A165">
            <v>43550</v>
          </cell>
        </row>
        <row r="166">
          <cell r="A166">
            <v>43543</v>
          </cell>
        </row>
        <row r="167">
          <cell r="A167">
            <v>43536</v>
          </cell>
        </row>
        <row r="168">
          <cell r="A168">
            <v>43529</v>
          </cell>
        </row>
        <row r="169">
          <cell r="A169">
            <v>43522</v>
          </cell>
        </row>
        <row r="170">
          <cell r="A170">
            <v>43515</v>
          </cell>
        </row>
        <row r="171">
          <cell r="A171">
            <v>43508</v>
          </cell>
        </row>
        <row r="172">
          <cell r="A172">
            <v>43501</v>
          </cell>
        </row>
        <row r="173">
          <cell r="A173">
            <v>43494</v>
          </cell>
        </row>
        <row r="174">
          <cell r="A174">
            <v>43487</v>
          </cell>
        </row>
        <row r="175">
          <cell r="A175">
            <v>43480</v>
          </cell>
        </row>
        <row r="176">
          <cell r="A176">
            <v>43473</v>
          </cell>
        </row>
        <row r="177">
          <cell r="A177">
            <v>43466</v>
          </cell>
        </row>
        <row r="178">
          <cell r="A178">
            <v>43459</v>
          </cell>
        </row>
        <row r="179">
          <cell r="A179">
            <v>43452</v>
          </cell>
        </row>
        <row r="180">
          <cell r="A180">
            <v>43445</v>
          </cell>
        </row>
        <row r="181">
          <cell r="A181">
            <v>43438</v>
          </cell>
        </row>
        <row r="182">
          <cell r="A182">
            <v>43431</v>
          </cell>
        </row>
        <row r="183">
          <cell r="A183">
            <v>43424</v>
          </cell>
        </row>
        <row r="184">
          <cell r="A184">
            <v>43417</v>
          </cell>
        </row>
        <row r="185">
          <cell r="A185">
            <v>43410</v>
          </cell>
        </row>
        <row r="186">
          <cell r="A186">
            <v>43403</v>
          </cell>
        </row>
        <row r="187">
          <cell r="A187">
            <v>43396</v>
          </cell>
        </row>
        <row r="188">
          <cell r="A188">
            <v>43389</v>
          </cell>
        </row>
        <row r="189">
          <cell r="A189">
            <v>43382</v>
          </cell>
        </row>
        <row r="190">
          <cell r="A190">
            <v>43375</v>
          </cell>
        </row>
        <row r="191">
          <cell r="A191">
            <v>43368</v>
          </cell>
        </row>
        <row r="192">
          <cell r="A192">
            <v>43361</v>
          </cell>
        </row>
        <row r="193">
          <cell r="A193">
            <v>43354</v>
          </cell>
        </row>
        <row r="194">
          <cell r="A194">
            <v>43347</v>
          </cell>
        </row>
        <row r="195">
          <cell r="A195">
            <v>43340</v>
          </cell>
        </row>
        <row r="196">
          <cell r="A196">
            <v>43333</v>
          </cell>
        </row>
        <row r="197">
          <cell r="A197">
            <v>43326</v>
          </cell>
        </row>
        <row r="198">
          <cell r="A198">
            <v>43319</v>
          </cell>
        </row>
        <row r="199">
          <cell r="A199">
            <v>43312</v>
          </cell>
        </row>
        <row r="200">
          <cell r="A200">
            <v>43305</v>
          </cell>
        </row>
        <row r="201">
          <cell r="A201">
            <v>43298</v>
          </cell>
        </row>
        <row r="202">
          <cell r="A202">
            <v>43291</v>
          </cell>
        </row>
        <row r="203">
          <cell r="A203">
            <v>43284</v>
          </cell>
        </row>
        <row r="204">
          <cell r="A204">
            <v>43277</v>
          </cell>
        </row>
        <row r="205">
          <cell r="A205">
            <v>43270</v>
          </cell>
        </row>
        <row r="206">
          <cell r="A206">
            <v>43263</v>
          </cell>
        </row>
        <row r="207">
          <cell r="A207">
            <v>43256</v>
          </cell>
        </row>
        <row r="208">
          <cell r="A208">
            <v>43249</v>
          </cell>
        </row>
        <row r="209">
          <cell r="A209">
            <v>43242</v>
          </cell>
        </row>
        <row r="210">
          <cell r="A210">
            <v>43235</v>
          </cell>
        </row>
        <row r="211">
          <cell r="A211">
            <v>43228</v>
          </cell>
        </row>
        <row r="212">
          <cell r="A212">
            <v>43221</v>
          </cell>
        </row>
        <row r="213">
          <cell r="A213">
            <v>43214</v>
          </cell>
        </row>
        <row r="214">
          <cell r="A214">
            <v>43207</v>
          </cell>
        </row>
        <row r="215">
          <cell r="A215">
            <v>43200</v>
          </cell>
        </row>
        <row r="216">
          <cell r="A216">
            <v>43193</v>
          </cell>
        </row>
        <row r="217">
          <cell r="A217">
            <v>43186</v>
          </cell>
        </row>
        <row r="218">
          <cell r="A218">
            <v>43179</v>
          </cell>
        </row>
        <row r="219">
          <cell r="A219">
            <v>43172</v>
          </cell>
        </row>
        <row r="220">
          <cell r="A220">
            <v>43165</v>
          </cell>
        </row>
        <row r="221">
          <cell r="A221">
            <v>43158</v>
          </cell>
        </row>
        <row r="222">
          <cell r="A222">
            <v>43151</v>
          </cell>
        </row>
        <row r="223">
          <cell r="A223">
            <v>43144</v>
          </cell>
        </row>
        <row r="224">
          <cell r="A224">
            <v>43137</v>
          </cell>
        </row>
        <row r="225">
          <cell r="A225">
            <v>43130</v>
          </cell>
        </row>
        <row r="226">
          <cell r="A226">
            <v>43123</v>
          </cell>
        </row>
        <row r="227">
          <cell r="A227">
            <v>43116</v>
          </cell>
        </row>
        <row r="228">
          <cell r="A228">
            <v>43109</v>
          </cell>
        </row>
        <row r="229">
          <cell r="A229">
            <v>43102</v>
          </cell>
        </row>
        <row r="230">
          <cell r="A230">
            <v>43095</v>
          </cell>
        </row>
        <row r="231">
          <cell r="A231">
            <v>43088</v>
          </cell>
        </row>
        <row r="232">
          <cell r="A232">
            <v>43081</v>
          </cell>
        </row>
        <row r="233">
          <cell r="A233">
            <v>43074</v>
          </cell>
        </row>
        <row r="234">
          <cell r="A234">
            <v>43067</v>
          </cell>
        </row>
        <row r="235">
          <cell r="A235">
            <v>43060</v>
          </cell>
        </row>
        <row r="236">
          <cell r="A236">
            <v>43053</v>
          </cell>
        </row>
        <row r="237">
          <cell r="A237">
            <v>43046</v>
          </cell>
        </row>
        <row r="238">
          <cell r="A238">
            <v>43039</v>
          </cell>
        </row>
        <row r="239">
          <cell r="A239">
            <v>43032</v>
          </cell>
        </row>
        <row r="240">
          <cell r="A240">
            <v>43025</v>
          </cell>
        </row>
        <row r="241">
          <cell r="A241">
            <v>43018</v>
          </cell>
        </row>
        <row r="242">
          <cell r="A242">
            <v>43011</v>
          </cell>
        </row>
        <row r="243">
          <cell r="A243">
            <v>43004</v>
          </cell>
        </row>
        <row r="244">
          <cell r="A244">
            <v>42997</v>
          </cell>
        </row>
        <row r="245">
          <cell r="A245">
            <v>42990</v>
          </cell>
        </row>
        <row r="246">
          <cell r="A246">
            <v>42983</v>
          </cell>
        </row>
        <row r="247">
          <cell r="A247">
            <v>42976</v>
          </cell>
        </row>
        <row r="248">
          <cell r="A248">
            <v>42969</v>
          </cell>
        </row>
        <row r="249">
          <cell r="A249">
            <v>42962</v>
          </cell>
        </row>
        <row r="250">
          <cell r="A250">
            <v>42955</v>
          </cell>
        </row>
        <row r="251">
          <cell r="A251">
            <v>42948</v>
          </cell>
        </row>
        <row r="252">
          <cell r="A252">
            <v>42941</v>
          </cell>
        </row>
        <row r="253">
          <cell r="A253">
            <v>42934</v>
          </cell>
        </row>
        <row r="254">
          <cell r="A254">
            <v>42927</v>
          </cell>
        </row>
        <row r="255">
          <cell r="A255">
            <v>42920</v>
          </cell>
        </row>
        <row r="256">
          <cell r="A256">
            <v>42913</v>
          </cell>
        </row>
        <row r="257">
          <cell r="A257">
            <v>42906</v>
          </cell>
        </row>
        <row r="258">
          <cell r="A258">
            <v>42899</v>
          </cell>
        </row>
        <row r="259">
          <cell r="A259">
            <v>42892</v>
          </cell>
        </row>
        <row r="260">
          <cell r="A260">
            <v>42885</v>
          </cell>
        </row>
        <row r="261">
          <cell r="A261">
            <v>42878</v>
          </cell>
        </row>
        <row r="262">
          <cell r="A262">
            <v>42871</v>
          </cell>
        </row>
        <row r="263">
          <cell r="A263">
            <v>42864</v>
          </cell>
        </row>
        <row r="264">
          <cell r="A264">
            <v>42857</v>
          </cell>
        </row>
        <row r="265">
          <cell r="A265">
            <v>42850</v>
          </cell>
        </row>
        <row r="266">
          <cell r="A266">
            <v>42843</v>
          </cell>
        </row>
        <row r="267">
          <cell r="A267">
            <v>42836</v>
          </cell>
        </row>
        <row r="268">
          <cell r="A268">
            <v>42829</v>
          </cell>
        </row>
        <row r="269">
          <cell r="A269">
            <v>42822</v>
          </cell>
        </row>
        <row r="270">
          <cell r="A270">
            <v>42815</v>
          </cell>
        </row>
        <row r="271">
          <cell r="A271">
            <v>42808</v>
          </cell>
        </row>
        <row r="272">
          <cell r="A272">
            <v>42801</v>
          </cell>
        </row>
        <row r="273">
          <cell r="A273">
            <v>42794</v>
          </cell>
        </row>
        <row r="274">
          <cell r="A274">
            <v>42787</v>
          </cell>
        </row>
        <row r="275">
          <cell r="A275">
            <v>42780</v>
          </cell>
        </row>
        <row r="276">
          <cell r="A276">
            <v>42773</v>
          </cell>
        </row>
        <row r="277">
          <cell r="A277">
            <v>42766</v>
          </cell>
        </row>
        <row r="278">
          <cell r="A278">
            <v>42759</v>
          </cell>
        </row>
        <row r="279">
          <cell r="A279">
            <v>42752</v>
          </cell>
        </row>
        <row r="280">
          <cell r="A280">
            <v>42745</v>
          </cell>
        </row>
        <row r="281">
          <cell r="A281">
            <v>42738</v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>
            <v>0</v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>
            <v>0</v>
          </cell>
        </row>
        <row r="312">
          <cell r="A312" t="str">
            <v/>
          </cell>
        </row>
      </sheetData>
      <sheetData sheetId="6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E54B4-8234-4E39-AFA9-CF66E0A3DDEF}" name="Table1" displayName="Table1" ref="A2:BK58" totalsRowShown="0" headerRowDxfId="64" dataDxfId="63">
  <tableColumns count="63">
    <tableColumn id="1" xr3:uid="{A78DEF99-51AE-4307-BBFE-49AA3D17C2B5}" name="tag" dataDxfId="62"/>
    <tableColumn id="12" xr3:uid="{C93E875E-6761-4772-AAF1-1A1CD3E52DEC}" name="Comdty" dataDxfId="61"/>
    <tableColumn id="11" xr3:uid="{35E57CB4-492A-455A-A2D2-D377AA334B24}" name="1st Contract Price" dataDxfId="60"/>
    <tableColumn id="10" xr3:uid="{1D838210-2908-4724-A11A-3D0E0AC3F7B2}" name="PX_LAST" dataDxfId="59">
      <calculatedColumnFormula>_xll.BDH(Tickers!$C3,"px_last",[1]Futures!$A$9,[1]Futures!$A$9,"days=all")</calculatedColumnFormula>
    </tableColumn>
    <tableColumn id="9" xr3:uid="{77904714-FDEE-4B52-ACF7-BB1F81BE1820}" name="Unit" dataDxfId="58"/>
    <tableColumn id="5" xr3:uid="{CA6624FC-5408-4FC5-8063-CC6521A3B823}" name="Contract Size" dataDxfId="57"/>
    <tableColumn id="16" xr3:uid="{F789E842-92B1-4841-82AF-8F47EDB4C342}" name="Non Comercial Long" dataDxfId="56"/>
    <tableColumn id="6" xr3:uid="{B6F0AE77-097E-4163-94B8-90A2E7300409}" name="Non Comercial Short" dataDxfId="55"/>
    <tableColumn id="17" xr3:uid="{998190FB-02EB-412F-AB83-861C90CCF246}" name="Non Comercial Spreading" dataDxfId="54"/>
    <tableColumn id="20" xr3:uid="{E37B3253-406D-425E-B475-87A7D5380270}" name="Commercial Long" dataDxfId="53"/>
    <tableColumn id="19" xr3:uid="{D5642F8E-785E-4D27-9ABB-C3F1B8BF7B12}" name="Commercial Short" dataDxfId="52"/>
    <tableColumn id="22" xr3:uid="{5DFCDC8A-AD67-4096-834C-B3882C8858C9}" name="Total Long" dataDxfId="51"/>
    <tableColumn id="21" xr3:uid="{627A9066-57C4-4A58-AA14-40CF567A0508}" name="Total Short" dataDxfId="50"/>
    <tableColumn id="23" xr3:uid="{2AF68DDB-8397-4792-8335-C5C03220F0B6}" name="Open Interest" dataDxfId="49"/>
    <tableColumn id="7" xr3:uid="{F873E232-B175-44F3-825C-B49AC6D0D9D1}" name="Non Reportable Long" dataDxfId="48"/>
    <tableColumn id="8" xr3:uid="{46B50182-2F6F-4A4C-A6A8-B88447532D21}" name="Non Reportable Short" dataDxfId="47"/>
    <tableColumn id="3" xr3:uid="{9197A35B-BCD7-4FE0-A08C-E7F85E28004A}" name="Managed Money Long" dataDxfId="46"/>
    <tableColumn id="2" xr3:uid="{35C3A6BB-C72A-46EE-A188-9B4B2B6D7DEA}" name="Managed Money Short" dataDxfId="45"/>
    <tableColumn id="29" xr3:uid="{4F17B424-87AE-43E3-A172-5FFD0F2B78CA}" name="Producer Long" dataDxfId="44"/>
    <tableColumn id="28" xr3:uid="{A4189EEE-B917-48C0-A49A-F8F3CAEF1866}" name="Producer Short" dataDxfId="43"/>
    <tableColumn id="27" xr3:uid="{AA929579-6AD9-4B82-87D9-104958F3F2F0}" name="Swap Dealers Long" dataDxfId="42"/>
    <tableColumn id="26" xr3:uid="{80F4D3AB-6DEC-4006-8515-0397AF2AC750}" name="Swap Dealers Short" dataDxfId="41"/>
    <tableColumn id="35" xr3:uid="{9F5DD1FC-C036-4995-A102-4846E04E619F}" name="Swap Dealers Spreading" dataDxfId="40"/>
    <tableColumn id="36" xr3:uid="{7526D9DE-FB13-4FE3-B8AF-3E85B3E5CD65}" name="Managed Money Spread" dataDxfId="39"/>
    <tableColumn id="37" xr3:uid="{C33FE4A9-4148-45A4-AD09-4FC59C97CCCB}" name="Other Reportables Long" dataDxfId="38"/>
    <tableColumn id="32" xr3:uid="{8026CC9A-D08C-4C75-A16C-60E9B3B464BB}" name="Other Reportables Short" dataDxfId="37"/>
    <tableColumn id="4" xr3:uid="{85EFEF4A-7576-40DA-80E6-BB565D9C4949}" name="Other Reportables Spreading" dataDxfId="36"/>
    <tableColumn id="31" xr3:uid="{92A3E89F-C111-4424-B4AF-DA2B1670D259}" name="Non Commercial Net Position" dataDxfId="35"/>
    <tableColumn id="14" xr3:uid="{D15A8BCD-AE80-4E74-8237-8B8E5E6063AF}" name="Supplemental Index Traders Long" dataDxfId="34"/>
    <tableColumn id="15" xr3:uid="{2ED6BF1F-D8F0-4D7D-B4BA-E35207385FD6}" name="Supplemental Index Traders Short" dataDxfId="33"/>
    <tableColumn id="24" xr3:uid="{748F359A-EAD4-4909-B10A-0D95FC76FEAA}" name="Non Comercial Long F+O" dataDxfId="32"/>
    <tableColumn id="25" xr3:uid="{F6FCA049-DA19-4555-AF65-78B1E5E4AF3F}" name="Non Comercial Short F+O" dataDxfId="31"/>
    <tableColumn id="30" xr3:uid="{0FAF4CCA-A6AA-4DD7-8DC2-7D6705A00F01}" name="Non Comercial Spreading F+O" dataDxfId="30"/>
    <tableColumn id="33" xr3:uid="{C5ED6FE4-1395-4EA0-97ED-A5DA45BC881C}" name="Commercial Long F+O" dataDxfId="29"/>
    <tableColumn id="34" xr3:uid="{89827805-D2BD-4374-ADF7-E6E4B23C0B31}" name="Commercial Short F+O" dataDxfId="28"/>
    <tableColumn id="38" xr3:uid="{3C411284-D1C8-4C93-856F-3B9A617C6128}" name="Total Long F+O" dataDxfId="27"/>
    <tableColumn id="39" xr3:uid="{950BD04E-985F-4241-B9C9-91993D50C25B}" name="Total ShortF+O" dataDxfId="26"/>
    <tableColumn id="40" xr3:uid="{E583C1F0-6C17-4DAE-BC37-E3038150BCB4}" name="Open Interest F+O" dataDxfId="25"/>
    <tableColumn id="41" xr3:uid="{90DA23F0-8B56-467A-A5FD-28042A0E9A94}" name="Non Reportable Long F+O" dataDxfId="24"/>
    <tableColumn id="42" xr3:uid="{86308105-A66A-4747-B72B-D904039C6D5C}" name="Non Reportable Short F+O" dataDxfId="23"/>
    <tableColumn id="13" xr3:uid="{A7A75292-FCA4-4D0E-813F-0F1D9E3B736F}" name="Managed Money Long F+ O" dataDxfId="22"/>
    <tableColumn id="18" xr3:uid="{F068E045-0E68-449B-810D-B0D61AEBECF9}" name="Managed Money Short F+ O" dataDxfId="21"/>
    <tableColumn id="46" xr3:uid="{4A0C52FB-4EA1-48A7-A6B6-94A13D834D42}" name="Managed Money Spreading F+O" dataDxfId="20"/>
    <tableColumn id="49" xr3:uid="{8562B8F5-FB6A-48C9-BF1E-89D1B644572B}" name="Producer Long F+O" dataDxfId="19"/>
    <tableColumn id="48" xr3:uid="{9D8E1E8C-BF4E-4827-9A85-F9CC90F27354}" name="Producer Short F+O" dataDxfId="18"/>
    <tableColumn id="47" xr3:uid="{13B38FA7-82D3-45A0-B1B6-7735B9F85852}" name="Swap Dealers Long F+O" dataDxfId="17"/>
    <tableColumn id="45" xr3:uid="{D79859E7-13F7-41E2-ACDE-0F3E7D39678C}" name="Swap Dealers Short F+O" dataDxfId="16"/>
    <tableColumn id="51" xr3:uid="{3F6A7B96-E503-45FD-8787-FA4F9AA7C482}" name="Swap Dealers Spreading F+O" dataDxfId="15"/>
    <tableColumn id="50" xr3:uid="{3E7D5516-2D16-465F-91C5-5F07DB5D54CE}" name="Other Reportables Long F+O" dataDxfId="14"/>
    <tableColumn id="52" xr3:uid="{E4D54ED0-8EE2-43B2-808F-2105C2E531AC}" name="Other Reportables Short F+O" dataDxfId="13"/>
    <tableColumn id="53" xr3:uid="{68511611-B3AE-488B-B665-1AF536E7BDE6}" name="Other Reportables Spreading F+O" dataDxfId="12"/>
    <tableColumn id="55" xr3:uid="{80778137-A45B-4949-AE9B-CF5F6E4FA2AC}" name="Index Traders Open Interest" dataDxfId="11"/>
    <tableColumn id="58" xr3:uid="{73EAC110-33A6-464E-9E94-B4AE78BC1D8C}" name="Supplemental Non Commercial Long F+O" dataDxfId="10"/>
    <tableColumn id="59" xr3:uid="{AD69F2B0-03A8-4B84-B248-556F2A1213F4}" name="Supplemental Non Commercial Short F+O" dataDxfId="9"/>
    <tableColumn id="56" xr3:uid="{F4AD60A5-202A-4621-8968-C57C68F0EF7E}" name="Supplemental Non Commercial Spreading F+O" dataDxfId="8"/>
    <tableColumn id="57" xr3:uid="{163AAE36-E731-4BFE-8FE5-182B815A4D8D}" name="Supplemental Non Commercial Net Position F+O" dataDxfId="7"/>
    <tableColumn id="60" xr3:uid="{550AD84D-3D91-44C1-909D-A0E4D8EDC3BC}" name="Supplemental Commercial Long F+O" dataDxfId="6"/>
    <tableColumn id="61" xr3:uid="{DC1146B1-1D4A-4942-895B-49E159A22BD1}" name="Supplemental Commercial Short F+O" dataDxfId="5"/>
    <tableColumn id="62" xr3:uid="{F6160681-BB2C-4D1B-9634-398AD59A2842}" name="Supplemental Commercial Net Position F+O" dataDxfId="4"/>
    <tableColumn id="63" xr3:uid="{35066716-408F-497B-ACD8-790945B60001}" name="Supplemental Non Reportable Long F+O" dataDxfId="3"/>
    <tableColumn id="64" xr3:uid="{98248C94-6288-4F6C-928E-E1487699A7FD}" name="Supplemental Non Reportable Short F+O" dataDxfId="2"/>
    <tableColumn id="65" xr3:uid="{3A103045-0A26-441B-8E7C-0F7C3E85CE07}" name="Supplemental Non Reportable Net Position F+O" dataDxfId="1"/>
    <tableColumn id="43" xr3:uid="{DD6F1386-A2D7-42AF-900D-3749085831AA}" name="TAG2" dataDxfId="0">
      <calculatedColumnFormula>A3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9923-D48C-4C02-A6C4-8F806572DBAF}">
  <sheetPr codeName="Sheet3"/>
  <dimension ref="A1:BK68"/>
  <sheetViews>
    <sheetView showGridLines="0" tabSelected="1" zoomScale="91" zoomScaleNormal="91" workbookViewId="0">
      <pane ySplit="2" topLeftCell="A3" activePane="bottomLeft" state="frozen"/>
      <selection pane="bottomLeft" activeCell="C3" sqref="C3"/>
    </sheetView>
  </sheetViews>
  <sheetFormatPr defaultColWidth="17.26953125" defaultRowHeight="13" x14ac:dyDescent="0.25"/>
  <cols>
    <col min="1" max="1" width="3.54296875" style="10" customWidth="1"/>
    <col min="2" max="2" width="39.1796875" style="10" customWidth="1"/>
    <col min="3" max="3" width="17.7265625" style="10" customWidth="1"/>
    <col min="4" max="4" width="15" style="10" customWidth="1"/>
    <col min="5" max="5" width="11.81640625" style="11" bestFit="1" customWidth="1"/>
    <col min="6" max="6" width="11" style="10" customWidth="1"/>
    <col min="7" max="7" width="18.1796875" style="10" customWidth="1"/>
    <col min="8" max="30" width="17.26953125" style="10"/>
    <col min="31" max="31" width="17.453125" style="10" bestFit="1" customWidth="1"/>
    <col min="32" max="50" width="17.26953125" style="10"/>
    <col min="51" max="51" width="20.54296875" style="10" customWidth="1"/>
    <col min="52" max="62" width="17.26953125" style="10"/>
    <col min="63" max="63" width="9.7265625" style="10" customWidth="1"/>
    <col min="64" max="16384" width="17.26953125" style="10"/>
  </cols>
  <sheetData>
    <row r="1" spans="1:63" s="1" customFormat="1" ht="11.25" customHeight="1" x14ac:dyDescent="0.25">
      <c r="A1" s="1">
        <v>1</v>
      </c>
      <c r="B1" s="1">
        <f t="shared" ref="B1:AP1" si="0">A1+1</f>
        <v>2</v>
      </c>
      <c r="C1" s="1">
        <f t="shared" si="0"/>
        <v>3</v>
      </c>
      <c r="D1" s="1">
        <f t="shared" si="0"/>
        <v>4</v>
      </c>
      <c r="E1" s="1">
        <f t="shared" si="0"/>
        <v>5</v>
      </c>
      <c r="F1" s="1">
        <f t="shared" si="0"/>
        <v>6</v>
      </c>
      <c r="G1" s="1">
        <f t="shared" si="0"/>
        <v>7</v>
      </c>
      <c r="H1" s="1">
        <f t="shared" si="0"/>
        <v>8</v>
      </c>
      <c r="I1" s="1">
        <f t="shared" si="0"/>
        <v>9</v>
      </c>
      <c r="J1" s="1">
        <f t="shared" si="0"/>
        <v>10</v>
      </c>
      <c r="K1" s="1">
        <f t="shared" si="0"/>
        <v>11</v>
      </c>
      <c r="L1" s="1">
        <f t="shared" si="0"/>
        <v>12</v>
      </c>
      <c r="M1" s="1">
        <f t="shared" si="0"/>
        <v>13</v>
      </c>
      <c r="N1" s="1">
        <f t="shared" si="0"/>
        <v>14</v>
      </c>
      <c r="O1" s="1">
        <f t="shared" si="0"/>
        <v>15</v>
      </c>
      <c r="P1" s="1">
        <f t="shared" si="0"/>
        <v>16</v>
      </c>
      <c r="Q1" s="1">
        <f t="shared" si="0"/>
        <v>17</v>
      </c>
      <c r="R1" s="1">
        <f t="shared" si="0"/>
        <v>18</v>
      </c>
      <c r="S1" s="1">
        <f t="shared" si="0"/>
        <v>19</v>
      </c>
      <c r="T1" s="1">
        <f t="shared" si="0"/>
        <v>20</v>
      </c>
      <c r="U1" s="1">
        <f t="shared" si="0"/>
        <v>21</v>
      </c>
      <c r="V1" s="1">
        <f t="shared" si="0"/>
        <v>22</v>
      </c>
      <c r="W1" s="1">
        <f t="shared" si="0"/>
        <v>23</v>
      </c>
      <c r="X1" s="1">
        <f t="shared" si="0"/>
        <v>24</v>
      </c>
      <c r="Y1" s="1">
        <f t="shared" si="0"/>
        <v>25</v>
      </c>
      <c r="Z1" s="1">
        <f t="shared" si="0"/>
        <v>26</v>
      </c>
      <c r="AA1" s="1">
        <f t="shared" si="0"/>
        <v>27</v>
      </c>
      <c r="AB1" s="1">
        <f t="shared" si="0"/>
        <v>28</v>
      </c>
      <c r="AC1" s="1">
        <f t="shared" si="0"/>
        <v>29</v>
      </c>
      <c r="AD1" s="1">
        <f t="shared" si="0"/>
        <v>30</v>
      </c>
      <c r="AE1" s="1">
        <f t="shared" si="0"/>
        <v>31</v>
      </c>
      <c r="AF1" s="1">
        <f>AE1+1</f>
        <v>32</v>
      </c>
      <c r="AG1" s="1">
        <f t="shared" si="0"/>
        <v>33</v>
      </c>
      <c r="AH1" s="1">
        <f t="shared" si="0"/>
        <v>34</v>
      </c>
      <c r="AI1" s="1">
        <f t="shared" si="0"/>
        <v>35</v>
      </c>
      <c r="AJ1" s="1">
        <f t="shared" si="0"/>
        <v>36</v>
      </c>
      <c r="AK1" s="1">
        <f t="shared" si="0"/>
        <v>37</v>
      </c>
      <c r="AL1" s="1">
        <f t="shared" si="0"/>
        <v>38</v>
      </c>
      <c r="AM1" s="1">
        <f t="shared" si="0"/>
        <v>39</v>
      </c>
      <c r="AN1" s="1">
        <f t="shared" si="0"/>
        <v>40</v>
      </c>
      <c r="AO1" s="1">
        <f t="shared" si="0"/>
        <v>41</v>
      </c>
      <c r="AP1" s="1">
        <f t="shared" si="0"/>
        <v>42</v>
      </c>
      <c r="AQ1" s="1">
        <v>43</v>
      </c>
      <c r="AR1" s="1">
        <f t="shared" ref="AR1:BJ1" si="1">AQ1+1</f>
        <v>44</v>
      </c>
      <c r="AS1" s="1">
        <f t="shared" si="1"/>
        <v>45</v>
      </c>
      <c r="AT1" s="1">
        <f t="shared" si="1"/>
        <v>46</v>
      </c>
      <c r="AU1" s="1">
        <f t="shared" si="1"/>
        <v>47</v>
      </c>
      <c r="AV1" s="1">
        <f t="shared" si="1"/>
        <v>48</v>
      </c>
      <c r="AW1" s="1">
        <f t="shared" si="1"/>
        <v>49</v>
      </c>
      <c r="AX1" s="1">
        <f t="shared" si="1"/>
        <v>50</v>
      </c>
      <c r="AY1" s="1">
        <f t="shared" si="1"/>
        <v>51</v>
      </c>
      <c r="AZ1" s="1">
        <f t="shared" si="1"/>
        <v>52</v>
      </c>
      <c r="BA1" s="1">
        <f t="shared" si="1"/>
        <v>53</v>
      </c>
      <c r="BB1" s="1">
        <f t="shared" si="1"/>
        <v>54</v>
      </c>
      <c r="BC1" s="1">
        <f t="shared" si="1"/>
        <v>55</v>
      </c>
      <c r="BD1" s="1">
        <f t="shared" si="1"/>
        <v>56</v>
      </c>
      <c r="BE1" s="1">
        <f t="shared" si="1"/>
        <v>57</v>
      </c>
      <c r="BF1" s="1">
        <f t="shared" si="1"/>
        <v>58</v>
      </c>
      <c r="BG1" s="1">
        <f t="shared" si="1"/>
        <v>59</v>
      </c>
      <c r="BH1" s="1">
        <f t="shared" si="1"/>
        <v>60</v>
      </c>
      <c r="BI1" s="1">
        <f t="shared" si="1"/>
        <v>61</v>
      </c>
      <c r="BJ1" s="1">
        <f t="shared" si="1"/>
        <v>62</v>
      </c>
    </row>
    <row r="2" spans="1:63" s="2" customFormat="1" ht="39" x14ac:dyDescent="0.25">
      <c r="A2" s="2" t="s">
        <v>0</v>
      </c>
      <c r="B2" s="2" t="s">
        <v>1</v>
      </c>
      <c r="C2" s="2" t="s">
        <v>2144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4" t="s">
        <v>61</v>
      </c>
    </row>
    <row r="3" spans="1:63" x14ac:dyDescent="0.25">
      <c r="A3" s="5">
        <v>1</v>
      </c>
      <c r="B3" s="6" t="s">
        <v>62</v>
      </c>
      <c r="C3" s="6" t="s">
        <v>63</v>
      </c>
      <c r="D3" s="7" t="e">
        <f ca="1">_xll.BDH(Tickers!$C3,"px_last",[1]Futures!$A$9,[1]Futures!$A$9,"days=all")</f>
        <v>#NAME?</v>
      </c>
      <c r="E3" s="6" t="e">
        <f ca="1">_xll.BDP(C3,"QUOTE_UNITS")</f>
        <v>#NAME?</v>
      </c>
      <c r="F3" s="6" t="e">
        <f ca="1">_xll.BDP(C3,"FUT_CONT_SIZE")/100</f>
        <v>#NAME?</v>
      </c>
      <c r="G3" s="6" t="s">
        <v>64</v>
      </c>
      <c r="H3" s="6" t="s">
        <v>65</v>
      </c>
      <c r="I3" s="6" t="s">
        <v>66</v>
      </c>
      <c r="J3" s="6" t="s">
        <v>67</v>
      </c>
      <c r="K3" s="6" t="s">
        <v>68</v>
      </c>
      <c r="L3" s="6" t="s">
        <v>69</v>
      </c>
      <c r="M3" s="6" t="s">
        <v>70</v>
      </c>
      <c r="N3" s="6" t="s">
        <v>71</v>
      </c>
      <c r="O3" s="6" t="s">
        <v>72</v>
      </c>
      <c r="P3" s="6" t="s">
        <v>73</v>
      </c>
      <c r="Q3" s="6" t="s">
        <v>74</v>
      </c>
      <c r="R3" s="6" t="s">
        <v>75</v>
      </c>
      <c r="S3" s="6" t="s">
        <v>76</v>
      </c>
      <c r="T3" s="6" t="s">
        <v>77</v>
      </c>
      <c r="U3" s="6" t="s">
        <v>78</v>
      </c>
      <c r="V3" s="6" t="s">
        <v>79</v>
      </c>
      <c r="W3" s="6" t="s">
        <v>80</v>
      </c>
      <c r="X3" s="6" t="s">
        <v>81</v>
      </c>
      <c r="Y3" s="6" t="s">
        <v>82</v>
      </c>
      <c r="Z3" s="6" t="s">
        <v>83</v>
      </c>
      <c r="AA3" s="6" t="s">
        <v>84</v>
      </c>
      <c r="AB3" s="8" t="s">
        <v>85</v>
      </c>
      <c r="AC3" s="6" t="s">
        <v>86</v>
      </c>
      <c r="AD3" s="8" t="s">
        <v>87</v>
      </c>
      <c r="AE3" s="9" t="s">
        <v>88</v>
      </c>
      <c r="AF3" s="9" t="s">
        <v>89</v>
      </c>
      <c r="AG3" s="9" t="s">
        <v>90</v>
      </c>
      <c r="AH3" s="9" t="s">
        <v>91</v>
      </c>
      <c r="AI3" s="9" t="s">
        <v>92</v>
      </c>
      <c r="AJ3" s="9" t="s">
        <v>93</v>
      </c>
      <c r="AK3" s="9" t="s">
        <v>94</v>
      </c>
      <c r="AL3" s="9" t="s">
        <v>95</v>
      </c>
      <c r="AM3" s="9" t="s">
        <v>96</v>
      </c>
      <c r="AN3" s="9" t="s">
        <v>97</v>
      </c>
      <c r="AO3" s="9" t="s">
        <v>98</v>
      </c>
      <c r="AP3" s="9" t="s">
        <v>99</v>
      </c>
      <c r="AQ3" s="9" t="s">
        <v>100</v>
      </c>
      <c r="AR3" s="9" t="s">
        <v>101</v>
      </c>
      <c r="AS3" s="9" t="s">
        <v>102</v>
      </c>
      <c r="AT3" s="9" t="s">
        <v>103</v>
      </c>
      <c r="AU3" s="9" t="s">
        <v>104</v>
      </c>
      <c r="AV3" s="9" t="s">
        <v>105</v>
      </c>
      <c r="AW3" s="9" t="s">
        <v>106</v>
      </c>
      <c r="AX3" s="9" t="s">
        <v>107</v>
      </c>
      <c r="AY3" s="9" t="s">
        <v>108</v>
      </c>
      <c r="AZ3" s="9" t="s">
        <v>95</v>
      </c>
      <c r="BA3" s="9" t="s">
        <v>88</v>
      </c>
      <c r="BB3" s="9" t="s">
        <v>89</v>
      </c>
      <c r="BC3" s="9" t="s">
        <v>90</v>
      </c>
      <c r="BD3" s="9" t="s">
        <v>109</v>
      </c>
      <c r="BE3" s="9" t="s">
        <v>91</v>
      </c>
      <c r="BF3" s="9" t="s">
        <v>92</v>
      </c>
      <c r="BG3" s="9" t="s">
        <v>110</v>
      </c>
      <c r="BH3" s="9" t="s">
        <v>96</v>
      </c>
      <c r="BI3" s="9" t="s">
        <v>97</v>
      </c>
      <c r="BJ3" s="9" t="s">
        <v>111</v>
      </c>
      <c r="BK3" s="9">
        <f t="shared" ref="BK3:BK58" si="2">A3</f>
        <v>1</v>
      </c>
    </row>
    <row r="4" spans="1:63" x14ac:dyDescent="0.25">
      <c r="A4" s="5">
        <v>2</v>
      </c>
      <c r="B4" s="6" t="s">
        <v>112</v>
      </c>
      <c r="C4" s="6" t="s">
        <v>113</v>
      </c>
      <c r="D4" s="7" t="e">
        <f ca="1">_xll.BDH(Tickers!$C4,"px_last",[1]Futures!$A$9,[1]Futures!$A$9,"days=all")</f>
        <v>#NAME?</v>
      </c>
      <c r="E4" s="6" t="e">
        <f ca="1">_xll.BDP(C4,"QUOTE_UNITS")</f>
        <v>#NAME?</v>
      </c>
      <c r="F4" s="6" t="e">
        <f ca="1">_xll.BDP(C4,"FUT_CONT_SIZE")/100</f>
        <v>#NAME?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124</v>
      </c>
      <c r="Y4" s="6" t="s">
        <v>131</v>
      </c>
      <c r="Z4" s="6" t="s">
        <v>132</v>
      </c>
      <c r="AA4" s="6" t="s">
        <v>133</v>
      </c>
      <c r="AB4" s="8" t="s">
        <v>134</v>
      </c>
      <c r="AC4" s="6" t="s">
        <v>135</v>
      </c>
      <c r="AD4" s="8" t="s">
        <v>136</v>
      </c>
      <c r="AE4" s="9" t="s">
        <v>137</v>
      </c>
      <c r="AF4" s="9" t="s">
        <v>138</v>
      </c>
      <c r="AG4" s="9" t="s">
        <v>139</v>
      </c>
      <c r="AH4" s="9" t="s">
        <v>140</v>
      </c>
      <c r="AI4" s="9" t="s">
        <v>141</v>
      </c>
      <c r="AJ4" s="9" t="s">
        <v>142</v>
      </c>
      <c r="AK4" s="9" t="s">
        <v>143</v>
      </c>
      <c r="AL4" s="9" t="s">
        <v>144</v>
      </c>
      <c r="AM4" s="9" t="s">
        <v>145</v>
      </c>
      <c r="AN4" s="9" t="s">
        <v>146</v>
      </c>
      <c r="AO4" s="9" t="s">
        <v>147</v>
      </c>
      <c r="AP4" s="9" t="s">
        <v>148</v>
      </c>
      <c r="AQ4" s="9" t="s">
        <v>149</v>
      </c>
      <c r="AR4" s="9" t="s">
        <v>150</v>
      </c>
      <c r="AS4" s="9" t="s">
        <v>151</v>
      </c>
      <c r="AT4" s="9" t="s">
        <v>152</v>
      </c>
      <c r="AU4" s="9" t="s">
        <v>153</v>
      </c>
      <c r="AV4" s="9" t="s">
        <v>154</v>
      </c>
      <c r="AW4" s="9" t="s">
        <v>155</v>
      </c>
      <c r="AX4" s="9" t="s">
        <v>156</v>
      </c>
      <c r="AY4" s="9" t="s">
        <v>157</v>
      </c>
      <c r="AZ4" s="9" t="s">
        <v>144</v>
      </c>
      <c r="BA4" s="9" t="s">
        <v>137</v>
      </c>
      <c r="BB4" s="9" t="s">
        <v>138</v>
      </c>
      <c r="BC4" s="9" t="s">
        <v>139</v>
      </c>
      <c r="BD4" s="9" t="s">
        <v>158</v>
      </c>
      <c r="BE4" s="9" t="s">
        <v>140</v>
      </c>
      <c r="BF4" s="9" t="s">
        <v>141</v>
      </c>
      <c r="BG4" s="9" t="s">
        <v>159</v>
      </c>
      <c r="BH4" s="9" t="s">
        <v>145</v>
      </c>
      <c r="BI4" s="9" t="s">
        <v>146</v>
      </c>
      <c r="BJ4" s="9" t="s">
        <v>160</v>
      </c>
      <c r="BK4" s="9">
        <f t="shared" si="2"/>
        <v>2</v>
      </c>
    </row>
    <row r="5" spans="1:63" x14ac:dyDescent="0.25">
      <c r="A5" s="5">
        <v>3</v>
      </c>
      <c r="B5" s="6" t="s">
        <v>161</v>
      </c>
      <c r="C5" s="6" t="s">
        <v>162</v>
      </c>
      <c r="D5" s="7" t="e">
        <f ca="1">_xll.BDH(Tickers!$C5,"px_last",[1]Futures!$A$9,[1]Futures!$A$9,"days=all")</f>
        <v>#NAME?</v>
      </c>
      <c r="E5" s="6" t="e">
        <f ca="1">_xll.BDP(C5,"QUOTE_UNITS")</f>
        <v>#NAME?</v>
      </c>
      <c r="F5" s="6" t="e">
        <f ca="1">_xll.BDP(C5,"FUT_CONT_SIZE")/100</f>
        <v>#NAME?</v>
      </c>
      <c r="G5" s="6" t="s">
        <v>163</v>
      </c>
      <c r="H5" s="6" t="s">
        <v>164</v>
      </c>
      <c r="I5" s="6" t="s">
        <v>165</v>
      </c>
      <c r="J5" s="6" t="s">
        <v>166</v>
      </c>
      <c r="K5" s="6" t="s">
        <v>167</v>
      </c>
      <c r="L5" s="6" t="s">
        <v>168</v>
      </c>
      <c r="M5" s="6" t="s">
        <v>169</v>
      </c>
      <c r="N5" s="6" t="s">
        <v>170</v>
      </c>
      <c r="O5" s="6" t="s">
        <v>171</v>
      </c>
      <c r="P5" s="6" t="s">
        <v>172</v>
      </c>
      <c r="Q5" s="6" t="s">
        <v>173</v>
      </c>
      <c r="R5" s="6" t="s">
        <v>174</v>
      </c>
      <c r="S5" s="6" t="s">
        <v>175</v>
      </c>
      <c r="T5" s="6" t="s">
        <v>176</v>
      </c>
      <c r="U5" s="6" t="s">
        <v>177</v>
      </c>
      <c r="V5" s="6" t="s">
        <v>178</v>
      </c>
      <c r="W5" s="6" t="s">
        <v>179</v>
      </c>
      <c r="X5" s="6" t="s">
        <v>180</v>
      </c>
      <c r="Y5" s="6" t="s">
        <v>181</v>
      </c>
      <c r="Z5" s="6" t="s">
        <v>182</v>
      </c>
      <c r="AA5" s="6" t="s">
        <v>183</v>
      </c>
      <c r="AB5" s="8" t="s">
        <v>184</v>
      </c>
      <c r="AC5" s="6"/>
      <c r="AD5" s="8"/>
      <c r="AE5" s="9" t="s">
        <v>185</v>
      </c>
      <c r="AF5" s="9" t="s">
        <v>186</v>
      </c>
      <c r="AG5" s="9" t="s">
        <v>187</v>
      </c>
      <c r="AH5" s="9" t="s">
        <v>188</v>
      </c>
      <c r="AI5" s="9" t="s">
        <v>189</v>
      </c>
      <c r="AJ5" s="9" t="s">
        <v>190</v>
      </c>
      <c r="AK5" s="9" t="s">
        <v>191</v>
      </c>
      <c r="AL5" s="9" t="s">
        <v>192</v>
      </c>
      <c r="AM5" s="9" t="s">
        <v>193</v>
      </c>
      <c r="AN5" s="9" t="s">
        <v>194</v>
      </c>
      <c r="AO5" s="9" t="s">
        <v>195</v>
      </c>
      <c r="AP5" s="9" t="s">
        <v>196</v>
      </c>
      <c r="AQ5" s="9" t="s">
        <v>197</v>
      </c>
      <c r="AR5" s="9" t="s">
        <v>198</v>
      </c>
      <c r="AS5" s="9" t="s">
        <v>199</v>
      </c>
      <c r="AT5" s="9" t="s">
        <v>200</v>
      </c>
      <c r="AU5" s="9" t="s">
        <v>201</v>
      </c>
      <c r="AV5" s="9" t="s">
        <v>202</v>
      </c>
      <c r="AW5" s="9" t="s">
        <v>203</v>
      </c>
      <c r="AX5" s="9" t="s">
        <v>204</v>
      </c>
      <c r="AY5" s="9" t="s">
        <v>205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>
        <f t="shared" si="2"/>
        <v>3</v>
      </c>
    </row>
    <row r="6" spans="1:63" x14ac:dyDescent="0.25">
      <c r="A6" s="5">
        <v>4</v>
      </c>
      <c r="B6" s="6" t="s">
        <v>206</v>
      </c>
      <c r="C6" s="6" t="s">
        <v>207</v>
      </c>
      <c r="D6" s="7" t="e">
        <f ca="1">_xll.BDH(Tickers!$C6,"px_last",[1]Futures!$A$9,[1]Futures!$A$9,"days=all")</f>
        <v>#NAME?</v>
      </c>
      <c r="E6" s="6" t="e">
        <f ca="1">_xll.BDP(C6,"QUOTE_UNITS")</f>
        <v>#NAME?</v>
      </c>
      <c r="F6" s="6" t="e">
        <f ca="1">_xll.BDP(C6,"FUT_CONT_SIZE")/100</f>
        <v>#NAME?</v>
      </c>
      <c r="G6" s="6" t="s">
        <v>208</v>
      </c>
      <c r="H6" s="6" t="s">
        <v>209</v>
      </c>
      <c r="I6" s="6" t="s">
        <v>210</v>
      </c>
      <c r="J6" s="6" t="s">
        <v>211</v>
      </c>
      <c r="K6" s="6" t="s">
        <v>212</v>
      </c>
      <c r="L6" s="6" t="s">
        <v>213</v>
      </c>
      <c r="M6" s="6" t="s">
        <v>214</v>
      </c>
      <c r="N6" s="6" t="s">
        <v>215</v>
      </c>
      <c r="O6" s="6" t="s">
        <v>216</v>
      </c>
      <c r="P6" s="6" t="s">
        <v>217</v>
      </c>
      <c r="Q6" s="6" t="s">
        <v>218</v>
      </c>
      <c r="R6" s="6" t="s">
        <v>219</v>
      </c>
      <c r="S6" s="6" t="s">
        <v>220</v>
      </c>
      <c r="T6" s="6" t="s">
        <v>221</v>
      </c>
      <c r="U6" s="6" t="s">
        <v>222</v>
      </c>
      <c r="V6" s="6" t="s">
        <v>223</v>
      </c>
      <c r="W6" s="6" t="s">
        <v>224</v>
      </c>
      <c r="X6" s="6" t="s">
        <v>225</v>
      </c>
      <c r="Y6" s="6" t="s">
        <v>226</v>
      </c>
      <c r="Z6" s="6" t="s">
        <v>227</v>
      </c>
      <c r="AA6" s="6" t="s">
        <v>228</v>
      </c>
      <c r="AB6" s="8" t="s">
        <v>229</v>
      </c>
      <c r="AC6" s="6" t="s">
        <v>230</v>
      </c>
      <c r="AD6" s="8" t="s">
        <v>231</v>
      </c>
      <c r="AE6" s="9" t="s">
        <v>232</v>
      </c>
      <c r="AF6" s="9" t="s">
        <v>233</v>
      </c>
      <c r="AG6" s="9" t="s">
        <v>234</v>
      </c>
      <c r="AH6" s="9" t="s">
        <v>235</v>
      </c>
      <c r="AI6" s="9" t="s">
        <v>236</v>
      </c>
      <c r="AJ6" s="9" t="s">
        <v>237</v>
      </c>
      <c r="AK6" s="9" t="s">
        <v>238</v>
      </c>
      <c r="AL6" s="9" t="s">
        <v>239</v>
      </c>
      <c r="AM6" s="9" t="s">
        <v>240</v>
      </c>
      <c r="AN6" s="9" t="s">
        <v>241</v>
      </c>
      <c r="AO6" s="9" t="s">
        <v>242</v>
      </c>
      <c r="AP6" s="9" t="s">
        <v>243</v>
      </c>
      <c r="AQ6" s="9" t="s">
        <v>244</v>
      </c>
      <c r="AR6" s="9" t="s">
        <v>245</v>
      </c>
      <c r="AS6" s="9" t="s">
        <v>246</v>
      </c>
      <c r="AT6" s="9" t="s">
        <v>247</v>
      </c>
      <c r="AU6" s="9" t="s">
        <v>248</v>
      </c>
      <c r="AV6" s="9" t="s">
        <v>249</v>
      </c>
      <c r="AW6" s="9" t="s">
        <v>250</v>
      </c>
      <c r="AX6" s="9" t="s">
        <v>251</v>
      </c>
      <c r="AY6" s="9" t="s">
        <v>252</v>
      </c>
      <c r="AZ6" s="9" t="s">
        <v>239</v>
      </c>
      <c r="BA6" s="9" t="s">
        <v>232</v>
      </c>
      <c r="BB6" s="9" t="s">
        <v>233</v>
      </c>
      <c r="BC6" s="9" t="s">
        <v>234</v>
      </c>
      <c r="BD6" s="9" t="s">
        <v>253</v>
      </c>
      <c r="BE6" s="9" t="s">
        <v>235</v>
      </c>
      <c r="BF6" s="9" t="s">
        <v>236</v>
      </c>
      <c r="BG6" s="9" t="s">
        <v>254</v>
      </c>
      <c r="BH6" s="9" t="s">
        <v>240</v>
      </c>
      <c r="BI6" s="9" t="s">
        <v>241</v>
      </c>
      <c r="BJ6" s="9" t="s">
        <v>255</v>
      </c>
      <c r="BK6" s="9">
        <f t="shared" si="2"/>
        <v>4</v>
      </c>
    </row>
    <row r="7" spans="1:63" x14ac:dyDescent="0.25">
      <c r="A7" s="5">
        <v>5</v>
      </c>
      <c r="B7" s="6" t="s">
        <v>256</v>
      </c>
      <c r="C7" s="6" t="s">
        <v>257</v>
      </c>
      <c r="D7" s="7" t="e">
        <f ca="1">_xll.BDH(Tickers!$C7,"px_last",[1]Futures!$A$9,[1]Futures!$A$9,"days=all")</f>
        <v>#NAME?</v>
      </c>
      <c r="E7" s="6" t="e">
        <f ca="1">_xll.BDP(C7,"QUOTE_UNITS")</f>
        <v>#NAME?</v>
      </c>
      <c r="F7" s="6" t="e">
        <f ca="1">_xll.BDP(C7,"FUT_CONT_SIZE")/100</f>
        <v>#NAME?</v>
      </c>
      <c r="G7" s="6" t="s">
        <v>258</v>
      </c>
      <c r="H7" s="6" t="s">
        <v>259</v>
      </c>
      <c r="I7" s="6" t="s">
        <v>260</v>
      </c>
      <c r="J7" s="6" t="s">
        <v>261</v>
      </c>
      <c r="K7" s="6" t="s">
        <v>262</v>
      </c>
      <c r="L7" s="6" t="s">
        <v>263</v>
      </c>
      <c r="M7" s="6" t="s">
        <v>264</v>
      </c>
      <c r="N7" s="6" t="s">
        <v>265</v>
      </c>
      <c r="O7" s="6" t="s">
        <v>266</v>
      </c>
      <c r="P7" s="6" t="s">
        <v>267</v>
      </c>
      <c r="Q7" s="6" t="s">
        <v>268</v>
      </c>
      <c r="R7" s="6" t="s">
        <v>269</v>
      </c>
      <c r="S7" s="6" t="s">
        <v>270</v>
      </c>
      <c r="T7" s="6" t="s">
        <v>271</v>
      </c>
      <c r="U7" s="6" t="s">
        <v>272</v>
      </c>
      <c r="V7" s="6" t="s">
        <v>273</v>
      </c>
      <c r="W7" s="6" t="s">
        <v>274</v>
      </c>
      <c r="X7" s="6" t="s">
        <v>275</v>
      </c>
      <c r="Y7" s="6" t="s">
        <v>276</v>
      </c>
      <c r="Z7" s="6" t="s">
        <v>277</v>
      </c>
      <c r="AA7" s="6" t="s">
        <v>278</v>
      </c>
      <c r="AB7" s="8" t="s">
        <v>279</v>
      </c>
      <c r="AC7" s="6" t="s">
        <v>280</v>
      </c>
      <c r="AD7" s="8" t="s">
        <v>281</v>
      </c>
      <c r="AE7" s="9" t="s">
        <v>282</v>
      </c>
      <c r="AF7" s="9" t="s">
        <v>283</v>
      </c>
      <c r="AG7" s="9" t="s">
        <v>284</v>
      </c>
      <c r="AH7" s="9" t="s">
        <v>285</v>
      </c>
      <c r="AI7" s="9" t="s">
        <v>286</v>
      </c>
      <c r="AJ7" s="9" t="s">
        <v>287</v>
      </c>
      <c r="AK7" s="9" t="s">
        <v>288</v>
      </c>
      <c r="AL7" s="9" t="s">
        <v>289</v>
      </c>
      <c r="AM7" s="9" t="s">
        <v>290</v>
      </c>
      <c r="AN7" s="9" t="s">
        <v>291</v>
      </c>
      <c r="AO7" s="9" t="s">
        <v>292</v>
      </c>
      <c r="AP7" s="9" t="s">
        <v>293</v>
      </c>
      <c r="AQ7" s="9" t="s">
        <v>294</v>
      </c>
      <c r="AR7" s="9" t="s">
        <v>295</v>
      </c>
      <c r="AS7" s="9" t="s">
        <v>296</v>
      </c>
      <c r="AT7" s="9" t="s">
        <v>297</v>
      </c>
      <c r="AU7" s="9" t="s">
        <v>298</v>
      </c>
      <c r="AV7" s="9" t="s">
        <v>299</v>
      </c>
      <c r="AW7" s="9" t="s">
        <v>300</v>
      </c>
      <c r="AX7" s="9" t="s">
        <v>301</v>
      </c>
      <c r="AY7" s="9" t="s">
        <v>302</v>
      </c>
      <c r="AZ7" s="9" t="s">
        <v>289</v>
      </c>
      <c r="BA7" s="9" t="s">
        <v>282</v>
      </c>
      <c r="BB7" s="9" t="s">
        <v>283</v>
      </c>
      <c r="BC7" s="9" t="s">
        <v>284</v>
      </c>
      <c r="BD7" s="9" t="s">
        <v>303</v>
      </c>
      <c r="BE7" s="9" t="s">
        <v>285</v>
      </c>
      <c r="BF7" s="9" t="s">
        <v>286</v>
      </c>
      <c r="BG7" s="9" t="s">
        <v>304</v>
      </c>
      <c r="BH7" s="9" t="s">
        <v>290</v>
      </c>
      <c r="BI7" s="9" t="s">
        <v>291</v>
      </c>
      <c r="BJ7" s="9" t="s">
        <v>305</v>
      </c>
      <c r="BK7" s="9">
        <f t="shared" si="2"/>
        <v>5</v>
      </c>
    </row>
    <row r="8" spans="1:63" x14ac:dyDescent="0.25">
      <c r="A8" s="5">
        <v>6</v>
      </c>
      <c r="B8" s="6" t="s">
        <v>306</v>
      </c>
      <c r="C8" s="6" t="s">
        <v>307</v>
      </c>
      <c r="D8" s="7" t="e">
        <f ca="1">_xll.BDH(Tickers!$C8,"px_last",[1]Futures!$A$9,[1]Futures!$A$9,"days=all")</f>
        <v>#NAME?</v>
      </c>
      <c r="E8" s="6" t="e">
        <f ca="1">_xll.BDP(C8,"QUOTE_UNITS")</f>
        <v>#NAME?</v>
      </c>
      <c r="F8" s="6" t="e">
        <f ca="1">_xll.BDP(C8,"FUT_CONT_SIZE")/100</f>
        <v>#NAME?</v>
      </c>
      <c r="G8" s="6" t="s">
        <v>308</v>
      </c>
      <c r="H8" s="6" t="s">
        <v>309</v>
      </c>
      <c r="I8" s="6" t="s">
        <v>310</v>
      </c>
      <c r="J8" s="6" t="s">
        <v>311</v>
      </c>
      <c r="K8" s="6" t="s">
        <v>312</v>
      </c>
      <c r="L8" s="6" t="s">
        <v>313</v>
      </c>
      <c r="M8" s="6" t="s">
        <v>314</v>
      </c>
      <c r="N8" s="6" t="s">
        <v>315</v>
      </c>
      <c r="O8" s="6" t="s">
        <v>316</v>
      </c>
      <c r="P8" s="6" t="s">
        <v>317</v>
      </c>
      <c r="Q8" s="6" t="s">
        <v>318</v>
      </c>
      <c r="R8" s="6" t="s">
        <v>319</v>
      </c>
      <c r="S8" s="6" t="s">
        <v>320</v>
      </c>
      <c r="T8" s="6" t="s">
        <v>321</v>
      </c>
      <c r="U8" s="6" t="s">
        <v>322</v>
      </c>
      <c r="V8" s="6" t="s">
        <v>323</v>
      </c>
      <c r="W8" s="6" t="s">
        <v>324</v>
      </c>
      <c r="X8" s="6" t="s">
        <v>325</v>
      </c>
      <c r="Y8" s="6" t="s">
        <v>326</v>
      </c>
      <c r="Z8" s="6" t="s">
        <v>327</v>
      </c>
      <c r="AA8" s="6" t="s">
        <v>328</v>
      </c>
      <c r="AB8" s="8" t="s">
        <v>329</v>
      </c>
      <c r="AC8" s="6" t="s">
        <v>330</v>
      </c>
      <c r="AD8" s="8" t="s">
        <v>331</v>
      </c>
      <c r="AE8" s="9" t="s">
        <v>332</v>
      </c>
      <c r="AF8" s="9" t="s">
        <v>333</v>
      </c>
      <c r="AG8" s="9" t="s">
        <v>334</v>
      </c>
      <c r="AH8" s="9" t="s">
        <v>335</v>
      </c>
      <c r="AI8" s="9" t="s">
        <v>336</v>
      </c>
      <c r="AJ8" s="9" t="s">
        <v>337</v>
      </c>
      <c r="AK8" s="9" t="s">
        <v>338</v>
      </c>
      <c r="AL8" s="9" t="s">
        <v>339</v>
      </c>
      <c r="AM8" s="9" t="s">
        <v>340</v>
      </c>
      <c r="AN8" s="9" t="s">
        <v>341</v>
      </c>
      <c r="AO8" s="9" t="s">
        <v>342</v>
      </c>
      <c r="AP8" s="9" t="s">
        <v>343</v>
      </c>
      <c r="AQ8" s="9" t="s">
        <v>344</v>
      </c>
      <c r="AR8" s="9" t="s">
        <v>345</v>
      </c>
      <c r="AS8" s="9" t="s">
        <v>346</v>
      </c>
      <c r="AT8" s="9" t="s">
        <v>347</v>
      </c>
      <c r="AU8" s="9" t="s">
        <v>348</v>
      </c>
      <c r="AV8" s="9" t="s">
        <v>349</v>
      </c>
      <c r="AW8" s="9" t="s">
        <v>350</v>
      </c>
      <c r="AX8" s="9" t="s">
        <v>351</v>
      </c>
      <c r="AY8" s="9" t="s">
        <v>352</v>
      </c>
      <c r="AZ8" s="9" t="s">
        <v>339</v>
      </c>
      <c r="BA8" s="9" t="s">
        <v>308</v>
      </c>
      <c r="BB8" s="9" t="s">
        <v>309</v>
      </c>
      <c r="BC8" s="9" t="s">
        <v>310</v>
      </c>
      <c r="BD8" s="9" t="s">
        <v>329</v>
      </c>
      <c r="BE8" s="9" t="s">
        <v>311</v>
      </c>
      <c r="BF8" s="9" t="s">
        <v>312</v>
      </c>
      <c r="BG8" s="9" t="s">
        <v>353</v>
      </c>
      <c r="BH8" s="9" t="s">
        <v>316</v>
      </c>
      <c r="BI8" s="9" t="s">
        <v>317</v>
      </c>
      <c r="BJ8" s="9" t="s">
        <v>354</v>
      </c>
      <c r="BK8" s="9">
        <f t="shared" si="2"/>
        <v>6</v>
      </c>
    </row>
    <row r="9" spans="1:63" x14ac:dyDescent="0.25">
      <c r="A9" s="5">
        <v>7</v>
      </c>
      <c r="B9" s="6" t="s">
        <v>355</v>
      </c>
      <c r="C9" s="6" t="s">
        <v>356</v>
      </c>
      <c r="D9" s="7" t="e">
        <f ca="1">_xll.BDH(Tickers!$C9,"px_last",[1]Futures!$A$9,[1]Futures!$A$9,"days=all")</f>
        <v>#NAME?</v>
      </c>
      <c r="E9" s="6" t="e">
        <f ca="1">_xll.BDP(C9,"QUOTE_UNITS")</f>
        <v>#NAME?</v>
      </c>
      <c r="F9" s="6" t="e">
        <f ca="1">_xll.BDP(C9,"FUT_CONT_SIZE")</f>
        <v>#NAME?</v>
      </c>
      <c r="G9" s="6" t="s">
        <v>357</v>
      </c>
      <c r="H9" s="6" t="s">
        <v>358</v>
      </c>
      <c r="I9" s="6" t="s">
        <v>359</v>
      </c>
      <c r="J9" s="6" t="s">
        <v>360</v>
      </c>
      <c r="K9" s="6" t="s">
        <v>361</v>
      </c>
      <c r="L9" s="6" t="s">
        <v>362</v>
      </c>
      <c r="M9" s="6" t="s">
        <v>363</v>
      </c>
      <c r="N9" s="6" t="s">
        <v>364</v>
      </c>
      <c r="O9" s="6" t="s">
        <v>365</v>
      </c>
      <c r="P9" s="6" t="s">
        <v>366</v>
      </c>
      <c r="Q9" s="6" t="s">
        <v>367</v>
      </c>
      <c r="R9" s="6" t="s">
        <v>368</v>
      </c>
      <c r="S9" s="6" t="s">
        <v>369</v>
      </c>
      <c r="T9" s="6" t="s">
        <v>370</v>
      </c>
      <c r="U9" s="6" t="s">
        <v>371</v>
      </c>
      <c r="V9" s="6" t="s">
        <v>372</v>
      </c>
      <c r="W9" s="6" t="s">
        <v>373</v>
      </c>
      <c r="X9" s="6" t="s">
        <v>374</v>
      </c>
      <c r="Y9" s="6" t="s">
        <v>375</v>
      </c>
      <c r="Z9" s="6" t="s">
        <v>376</v>
      </c>
      <c r="AA9" s="6" t="s">
        <v>377</v>
      </c>
      <c r="AB9" s="8" t="s">
        <v>378</v>
      </c>
      <c r="AC9" s="6"/>
      <c r="AD9" s="8"/>
      <c r="AE9" s="9" t="s">
        <v>379</v>
      </c>
      <c r="AF9" s="9" t="s">
        <v>380</v>
      </c>
      <c r="AG9" s="9" t="s">
        <v>381</v>
      </c>
      <c r="AH9" s="9" t="s">
        <v>382</v>
      </c>
      <c r="AI9" s="9" t="s">
        <v>383</v>
      </c>
      <c r="AJ9" s="9" t="s">
        <v>384</v>
      </c>
      <c r="AK9" s="9" t="s">
        <v>385</v>
      </c>
      <c r="AL9" s="9" t="s">
        <v>386</v>
      </c>
      <c r="AM9" s="9" t="s">
        <v>387</v>
      </c>
      <c r="AN9" s="9" t="s">
        <v>388</v>
      </c>
      <c r="AO9" s="9" t="s">
        <v>389</v>
      </c>
      <c r="AP9" s="9" t="s">
        <v>390</v>
      </c>
      <c r="AQ9" s="9" t="s">
        <v>391</v>
      </c>
      <c r="AR9" s="9" t="s">
        <v>392</v>
      </c>
      <c r="AS9" s="9" t="s">
        <v>393</v>
      </c>
      <c r="AT9" s="9" t="s">
        <v>394</v>
      </c>
      <c r="AU9" s="9" t="s">
        <v>395</v>
      </c>
      <c r="AV9" s="9" t="s">
        <v>396</v>
      </c>
      <c r="AW9" s="9" t="s">
        <v>397</v>
      </c>
      <c r="AX9" s="9" t="s">
        <v>398</v>
      </c>
      <c r="AY9" s="9" t="s">
        <v>399</v>
      </c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>
        <f t="shared" si="2"/>
        <v>7</v>
      </c>
    </row>
    <row r="10" spans="1:63" x14ac:dyDescent="0.25">
      <c r="A10" s="5">
        <v>8</v>
      </c>
      <c r="B10" s="6" t="s">
        <v>400</v>
      </c>
      <c r="C10" s="6" t="s">
        <v>401</v>
      </c>
      <c r="D10" s="7" t="e">
        <f ca="1">_xll.BDH(Tickers!$C10,"px_last",[1]Futures!$A$9,[1]Futures!$A$9,"days=all")</f>
        <v>#NAME?</v>
      </c>
      <c r="E10" s="6" t="e">
        <f ca="1">_xll.BDP(C10,"QUOTE_UNITS")</f>
        <v>#NAME?</v>
      </c>
      <c r="F10" s="6" t="e">
        <f ca="1">_xll.BDP(C10,"FUT_CONT_SIZE")/100</f>
        <v>#NAME?</v>
      </c>
      <c r="G10" s="6" t="s">
        <v>402</v>
      </c>
      <c r="H10" s="6" t="s">
        <v>403</v>
      </c>
      <c r="I10" s="6" t="s">
        <v>404</v>
      </c>
      <c r="J10" s="6" t="s">
        <v>405</v>
      </c>
      <c r="K10" s="6" t="s">
        <v>406</v>
      </c>
      <c r="L10" s="6" t="s">
        <v>407</v>
      </c>
      <c r="M10" s="6" t="s">
        <v>408</v>
      </c>
      <c r="N10" s="6" t="s">
        <v>409</v>
      </c>
      <c r="O10" s="6" t="s">
        <v>410</v>
      </c>
      <c r="P10" s="6" t="s">
        <v>411</v>
      </c>
      <c r="Q10" s="6" t="s">
        <v>412</v>
      </c>
      <c r="R10" s="6" t="s">
        <v>413</v>
      </c>
      <c r="S10" s="6" t="s">
        <v>414</v>
      </c>
      <c r="T10" s="6" t="s">
        <v>415</v>
      </c>
      <c r="U10" s="6" t="s">
        <v>416</v>
      </c>
      <c r="V10" s="6" t="s">
        <v>417</v>
      </c>
      <c r="W10" s="6" t="s">
        <v>418</v>
      </c>
      <c r="X10" s="6" t="s">
        <v>419</v>
      </c>
      <c r="Y10" s="6" t="s">
        <v>420</v>
      </c>
      <c r="Z10" s="6" t="s">
        <v>421</v>
      </c>
      <c r="AA10" s="6" t="s">
        <v>422</v>
      </c>
      <c r="AB10" s="8" t="s">
        <v>423</v>
      </c>
      <c r="AC10" s="6" t="s">
        <v>424</v>
      </c>
      <c r="AD10" s="8" t="s">
        <v>425</v>
      </c>
      <c r="AE10" s="9" t="s">
        <v>426</v>
      </c>
      <c r="AF10" s="9" t="s">
        <v>427</v>
      </c>
      <c r="AG10" s="9" t="s">
        <v>428</v>
      </c>
      <c r="AH10" s="9" t="s">
        <v>429</v>
      </c>
      <c r="AI10" s="9" t="s">
        <v>430</v>
      </c>
      <c r="AJ10" s="9" t="s">
        <v>431</v>
      </c>
      <c r="AK10" s="9" t="s">
        <v>432</v>
      </c>
      <c r="AL10" s="9" t="s">
        <v>433</v>
      </c>
      <c r="AM10" s="9" t="s">
        <v>434</v>
      </c>
      <c r="AN10" s="9" t="s">
        <v>435</v>
      </c>
      <c r="AO10" s="9" t="s">
        <v>436</v>
      </c>
      <c r="AP10" s="9" t="s">
        <v>437</v>
      </c>
      <c r="AQ10" s="9" t="s">
        <v>438</v>
      </c>
      <c r="AR10" s="9" t="s">
        <v>439</v>
      </c>
      <c r="AS10" s="9" t="s">
        <v>440</v>
      </c>
      <c r="AT10" s="9" t="s">
        <v>441</v>
      </c>
      <c r="AU10" s="9" t="s">
        <v>442</v>
      </c>
      <c r="AV10" s="9" t="s">
        <v>443</v>
      </c>
      <c r="AW10" s="9" t="s">
        <v>444</v>
      </c>
      <c r="AX10" s="9" t="s">
        <v>445</v>
      </c>
      <c r="AY10" s="9" t="s">
        <v>446</v>
      </c>
      <c r="AZ10" s="9" t="s">
        <v>433</v>
      </c>
      <c r="BA10" s="9" t="s">
        <v>426</v>
      </c>
      <c r="BB10" s="9" t="s">
        <v>427</v>
      </c>
      <c r="BC10" s="9" t="s">
        <v>428</v>
      </c>
      <c r="BD10" s="9" t="s">
        <v>447</v>
      </c>
      <c r="BE10" s="9" t="s">
        <v>429</v>
      </c>
      <c r="BF10" s="9" t="s">
        <v>430</v>
      </c>
      <c r="BG10" s="9" t="s">
        <v>448</v>
      </c>
      <c r="BH10" s="9" t="s">
        <v>434</v>
      </c>
      <c r="BI10" s="9" t="s">
        <v>435</v>
      </c>
      <c r="BJ10" s="9" t="s">
        <v>449</v>
      </c>
      <c r="BK10" s="9">
        <f t="shared" si="2"/>
        <v>8</v>
      </c>
    </row>
    <row r="11" spans="1:63" x14ac:dyDescent="0.25">
      <c r="A11" s="5">
        <v>9</v>
      </c>
      <c r="B11" s="6" t="s">
        <v>450</v>
      </c>
      <c r="C11" s="6" t="s">
        <v>451</v>
      </c>
      <c r="D11" s="7" t="e">
        <f ca="1">_xll.BDH(Tickers!$C11,"px_last",[1]Futures!$A$9,[1]Futures!$A$9,"days=all")</f>
        <v>#NAME?</v>
      </c>
      <c r="E11" s="6" t="e">
        <f ca="1">_xll.BDP(C11,"QUOTE_UNITS")</f>
        <v>#NAME?</v>
      </c>
      <c r="F11" s="6" t="e">
        <f ca="1">_xll.BDP(C11,"FUT_CONT_SIZE")/100</f>
        <v>#NAME?</v>
      </c>
      <c r="G11" s="6" t="s">
        <v>452</v>
      </c>
      <c r="H11" s="6" t="s">
        <v>453</v>
      </c>
      <c r="I11" s="6" t="s">
        <v>454</v>
      </c>
      <c r="J11" s="6" t="s">
        <v>455</v>
      </c>
      <c r="K11" s="6" t="s">
        <v>456</v>
      </c>
      <c r="L11" s="6" t="s">
        <v>457</v>
      </c>
      <c r="M11" s="6" t="s">
        <v>458</v>
      </c>
      <c r="N11" s="6" t="s">
        <v>459</v>
      </c>
      <c r="O11" s="6" t="s">
        <v>460</v>
      </c>
      <c r="P11" s="6" t="s">
        <v>461</v>
      </c>
      <c r="Q11" s="6" t="s">
        <v>462</v>
      </c>
      <c r="R11" s="6" t="s">
        <v>463</v>
      </c>
      <c r="S11" s="6" t="s">
        <v>464</v>
      </c>
      <c r="T11" s="6" t="s">
        <v>465</v>
      </c>
      <c r="U11" s="6" t="s">
        <v>466</v>
      </c>
      <c r="V11" s="6" t="s">
        <v>467</v>
      </c>
      <c r="W11" s="6" t="s">
        <v>468</v>
      </c>
      <c r="X11" s="6" t="s">
        <v>469</v>
      </c>
      <c r="Y11" s="6" t="s">
        <v>470</v>
      </c>
      <c r="Z11" s="6" t="s">
        <v>471</v>
      </c>
      <c r="AA11" s="6" t="s">
        <v>472</v>
      </c>
      <c r="AB11" s="8" t="s">
        <v>473</v>
      </c>
      <c r="AC11" s="6" t="s">
        <v>474</v>
      </c>
      <c r="AD11" s="8" t="s">
        <v>475</v>
      </c>
      <c r="AE11" s="9" t="s">
        <v>476</v>
      </c>
      <c r="AF11" s="9" t="s">
        <v>477</v>
      </c>
      <c r="AG11" s="9" t="s">
        <v>478</v>
      </c>
      <c r="AH11" s="9" t="s">
        <v>479</v>
      </c>
      <c r="AI11" s="9" t="s">
        <v>480</v>
      </c>
      <c r="AJ11" s="9" t="s">
        <v>481</v>
      </c>
      <c r="AK11" s="9" t="s">
        <v>482</v>
      </c>
      <c r="AL11" s="9" t="s">
        <v>483</v>
      </c>
      <c r="AM11" s="9" t="s">
        <v>484</v>
      </c>
      <c r="AN11" s="9" t="s">
        <v>485</v>
      </c>
      <c r="AO11" s="9" t="s">
        <v>486</v>
      </c>
      <c r="AP11" s="9" t="s">
        <v>487</v>
      </c>
      <c r="AQ11" s="9" t="s">
        <v>488</v>
      </c>
      <c r="AR11" s="9" t="s">
        <v>489</v>
      </c>
      <c r="AS11" s="9" t="s">
        <v>490</v>
      </c>
      <c r="AT11" s="9" t="s">
        <v>491</v>
      </c>
      <c r="AU11" s="9" t="s">
        <v>492</v>
      </c>
      <c r="AV11" s="9" t="s">
        <v>493</v>
      </c>
      <c r="AW11" s="9" t="s">
        <v>494</v>
      </c>
      <c r="AX11" s="9" t="s">
        <v>495</v>
      </c>
      <c r="AY11" s="9" t="s">
        <v>496</v>
      </c>
      <c r="AZ11" s="9" t="s">
        <v>483</v>
      </c>
      <c r="BA11" s="9" t="s">
        <v>476</v>
      </c>
      <c r="BB11" s="9" t="s">
        <v>477</v>
      </c>
      <c r="BC11" s="9" t="s">
        <v>478</v>
      </c>
      <c r="BD11" s="9" t="s">
        <v>497</v>
      </c>
      <c r="BE11" s="9" t="s">
        <v>479</v>
      </c>
      <c r="BF11" s="9" t="s">
        <v>480</v>
      </c>
      <c r="BG11" s="9" t="s">
        <v>498</v>
      </c>
      <c r="BH11" s="9" t="s">
        <v>484</v>
      </c>
      <c r="BI11" s="9" t="s">
        <v>485</v>
      </c>
      <c r="BJ11" s="9" t="s">
        <v>499</v>
      </c>
      <c r="BK11" s="9">
        <f t="shared" si="2"/>
        <v>9</v>
      </c>
    </row>
    <row r="12" spans="1:63" x14ac:dyDescent="0.25">
      <c r="A12" s="5">
        <v>10</v>
      </c>
      <c r="B12" s="6" t="s">
        <v>500</v>
      </c>
      <c r="C12" s="6" t="s">
        <v>501</v>
      </c>
      <c r="D12" s="7" t="e">
        <f ca="1">_xll.BDH(Tickers!$C12,"px_last",[1]Futures!$A$9,[1]Futures!$A$9,"days=all")</f>
        <v>#NAME?</v>
      </c>
      <c r="E12" s="6" t="e">
        <f ca="1">_xll.BDP(C12,"QUOTE_UNITS")</f>
        <v>#NAME?</v>
      </c>
      <c r="F12" s="6" t="e">
        <f ca="1">_xll.BDP(C12,"FUT_CONT_SIZE")/100</f>
        <v>#NAME?</v>
      </c>
      <c r="G12" s="6" t="s">
        <v>502</v>
      </c>
      <c r="H12" s="6" t="s">
        <v>503</v>
      </c>
      <c r="I12" s="6" t="s">
        <v>504</v>
      </c>
      <c r="J12" s="6" t="s">
        <v>505</v>
      </c>
      <c r="K12" s="6" t="s">
        <v>506</v>
      </c>
      <c r="L12" s="6" t="s">
        <v>507</v>
      </c>
      <c r="M12" s="6" t="s">
        <v>508</v>
      </c>
      <c r="N12" s="6" t="s">
        <v>509</v>
      </c>
      <c r="O12" s="6" t="s">
        <v>510</v>
      </c>
      <c r="P12" s="6" t="s">
        <v>511</v>
      </c>
      <c r="Q12" s="6" t="s">
        <v>512</v>
      </c>
      <c r="R12" s="6" t="s">
        <v>513</v>
      </c>
      <c r="S12" s="6" t="s">
        <v>514</v>
      </c>
      <c r="T12" s="6" t="s">
        <v>515</v>
      </c>
      <c r="U12" s="6" t="s">
        <v>516</v>
      </c>
      <c r="V12" s="6" t="s">
        <v>517</v>
      </c>
      <c r="W12" s="6" t="s">
        <v>518</v>
      </c>
      <c r="X12" s="6" t="s">
        <v>519</v>
      </c>
      <c r="Y12" s="6" t="s">
        <v>520</v>
      </c>
      <c r="Z12" s="6" t="s">
        <v>521</v>
      </c>
      <c r="AA12" s="6" t="s">
        <v>522</v>
      </c>
      <c r="AB12" s="8" t="s">
        <v>523</v>
      </c>
      <c r="AC12" s="6" t="s">
        <v>524</v>
      </c>
      <c r="AD12" s="8" t="s">
        <v>525</v>
      </c>
      <c r="AE12" s="9" t="s">
        <v>526</v>
      </c>
      <c r="AF12" s="9" t="s">
        <v>527</v>
      </c>
      <c r="AG12" s="9" t="s">
        <v>528</v>
      </c>
      <c r="AH12" s="9" t="s">
        <v>529</v>
      </c>
      <c r="AI12" s="9" t="s">
        <v>530</v>
      </c>
      <c r="AJ12" s="9" t="s">
        <v>531</v>
      </c>
      <c r="AK12" s="9" t="s">
        <v>532</v>
      </c>
      <c r="AL12" s="9" t="s">
        <v>533</v>
      </c>
      <c r="AM12" s="9" t="s">
        <v>534</v>
      </c>
      <c r="AN12" s="9" t="s">
        <v>535</v>
      </c>
      <c r="AO12" s="9" t="s">
        <v>536</v>
      </c>
      <c r="AP12" s="9" t="s">
        <v>537</v>
      </c>
      <c r="AQ12" s="9" t="s">
        <v>538</v>
      </c>
      <c r="AR12" s="9" t="s">
        <v>539</v>
      </c>
      <c r="AS12" s="9" t="s">
        <v>540</v>
      </c>
      <c r="AT12" s="9" t="s">
        <v>541</v>
      </c>
      <c r="AU12" s="9" t="s">
        <v>542</v>
      </c>
      <c r="AV12" s="9" t="s">
        <v>543</v>
      </c>
      <c r="AW12" s="9" t="s">
        <v>544</v>
      </c>
      <c r="AX12" s="9" t="s">
        <v>545</v>
      </c>
      <c r="AY12" s="9" t="s">
        <v>546</v>
      </c>
      <c r="AZ12" s="9" t="s">
        <v>533</v>
      </c>
      <c r="BA12" s="9" t="s">
        <v>526</v>
      </c>
      <c r="BB12" s="9" t="s">
        <v>527</v>
      </c>
      <c r="BC12" s="9" t="s">
        <v>528</v>
      </c>
      <c r="BD12" s="9" t="s">
        <v>547</v>
      </c>
      <c r="BE12" s="9" t="s">
        <v>529</v>
      </c>
      <c r="BF12" s="9" t="s">
        <v>530</v>
      </c>
      <c r="BG12" s="9" t="s">
        <v>548</v>
      </c>
      <c r="BH12" s="9" t="s">
        <v>534</v>
      </c>
      <c r="BI12" s="9" t="s">
        <v>535</v>
      </c>
      <c r="BJ12" s="9" t="s">
        <v>549</v>
      </c>
      <c r="BK12" s="9">
        <f t="shared" si="2"/>
        <v>10</v>
      </c>
    </row>
    <row r="13" spans="1:63" x14ac:dyDescent="0.25">
      <c r="A13" s="5">
        <v>11</v>
      </c>
      <c r="B13" s="6" t="s">
        <v>550</v>
      </c>
      <c r="C13" s="6" t="s">
        <v>551</v>
      </c>
      <c r="D13" s="7" t="e">
        <f ca="1">_xll.BDH(Tickers!$C13,"px_last",[1]Futures!$A$9,[1]Futures!$A$9,"days=all")</f>
        <v>#NAME?</v>
      </c>
      <c r="E13" s="6" t="s">
        <v>552</v>
      </c>
      <c r="F13" s="6" t="e">
        <f ca="1">_xll.BDP(C13,"FUT_CONT_SIZE")</f>
        <v>#NAME?</v>
      </c>
      <c r="G13" s="6" t="s">
        <v>553</v>
      </c>
      <c r="H13" s="6" t="s">
        <v>554</v>
      </c>
      <c r="I13" s="6" t="s">
        <v>555</v>
      </c>
      <c r="J13" s="6" t="s">
        <v>556</v>
      </c>
      <c r="K13" s="6" t="s">
        <v>557</v>
      </c>
      <c r="L13" s="6" t="s">
        <v>558</v>
      </c>
      <c r="M13" s="6" t="s">
        <v>559</v>
      </c>
      <c r="N13" s="6" t="s">
        <v>560</v>
      </c>
      <c r="O13" s="6" t="s">
        <v>561</v>
      </c>
      <c r="P13" s="6" t="s">
        <v>562</v>
      </c>
      <c r="Q13" s="6" t="s">
        <v>563</v>
      </c>
      <c r="R13" s="6" t="s">
        <v>564</v>
      </c>
      <c r="S13" s="6" t="s">
        <v>565</v>
      </c>
      <c r="T13" s="6" t="s">
        <v>566</v>
      </c>
      <c r="U13" s="6" t="s">
        <v>567</v>
      </c>
      <c r="V13" s="6" t="s">
        <v>568</v>
      </c>
      <c r="W13" s="6" t="s">
        <v>569</v>
      </c>
      <c r="X13" s="6" t="s">
        <v>570</v>
      </c>
      <c r="Y13" s="6" t="s">
        <v>571</v>
      </c>
      <c r="Z13" s="6" t="s">
        <v>572</v>
      </c>
      <c r="AA13" s="6" t="s">
        <v>573</v>
      </c>
      <c r="AB13" s="6" t="s">
        <v>574</v>
      </c>
      <c r="AC13" s="6"/>
      <c r="AD13" s="6"/>
      <c r="AE13" s="9" t="s">
        <v>575</v>
      </c>
      <c r="AF13" s="9" t="s">
        <v>576</v>
      </c>
      <c r="AG13" s="9" t="s">
        <v>577</v>
      </c>
      <c r="AH13" s="9" t="s">
        <v>578</v>
      </c>
      <c r="AI13" s="9" t="s">
        <v>579</v>
      </c>
      <c r="AJ13" s="9" t="s">
        <v>580</v>
      </c>
      <c r="AK13" s="9" t="s">
        <v>581</v>
      </c>
      <c r="AL13" s="9" t="s">
        <v>582</v>
      </c>
      <c r="AM13" s="9" t="s">
        <v>583</v>
      </c>
      <c r="AN13" s="9" t="s">
        <v>584</v>
      </c>
      <c r="AO13" s="9" t="s">
        <v>585</v>
      </c>
      <c r="AP13" s="9" t="s">
        <v>586</v>
      </c>
      <c r="AQ13" s="9" t="s">
        <v>587</v>
      </c>
      <c r="AR13" s="9" t="s">
        <v>588</v>
      </c>
      <c r="AS13" s="9" t="s">
        <v>589</v>
      </c>
      <c r="AT13" s="9" t="s">
        <v>590</v>
      </c>
      <c r="AU13" s="9" t="s">
        <v>591</v>
      </c>
      <c r="AV13" s="9" t="s">
        <v>592</v>
      </c>
      <c r="AW13" s="9" t="s">
        <v>593</v>
      </c>
      <c r="AX13" s="9" t="s">
        <v>594</v>
      </c>
      <c r="AY13" s="9" t="s">
        <v>595</v>
      </c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>
        <f>A13</f>
        <v>11</v>
      </c>
    </row>
    <row r="14" spans="1:63" x14ac:dyDescent="0.25">
      <c r="A14" s="5">
        <v>12</v>
      </c>
      <c r="B14" s="6" t="s">
        <v>596</v>
      </c>
      <c r="C14" s="6" t="s">
        <v>597</v>
      </c>
      <c r="D14" s="7" t="e">
        <f ca="1">_xll.BDH(Tickers!$C14,"px_last",[1]Futures!$A$9,[1]Futures!$A$9,"days=all")</f>
        <v>#NAME?</v>
      </c>
      <c r="E14" s="6" t="s">
        <v>598</v>
      </c>
      <c r="F14" s="6" t="e">
        <f ca="1">_xll.BDP(C14,"FUT_CONT_SIZE")/100</f>
        <v>#NAME?</v>
      </c>
      <c r="G14" s="6" t="s">
        <v>599</v>
      </c>
      <c r="H14" s="6" t="s">
        <v>600</v>
      </c>
      <c r="I14" s="6" t="s">
        <v>601</v>
      </c>
      <c r="J14" s="6" t="s">
        <v>602</v>
      </c>
      <c r="K14" s="6" t="s">
        <v>603</v>
      </c>
      <c r="L14" s="6" t="s">
        <v>604</v>
      </c>
      <c r="M14" s="6" t="s">
        <v>605</v>
      </c>
      <c r="N14" s="6" t="s">
        <v>606</v>
      </c>
      <c r="O14" s="6" t="s">
        <v>607</v>
      </c>
      <c r="P14" s="6" t="s">
        <v>608</v>
      </c>
      <c r="Q14" s="6" t="s">
        <v>609</v>
      </c>
      <c r="R14" s="6" t="s">
        <v>610</v>
      </c>
      <c r="S14" s="6" t="s">
        <v>611</v>
      </c>
      <c r="T14" s="6" t="s">
        <v>612</v>
      </c>
      <c r="U14" s="6" t="s">
        <v>613</v>
      </c>
      <c r="V14" s="6" t="s">
        <v>614</v>
      </c>
      <c r="W14" s="6" t="s">
        <v>615</v>
      </c>
      <c r="X14" s="6" t="s">
        <v>616</v>
      </c>
      <c r="Y14" s="6" t="s">
        <v>617</v>
      </c>
      <c r="Z14" s="6" t="s">
        <v>618</v>
      </c>
      <c r="AA14" s="6" t="s">
        <v>619</v>
      </c>
      <c r="AB14" s="6" t="s">
        <v>620</v>
      </c>
      <c r="AC14" s="6"/>
      <c r="AD14" s="6"/>
      <c r="AE14" s="9" t="s">
        <v>621</v>
      </c>
      <c r="AF14" s="9" t="s">
        <v>622</v>
      </c>
      <c r="AG14" s="9" t="s">
        <v>623</v>
      </c>
      <c r="AH14" s="9" t="s">
        <v>624</v>
      </c>
      <c r="AI14" s="9" t="s">
        <v>625</v>
      </c>
      <c r="AJ14" s="9" t="s">
        <v>626</v>
      </c>
      <c r="AK14" s="9" t="s">
        <v>627</v>
      </c>
      <c r="AL14" s="9" t="s">
        <v>628</v>
      </c>
      <c r="AM14" s="9" t="s">
        <v>629</v>
      </c>
      <c r="AN14" s="9" t="s">
        <v>630</v>
      </c>
      <c r="AO14" s="9" t="s">
        <v>631</v>
      </c>
      <c r="AP14" s="9" t="s">
        <v>632</v>
      </c>
      <c r="AQ14" s="9" t="s">
        <v>633</v>
      </c>
      <c r="AR14" s="9" t="s">
        <v>634</v>
      </c>
      <c r="AS14" s="9" t="s">
        <v>635</v>
      </c>
      <c r="AT14" s="9" t="s">
        <v>636</v>
      </c>
      <c r="AU14" s="9" t="s">
        <v>637</v>
      </c>
      <c r="AV14" s="9" t="s">
        <v>638</v>
      </c>
      <c r="AW14" s="9" t="s">
        <v>639</v>
      </c>
      <c r="AX14" s="9" t="s">
        <v>640</v>
      </c>
      <c r="AY14" s="9" t="s">
        <v>641</v>
      </c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>
        <f>A14</f>
        <v>12</v>
      </c>
    </row>
    <row r="15" spans="1:63" x14ac:dyDescent="0.25">
      <c r="A15" s="5">
        <v>13</v>
      </c>
      <c r="B15" s="6" t="s">
        <v>642</v>
      </c>
      <c r="C15" s="6" t="s">
        <v>643</v>
      </c>
      <c r="D15" s="7" t="e">
        <f ca="1">_xll.BDH(Tickers!$C15,"px_last",[1]Futures!$A$9,[1]Futures!$A$9,"days=all")</f>
        <v>#NAME?</v>
      </c>
      <c r="E15" s="7" t="e">
        <f ca="1">_xll.BDP(C15,"QUOTE_UNITS")</f>
        <v>#NAME?</v>
      </c>
      <c r="F15" s="6" t="e">
        <f ca="1">_xll.BDP(C15,"FUT_CONT_SIZE")</f>
        <v>#NAME?</v>
      </c>
      <c r="G15" s="6" t="s">
        <v>644</v>
      </c>
      <c r="H15" s="6" t="s">
        <v>645</v>
      </c>
      <c r="I15" s="6" t="s">
        <v>646</v>
      </c>
      <c r="J15" s="6" t="s">
        <v>647</v>
      </c>
      <c r="K15" s="6" t="s">
        <v>648</v>
      </c>
      <c r="L15" s="6" t="s">
        <v>649</v>
      </c>
      <c r="M15" s="6" t="s">
        <v>650</v>
      </c>
      <c r="N15" s="6" t="s">
        <v>651</v>
      </c>
      <c r="O15" s="6" t="s">
        <v>652</v>
      </c>
      <c r="P15" s="6" t="s">
        <v>653</v>
      </c>
      <c r="Q15" s="6" t="s">
        <v>654</v>
      </c>
      <c r="R15" s="6" t="s">
        <v>655</v>
      </c>
      <c r="S15" s="6" t="s">
        <v>656</v>
      </c>
      <c r="T15" s="6" t="s">
        <v>657</v>
      </c>
      <c r="U15" s="6" t="s">
        <v>658</v>
      </c>
      <c r="V15" s="6" t="s">
        <v>659</v>
      </c>
      <c r="W15" s="6" t="s">
        <v>660</v>
      </c>
      <c r="X15" s="6" t="s">
        <v>661</v>
      </c>
      <c r="Y15" s="6" t="s">
        <v>662</v>
      </c>
      <c r="Z15" s="6" t="s">
        <v>663</v>
      </c>
      <c r="AA15" s="6" t="s">
        <v>664</v>
      </c>
      <c r="AB15" s="8" t="s">
        <v>665</v>
      </c>
      <c r="AC15" s="6"/>
      <c r="AD15" s="8"/>
      <c r="AE15" s="9" t="s">
        <v>666</v>
      </c>
      <c r="AF15" s="9" t="s">
        <v>667</v>
      </c>
      <c r="AG15" s="9" t="s">
        <v>668</v>
      </c>
      <c r="AH15" s="9" t="s">
        <v>669</v>
      </c>
      <c r="AI15" s="9" t="s">
        <v>670</v>
      </c>
      <c r="AJ15" s="9" t="s">
        <v>671</v>
      </c>
      <c r="AK15" s="9" t="s">
        <v>672</v>
      </c>
      <c r="AL15" s="9" t="s">
        <v>673</v>
      </c>
      <c r="AM15" s="9" t="s">
        <v>674</v>
      </c>
      <c r="AN15" s="9" t="s">
        <v>675</v>
      </c>
      <c r="AO15" s="9" t="s">
        <v>676</v>
      </c>
      <c r="AP15" s="9" t="s">
        <v>677</v>
      </c>
      <c r="AQ15" s="9" t="s">
        <v>678</v>
      </c>
      <c r="AR15" s="9" t="s">
        <v>679</v>
      </c>
      <c r="AS15" s="9" t="s">
        <v>680</v>
      </c>
      <c r="AT15" s="9" t="s">
        <v>681</v>
      </c>
      <c r="AU15" s="9" t="s">
        <v>682</v>
      </c>
      <c r="AV15" s="9" t="s">
        <v>683</v>
      </c>
      <c r="AW15" s="9" t="s">
        <v>684</v>
      </c>
      <c r="AX15" s="9" t="s">
        <v>685</v>
      </c>
      <c r="AY15" s="9" t="s">
        <v>686</v>
      </c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>
        <f t="shared" si="2"/>
        <v>13</v>
      </c>
    </row>
    <row r="16" spans="1:63" x14ac:dyDescent="0.25">
      <c r="A16" s="5">
        <v>14</v>
      </c>
      <c r="B16" s="6" t="s">
        <v>687</v>
      </c>
      <c r="C16" s="6" t="s">
        <v>688</v>
      </c>
      <c r="D16" s="7" t="e">
        <f ca="1">_xll.BDH(Tickers!$C16,"px_last",[1]Futures!$A$9,[1]Futures!$A$9,"days=all")</f>
        <v>#NAME?</v>
      </c>
      <c r="E16" s="7" t="e">
        <f ca="1">_xll.BDP(C16,"QUOTE_UNITS")</f>
        <v>#NAME?</v>
      </c>
      <c r="F16" s="6" t="e">
        <f ca="1">_xll.BDP(C16,"FUT_CONT_SIZE")/100</f>
        <v>#NAME?</v>
      </c>
      <c r="G16" s="6" t="s">
        <v>689</v>
      </c>
      <c r="H16" s="6" t="s">
        <v>690</v>
      </c>
      <c r="I16" s="6" t="s">
        <v>691</v>
      </c>
      <c r="J16" s="6" t="s">
        <v>692</v>
      </c>
      <c r="K16" s="6" t="s">
        <v>693</v>
      </c>
      <c r="L16" s="6" t="s">
        <v>694</v>
      </c>
      <c r="M16" s="6" t="s">
        <v>695</v>
      </c>
      <c r="N16" s="6" t="s">
        <v>696</v>
      </c>
      <c r="O16" s="6" t="s">
        <v>697</v>
      </c>
      <c r="P16" s="6" t="s">
        <v>698</v>
      </c>
      <c r="Q16" s="6" t="s">
        <v>699</v>
      </c>
      <c r="R16" s="6" t="s">
        <v>700</v>
      </c>
      <c r="S16" s="6" t="s">
        <v>701</v>
      </c>
      <c r="T16" s="6" t="s">
        <v>702</v>
      </c>
      <c r="U16" s="6" t="s">
        <v>703</v>
      </c>
      <c r="V16" s="6" t="s">
        <v>704</v>
      </c>
      <c r="W16" s="6" t="s">
        <v>705</v>
      </c>
      <c r="X16" s="6" t="s">
        <v>706</v>
      </c>
      <c r="Y16" s="6" t="s">
        <v>707</v>
      </c>
      <c r="Z16" s="6" t="s">
        <v>708</v>
      </c>
      <c r="AA16" s="6" t="s">
        <v>709</v>
      </c>
      <c r="AB16" s="8" t="s">
        <v>710</v>
      </c>
      <c r="AC16" s="6"/>
      <c r="AD16" s="8"/>
      <c r="AE16" s="9" t="s">
        <v>711</v>
      </c>
      <c r="AF16" s="9" t="s">
        <v>712</v>
      </c>
      <c r="AG16" s="9" t="s">
        <v>713</v>
      </c>
      <c r="AH16" s="9" t="s">
        <v>714</v>
      </c>
      <c r="AI16" s="9" t="s">
        <v>715</v>
      </c>
      <c r="AJ16" s="9" t="s">
        <v>716</v>
      </c>
      <c r="AK16" s="9" t="s">
        <v>717</v>
      </c>
      <c r="AL16" s="9" t="s">
        <v>718</v>
      </c>
      <c r="AM16" s="9" t="s">
        <v>719</v>
      </c>
      <c r="AN16" s="9" t="s">
        <v>720</v>
      </c>
      <c r="AO16" s="9" t="s">
        <v>721</v>
      </c>
      <c r="AP16" s="9" t="s">
        <v>722</v>
      </c>
      <c r="AQ16" s="9" t="s">
        <v>723</v>
      </c>
      <c r="AR16" s="9" t="s">
        <v>724</v>
      </c>
      <c r="AS16" s="9" t="s">
        <v>725</v>
      </c>
      <c r="AT16" s="9" t="s">
        <v>726</v>
      </c>
      <c r="AU16" s="9" t="s">
        <v>727</v>
      </c>
      <c r="AV16" s="9" t="s">
        <v>728</v>
      </c>
      <c r="AW16" s="9" t="s">
        <v>729</v>
      </c>
      <c r="AX16" s="9" t="s">
        <v>730</v>
      </c>
      <c r="AY16" s="9" t="s">
        <v>731</v>
      </c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>
        <f t="shared" si="2"/>
        <v>14</v>
      </c>
    </row>
    <row r="17" spans="1:63" x14ac:dyDescent="0.25">
      <c r="A17" s="5">
        <v>15</v>
      </c>
      <c r="B17" s="6" t="s">
        <v>732</v>
      </c>
      <c r="C17" s="6" t="s">
        <v>733</v>
      </c>
      <c r="D17" s="7" t="e">
        <f ca="1">_xll.BDH(Tickers!$C17,"px_last",[1]Futures!$A$9,[1]Futures!$A$9,"days=all")</f>
        <v>#NAME?</v>
      </c>
      <c r="E17" s="7" t="e">
        <f ca="1">_xll.BDP(C17,"QUOTE_UNITS")</f>
        <v>#NAME?</v>
      </c>
      <c r="F17" s="6" t="e">
        <f ca="1">_xll.BDP(C17,"FUT_CONT_SIZE")</f>
        <v>#NAME?</v>
      </c>
      <c r="G17" s="6" t="s">
        <v>734</v>
      </c>
      <c r="H17" s="6" t="s">
        <v>735</v>
      </c>
      <c r="I17" s="6" t="s">
        <v>736</v>
      </c>
      <c r="J17" s="6" t="s">
        <v>737</v>
      </c>
      <c r="K17" s="6" t="s">
        <v>738</v>
      </c>
      <c r="L17" s="6" t="s">
        <v>739</v>
      </c>
      <c r="M17" s="6" t="s">
        <v>740</v>
      </c>
      <c r="N17" s="6" t="s">
        <v>741</v>
      </c>
      <c r="O17" s="6" t="s">
        <v>742</v>
      </c>
      <c r="P17" s="6" t="s">
        <v>743</v>
      </c>
      <c r="Q17" s="6" t="s">
        <v>744</v>
      </c>
      <c r="R17" s="6" t="s">
        <v>745</v>
      </c>
      <c r="S17" s="6" t="s">
        <v>746</v>
      </c>
      <c r="T17" s="6" t="s">
        <v>747</v>
      </c>
      <c r="U17" s="6" t="s">
        <v>748</v>
      </c>
      <c r="V17" s="6" t="s">
        <v>749</v>
      </c>
      <c r="W17" s="6" t="s">
        <v>750</v>
      </c>
      <c r="X17" s="6" t="s">
        <v>751</v>
      </c>
      <c r="Y17" s="6" t="s">
        <v>752</v>
      </c>
      <c r="Z17" s="6" t="s">
        <v>753</v>
      </c>
      <c r="AA17" s="6" t="s">
        <v>754</v>
      </c>
      <c r="AB17" s="8" t="s">
        <v>755</v>
      </c>
      <c r="AC17" s="6"/>
      <c r="AD17" s="8"/>
      <c r="AE17" s="9" t="s">
        <v>756</v>
      </c>
      <c r="AF17" s="9" t="s">
        <v>757</v>
      </c>
      <c r="AG17" s="9" t="s">
        <v>758</v>
      </c>
      <c r="AH17" s="9" t="s">
        <v>759</v>
      </c>
      <c r="AI17" s="9" t="s">
        <v>760</v>
      </c>
      <c r="AJ17" s="9" t="s">
        <v>761</v>
      </c>
      <c r="AK17" s="9" t="s">
        <v>762</v>
      </c>
      <c r="AL17" s="9" t="s">
        <v>763</v>
      </c>
      <c r="AM17" s="9" t="s">
        <v>764</v>
      </c>
      <c r="AN17" s="9" t="s">
        <v>765</v>
      </c>
      <c r="AO17" s="9" t="s">
        <v>766</v>
      </c>
      <c r="AP17" s="9" t="s">
        <v>767</v>
      </c>
      <c r="AQ17" s="9" t="s">
        <v>768</v>
      </c>
      <c r="AR17" s="9" t="s">
        <v>769</v>
      </c>
      <c r="AS17" s="9" t="s">
        <v>770</v>
      </c>
      <c r="AT17" s="9" t="s">
        <v>771</v>
      </c>
      <c r="AU17" s="9" t="s">
        <v>772</v>
      </c>
      <c r="AV17" s="9" t="s">
        <v>773</v>
      </c>
      <c r="AW17" s="9" t="s">
        <v>774</v>
      </c>
      <c r="AX17" s="9" t="s">
        <v>775</v>
      </c>
      <c r="AY17" s="9" t="s">
        <v>776</v>
      </c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>
        <f t="shared" si="2"/>
        <v>15</v>
      </c>
    </row>
    <row r="18" spans="1:63" x14ac:dyDescent="0.25">
      <c r="A18" s="5">
        <v>16</v>
      </c>
      <c r="B18" s="6" t="s">
        <v>777</v>
      </c>
      <c r="C18" s="6" t="s">
        <v>778</v>
      </c>
      <c r="D18" s="7" t="e">
        <f ca="1">_xll.BDH(Tickers!$C18,"px_last",[1]Futures!$A$9,[1]Futures!$A$9,"days=all")</f>
        <v>#NAME?</v>
      </c>
      <c r="E18" s="7" t="e">
        <f ca="1">_xll.BDP(C18,"QUOTE_UNITS")</f>
        <v>#NAME?</v>
      </c>
      <c r="F18" s="6" t="e">
        <f ca="1">_xll.BDP(C18,"FUT_CONT_SIZE")</f>
        <v>#NAME?</v>
      </c>
      <c r="G18" s="6" t="s">
        <v>779</v>
      </c>
      <c r="H18" s="6" t="s">
        <v>780</v>
      </c>
      <c r="I18" s="6" t="s">
        <v>781</v>
      </c>
      <c r="J18" s="6" t="s">
        <v>782</v>
      </c>
      <c r="K18" s="6" t="s">
        <v>783</v>
      </c>
      <c r="L18" s="6" t="s">
        <v>784</v>
      </c>
      <c r="M18" s="6" t="s">
        <v>785</v>
      </c>
      <c r="N18" s="6" t="s">
        <v>786</v>
      </c>
      <c r="O18" s="6" t="s">
        <v>787</v>
      </c>
      <c r="P18" s="6" t="s">
        <v>788</v>
      </c>
      <c r="Q18" s="6" t="s">
        <v>789</v>
      </c>
      <c r="R18" s="6" t="s">
        <v>790</v>
      </c>
      <c r="S18" s="6" t="s">
        <v>791</v>
      </c>
      <c r="T18" s="6" t="s">
        <v>792</v>
      </c>
      <c r="U18" s="6" t="s">
        <v>793</v>
      </c>
      <c r="V18" s="6" t="s">
        <v>794</v>
      </c>
      <c r="W18" s="6" t="s">
        <v>795</v>
      </c>
      <c r="X18" s="6" t="s">
        <v>796</v>
      </c>
      <c r="Y18" s="6" t="s">
        <v>797</v>
      </c>
      <c r="Z18" s="6" t="s">
        <v>798</v>
      </c>
      <c r="AA18" s="6" t="s">
        <v>799</v>
      </c>
      <c r="AB18" s="8" t="s">
        <v>800</v>
      </c>
      <c r="AC18" s="6"/>
      <c r="AD18" s="8"/>
      <c r="AE18" s="9" t="s">
        <v>801</v>
      </c>
      <c r="AF18" s="9" t="s">
        <v>802</v>
      </c>
      <c r="AG18" s="9" t="s">
        <v>803</v>
      </c>
      <c r="AH18" s="9" t="s">
        <v>804</v>
      </c>
      <c r="AI18" s="9" t="s">
        <v>805</v>
      </c>
      <c r="AJ18" s="9" t="s">
        <v>806</v>
      </c>
      <c r="AK18" s="9" t="s">
        <v>807</v>
      </c>
      <c r="AL18" s="9" t="s">
        <v>808</v>
      </c>
      <c r="AM18" s="9" t="s">
        <v>809</v>
      </c>
      <c r="AN18" s="9" t="s">
        <v>810</v>
      </c>
      <c r="AO18" s="9" t="s">
        <v>811</v>
      </c>
      <c r="AP18" s="9" t="s">
        <v>812</v>
      </c>
      <c r="AQ18" s="9" t="s">
        <v>813</v>
      </c>
      <c r="AR18" s="9" t="s">
        <v>814</v>
      </c>
      <c r="AS18" s="9" t="s">
        <v>815</v>
      </c>
      <c r="AT18" s="9" t="s">
        <v>816</v>
      </c>
      <c r="AU18" s="9" t="s">
        <v>817</v>
      </c>
      <c r="AV18" s="9" t="s">
        <v>818</v>
      </c>
      <c r="AW18" s="9" t="s">
        <v>819</v>
      </c>
      <c r="AX18" s="9" t="s">
        <v>820</v>
      </c>
      <c r="AY18" s="9" t="s">
        <v>821</v>
      </c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>
        <f t="shared" si="2"/>
        <v>16</v>
      </c>
    </row>
    <row r="19" spans="1:63" x14ac:dyDescent="0.25">
      <c r="A19" s="5">
        <v>17</v>
      </c>
      <c r="B19" s="6" t="s">
        <v>822</v>
      </c>
      <c r="C19" s="6" t="s">
        <v>823</v>
      </c>
      <c r="D19" s="7" t="e">
        <f ca="1">_xll.BDH(Tickers!$C19,"px_last",[1]Futures!$A$9,[1]Futures!$A$9,"days=all")</f>
        <v>#NAME?</v>
      </c>
      <c r="E19" s="7" t="e">
        <f ca="1">_xll.BDP(C19,"QUOTE_UNITS")</f>
        <v>#NAME?</v>
      </c>
      <c r="F19" s="6" t="e">
        <f ca="1">_xll.BDP(C19,"FUT_CONT_SIZE")</f>
        <v>#NAME?</v>
      </c>
      <c r="G19" s="6" t="s">
        <v>824</v>
      </c>
      <c r="H19" s="6" t="s">
        <v>825</v>
      </c>
      <c r="I19" s="6" t="s">
        <v>826</v>
      </c>
      <c r="J19" s="6" t="s">
        <v>827</v>
      </c>
      <c r="K19" s="6" t="s">
        <v>828</v>
      </c>
      <c r="L19" s="6" t="s">
        <v>829</v>
      </c>
      <c r="M19" s="6" t="s">
        <v>830</v>
      </c>
      <c r="N19" s="6" t="s">
        <v>831</v>
      </c>
      <c r="O19" s="6" t="s">
        <v>832</v>
      </c>
      <c r="P19" s="6" t="s">
        <v>833</v>
      </c>
      <c r="Q19" s="6" t="s">
        <v>834</v>
      </c>
      <c r="R19" s="6" t="s">
        <v>835</v>
      </c>
      <c r="S19" s="6" t="s">
        <v>836</v>
      </c>
      <c r="T19" s="6" t="s">
        <v>837</v>
      </c>
      <c r="U19" s="6" t="s">
        <v>838</v>
      </c>
      <c r="V19" s="6" t="s">
        <v>839</v>
      </c>
      <c r="W19" s="6" t="s">
        <v>840</v>
      </c>
      <c r="X19" s="6" t="s">
        <v>841</v>
      </c>
      <c r="Y19" s="6" t="s">
        <v>842</v>
      </c>
      <c r="Z19" s="6" t="s">
        <v>843</v>
      </c>
      <c r="AA19" s="6" t="s">
        <v>844</v>
      </c>
      <c r="AB19" s="8" t="s">
        <v>845</v>
      </c>
      <c r="AC19" s="6"/>
      <c r="AD19" s="8"/>
      <c r="AE19" s="9" t="s">
        <v>846</v>
      </c>
      <c r="AF19" s="9" t="s">
        <v>847</v>
      </c>
      <c r="AG19" s="9" t="s">
        <v>848</v>
      </c>
      <c r="AH19" s="9" t="s">
        <v>849</v>
      </c>
      <c r="AI19" s="9" t="s">
        <v>850</v>
      </c>
      <c r="AJ19" s="9" t="s">
        <v>851</v>
      </c>
      <c r="AK19" s="9" t="s">
        <v>852</v>
      </c>
      <c r="AL19" s="9" t="s">
        <v>853</v>
      </c>
      <c r="AM19" s="9" t="s">
        <v>854</v>
      </c>
      <c r="AN19" s="9" t="s">
        <v>855</v>
      </c>
      <c r="AO19" s="9" t="s">
        <v>856</v>
      </c>
      <c r="AP19" s="9" t="s">
        <v>857</v>
      </c>
      <c r="AQ19" s="9" t="s">
        <v>858</v>
      </c>
      <c r="AR19" s="9" t="s">
        <v>859</v>
      </c>
      <c r="AS19" s="9" t="s">
        <v>860</v>
      </c>
      <c r="AT19" s="9" t="s">
        <v>861</v>
      </c>
      <c r="AU19" s="9" t="s">
        <v>862</v>
      </c>
      <c r="AV19" s="9" t="s">
        <v>863</v>
      </c>
      <c r="AW19" s="9" t="s">
        <v>864</v>
      </c>
      <c r="AX19" s="9" t="s">
        <v>865</v>
      </c>
      <c r="AY19" s="9" t="s">
        <v>866</v>
      </c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>
        <f t="shared" si="2"/>
        <v>17</v>
      </c>
    </row>
    <row r="20" spans="1:63" x14ac:dyDescent="0.25">
      <c r="A20" s="5">
        <v>18</v>
      </c>
      <c r="B20" s="6" t="s">
        <v>867</v>
      </c>
      <c r="C20" s="6" t="s">
        <v>868</v>
      </c>
      <c r="D20" s="7" t="e">
        <f ca="1">_xll.BDH(Tickers!$C20,"px_last",[1]Futures!$A$9,[1]Futures!$A$9,"days=all")</f>
        <v>#NAME?</v>
      </c>
      <c r="E20" s="7" t="e">
        <f ca="1">_xll.BDP(C20,"QUOTE_UNITS")</f>
        <v>#NAME?</v>
      </c>
      <c r="F20" s="6" t="e">
        <f ca="1">_xll.BDP(C20,"FUT_CONT_SIZE")</f>
        <v>#NAME?</v>
      </c>
      <c r="G20" s="6" t="s">
        <v>869</v>
      </c>
      <c r="H20" s="6" t="s">
        <v>870</v>
      </c>
      <c r="I20" s="6" t="s">
        <v>871</v>
      </c>
      <c r="J20" s="6" t="s">
        <v>872</v>
      </c>
      <c r="K20" s="6" t="s">
        <v>873</v>
      </c>
      <c r="L20" s="6" t="s">
        <v>874</v>
      </c>
      <c r="M20" s="6" t="s">
        <v>875</v>
      </c>
      <c r="N20" s="6" t="s">
        <v>876</v>
      </c>
      <c r="O20" s="6" t="s">
        <v>877</v>
      </c>
      <c r="P20" s="6" t="s">
        <v>878</v>
      </c>
      <c r="Q20" s="6" t="s">
        <v>879</v>
      </c>
      <c r="R20" s="6" t="s">
        <v>880</v>
      </c>
      <c r="S20" s="6" t="s">
        <v>881</v>
      </c>
      <c r="T20" s="6" t="s">
        <v>882</v>
      </c>
      <c r="U20" s="6" t="s">
        <v>883</v>
      </c>
      <c r="V20" s="6" t="s">
        <v>884</v>
      </c>
      <c r="W20" s="6" t="s">
        <v>885</v>
      </c>
      <c r="X20" s="6" t="s">
        <v>886</v>
      </c>
      <c r="Y20" s="6" t="s">
        <v>887</v>
      </c>
      <c r="Z20" s="6" t="s">
        <v>888</v>
      </c>
      <c r="AA20" s="6" t="s">
        <v>889</v>
      </c>
      <c r="AB20" s="8" t="s">
        <v>890</v>
      </c>
      <c r="AC20" s="6"/>
      <c r="AD20" s="8"/>
      <c r="AE20" s="9" t="s">
        <v>891</v>
      </c>
      <c r="AF20" s="9" t="s">
        <v>892</v>
      </c>
      <c r="AG20" s="9" t="s">
        <v>893</v>
      </c>
      <c r="AH20" s="9" t="s">
        <v>894</v>
      </c>
      <c r="AI20" s="9" t="s">
        <v>895</v>
      </c>
      <c r="AJ20" s="9" t="s">
        <v>896</v>
      </c>
      <c r="AK20" s="9" t="s">
        <v>897</v>
      </c>
      <c r="AL20" s="9" t="s">
        <v>898</v>
      </c>
      <c r="AM20" s="9" t="s">
        <v>899</v>
      </c>
      <c r="AN20" s="9" t="s">
        <v>900</v>
      </c>
      <c r="AO20" s="9" t="s">
        <v>901</v>
      </c>
      <c r="AP20" s="9" t="s">
        <v>902</v>
      </c>
      <c r="AQ20" s="9" t="s">
        <v>903</v>
      </c>
      <c r="AR20" s="9" t="s">
        <v>904</v>
      </c>
      <c r="AS20" s="9" t="s">
        <v>905</v>
      </c>
      <c r="AT20" s="9" t="s">
        <v>906</v>
      </c>
      <c r="AU20" s="9" t="s">
        <v>907</v>
      </c>
      <c r="AV20" s="9" t="s">
        <v>908</v>
      </c>
      <c r="AW20" s="9" t="s">
        <v>909</v>
      </c>
      <c r="AX20" s="9" t="s">
        <v>910</v>
      </c>
      <c r="AY20" s="9" t="s">
        <v>911</v>
      </c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>
        <f t="shared" si="2"/>
        <v>18</v>
      </c>
    </row>
    <row r="21" spans="1:63" x14ac:dyDescent="0.25">
      <c r="A21" s="5">
        <v>19</v>
      </c>
      <c r="B21" s="6" t="s">
        <v>912</v>
      </c>
      <c r="C21" s="6" t="s">
        <v>913</v>
      </c>
      <c r="D21" s="7" t="e">
        <f ca="1">_xll.BDH(Tickers!$C21,"px_last",[1]Futures!$A$9,[1]Futures!$A$9,"days=all")</f>
        <v>#NAME?</v>
      </c>
      <c r="E21" s="7" t="e">
        <f ca="1">_xll.BDP(C21,"QUOTE_UNITS")</f>
        <v>#NAME?</v>
      </c>
      <c r="F21" s="6" t="e">
        <f ca="1">_xll.BDP(C21,"FUT_CONT_SIZE")</f>
        <v>#NAME?</v>
      </c>
      <c r="G21" s="6" t="s">
        <v>914</v>
      </c>
      <c r="H21" s="6" t="s">
        <v>915</v>
      </c>
      <c r="I21" s="6" t="s">
        <v>916</v>
      </c>
      <c r="J21" s="6" t="s">
        <v>917</v>
      </c>
      <c r="K21" s="6" t="s">
        <v>918</v>
      </c>
      <c r="L21" s="6" t="s">
        <v>919</v>
      </c>
      <c r="M21" s="6" t="s">
        <v>920</v>
      </c>
      <c r="N21" s="6" t="s">
        <v>921</v>
      </c>
      <c r="O21" s="6" t="s">
        <v>922</v>
      </c>
      <c r="P21" s="6" t="s">
        <v>923</v>
      </c>
      <c r="Q21" s="6" t="s">
        <v>924</v>
      </c>
      <c r="R21" s="6" t="s">
        <v>925</v>
      </c>
      <c r="S21" s="6" t="s">
        <v>926</v>
      </c>
      <c r="T21" s="6" t="s">
        <v>927</v>
      </c>
      <c r="U21" s="6" t="s">
        <v>928</v>
      </c>
      <c r="V21" s="6" t="s">
        <v>929</v>
      </c>
      <c r="W21" s="6" t="s">
        <v>930</v>
      </c>
      <c r="X21" s="6" t="s">
        <v>931</v>
      </c>
      <c r="Y21" s="6" t="s">
        <v>932</v>
      </c>
      <c r="Z21" s="6" t="s">
        <v>933</v>
      </c>
      <c r="AA21" s="6" t="s">
        <v>934</v>
      </c>
      <c r="AB21" s="8" t="s">
        <v>935</v>
      </c>
      <c r="AC21" s="6"/>
      <c r="AD21" s="8"/>
      <c r="AE21" s="9" t="s">
        <v>936</v>
      </c>
      <c r="AF21" s="9" t="s">
        <v>937</v>
      </c>
      <c r="AG21" s="9" t="s">
        <v>938</v>
      </c>
      <c r="AH21" s="9" t="s">
        <v>939</v>
      </c>
      <c r="AI21" s="9" t="s">
        <v>940</v>
      </c>
      <c r="AJ21" s="9" t="s">
        <v>941</v>
      </c>
      <c r="AK21" s="9" t="s">
        <v>942</v>
      </c>
      <c r="AL21" s="9" t="s">
        <v>943</v>
      </c>
      <c r="AM21" s="9" t="s">
        <v>944</v>
      </c>
      <c r="AN21" s="9" t="s">
        <v>945</v>
      </c>
      <c r="AO21" s="9" t="s">
        <v>946</v>
      </c>
      <c r="AP21" s="9" t="s">
        <v>947</v>
      </c>
      <c r="AQ21" s="9" t="s">
        <v>948</v>
      </c>
      <c r="AR21" s="9" t="s">
        <v>949</v>
      </c>
      <c r="AS21" s="9" t="s">
        <v>950</v>
      </c>
      <c r="AT21" s="9" t="s">
        <v>951</v>
      </c>
      <c r="AU21" s="9" t="s">
        <v>952</v>
      </c>
      <c r="AV21" s="9" t="s">
        <v>953</v>
      </c>
      <c r="AW21" s="9" t="s">
        <v>954</v>
      </c>
      <c r="AX21" s="9" t="s">
        <v>955</v>
      </c>
      <c r="AY21" s="9" t="s">
        <v>956</v>
      </c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>
        <f t="shared" si="2"/>
        <v>19</v>
      </c>
    </row>
    <row r="22" spans="1:63" x14ac:dyDescent="0.25">
      <c r="A22" s="5">
        <v>20</v>
      </c>
      <c r="B22" s="6" t="s">
        <v>957</v>
      </c>
      <c r="C22" s="6" t="s">
        <v>958</v>
      </c>
      <c r="D22" s="7" t="e">
        <f ca="1">_xll.BDH(Tickers!$C22,"px_last",[1]Futures!$A$9,[1]Futures!$A$9,"days=all")</f>
        <v>#NAME?</v>
      </c>
      <c r="E22" s="7" t="s">
        <v>959</v>
      </c>
      <c r="F22" s="6" t="e">
        <f ca="1">_xll.BDP(C22,"FUT_CONT_SIZE")</f>
        <v>#NAME?</v>
      </c>
      <c r="G22" s="6"/>
      <c r="H22" s="6"/>
      <c r="I22" s="6"/>
      <c r="J22" s="6"/>
      <c r="K22" s="6"/>
      <c r="L22" s="6"/>
      <c r="M22" s="6"/>
      <c r="N22" s="6" t="s">
        <v>960</v>
      </c>
      <c r="O22" s="6" t="s">
        <v>961</v>
      </c>
      <c r="P22" s="6" t="s">
        <v>962</v>
      </c>
      <c r="Q22" s="6" t="s">
        <v>963</v>
      </c>
      <c r="R22" s="6" t="s">
        <v>964</v>
      </c>
      <c r="S22" s="6" t="s">
        <v>965</v>
      </c>
      <c r="T22" s="6" t="s">
        <v>966</v>
      </c>
      <c r="U22" s="6" t="s">
        <v>967</v>
      </c>
      <c r="V22" s="6" t="s">
        <v>968</v>
      </c>
      <c r="W22" s="6" t="s">
        <v>969</v>
      </c>
      <c r="X22" s="6" t="s">
        <v>970</v>
      </c>
      <c r="Y22" s="6" t="s">
        <v>971</v>
      </c>
      <c r="Z22" s="6" t="s">
        <v>972</v>
      </c>
      <c r="AA22" s="6" t="s">
        <v>973</v>
      </c>
      <c r="AB22" s="8"/>
      <c r="AC22" s="6"/>
      <c r="AD22" s="8"/>
      <c r="AE22" s="9"/>
      <c r="AF22" s="9"/>
      <c r="AG22" s="9"/>
      <c r="AH22" s="9"/>
      <c r="AI22" s="9"/>
      <c r="AJ22" s="9"/>
      <c r="AK22" s="9"/>
      <c r="AL22" s="9" t="s">
        <v>974</v>
      </c>
      <c r="AM22" s="9" t="s">
        <v>975</v>
      </c>
      <c r="AN22" s="9" t="s">
        <v>976</v>
      </c>
      <c r="AO22" s="9" t="s">
        <v>977</v>
      </c>
      <c r="AP22" s="9" t="s">
        <v>978</v>
      </c>
      <c r="AQ22" s="9" t="s">
        <v>979</v>
      </c>
      <c r="AR22" s="9" t="s">
        <v>980</v>
      </c>
      <c r="AS22" s="9" t="s">
        <v>981</v>
      </c>
      <c r="AT22" s="9" t="s">
        <v>982</v>
      </c>
      <c r="AU22" s="9" t="s">
        <v>983</v>
      </c>
      <c r="AV22" s="9" t="s">
        <v>984</v>
      </c>
      <c r="AW22" s="9" t="s">
        <v>985</v>
      </c>
      <c r="AX22" s="9" t="s">
        <v>986</v>
      </c>
      <c r="AY22" s="9" t="s">
        <v>987</v>
      </c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>
        <f t="shared" si="2"/>
        <v>20</v>
      </c>
    </row>
    <row r="23" spans="1:63" x14ac:dyDescent="0.25">
      <c r="A23" s="5">
        <v>21</v>
      </c>
      <c r="B23" s="6" t="s">
        <v>988</v>
      </c>
      <c r="C23" s="6" t="s">
        <v>989</v>
      </c>
      <c r="D23" s="7" t="e">
        <f ca="1">_xll.BDH(Tickers!$C23,"px_last",[1]Futures!$A$9,[1]Futures!$A$9,"days=all")</f>
        <v>#NAME?</v>
      </c>
      <c r="E23" s="7" t="e">
        <f ca="1">_xll.BDP(C23,"QUOTE_UNITS")</f>
        <v>#NAME?</v>
      </c>
      <c r="F23" s="6" t="e">
        <f ca="1">_xll.BDP(C23,"FUT_CONT_SIZE")/100</f>
        <v>#NAME?</v>
      </c>
      <c r="G23" s="6" t="s">
        <v>990</v>
      </c>
      <c r="H23" s="6" t="s">
        <v>991</v>
      </c>
      <c r="I23" s="6" t="s">
        <v>992</v>
      </c>
      <c r="J23" s="6" t="s">
        <v>993</v>
      </c>
      <c r="K23" s="6" t="s">
        <v>994</v>
      </c>
      <c r="L23" s="6" t="s">
        <v>995</v>
      </c>
      <c r="M23" s="6" t="s">
        <v>996</v>
      </c>
      <c r="N23" s="6" t="s">
        <v>997</v>
      </c>
      <c r="O23" s="6" t="s">
        <v>998</v>
      </c>
      <c r="P23" s="6" t="s">
        <v>999</v>
      </c>
      <c r="Q23" s="6" t="s">
        <v>1000</v>
      </c>
      <c r="R23" s="6" t="s">
        <v>1001</v>
      </c>
      <c r="S23" s="6" t="s">
        <v>1002</v>
      </c>
      <c r="T23" s="6" t="s">
        <v>1003</v>
      </c>
      <c r="U23" s="6" t="s">
        <v>1004</v>
      </c>
      <c r="V23" s="6" t="s">
        <v>1005</v>
      </c>
      <c r="W23" s="6" t="s">
        <v>1006</v>
      </c>
      <c r="X23" s="6" t="s">
        <v>1007</v>
      </c>
      <c r="Y23" s="6" t="s">
        <v>1008</v>
      </c>
      <c r="Z23" s="6" t="s">
        <v>1009</v>
      </c>
      <c r="AA23" s="6" t="s">
        <v>1010</v>
      </c>
      <c r="AB23" s="8" t="s">
        <v>1011</v>
      </c>
      <c r="AC23" s="6"/>
      <c r="AD23" s="8"/>
      <c r="AE23" s="9" t="s">
        <v>1012</v>
      </c>
      <c r="AF23" s="9" t="s">
        <v>1013</v>
      </c>
      <c r="AG23" s="9" t="s">
        <v>1014</v>
      </c>
      <c r="AH23" s="9" t="s">
        <v>1015</v>
      </c>
      <c r="AI23" s="9" t="s">
        <v>1016</v>
      </c>
      <c r="AJ23" s="9" t="s">
        <v>1017</v>
      </c>
      <c r="AK23" s="9" t="s">
        <v>1018</v>
      </c>
      <c r="AL23" s="9" t="s">
        <v>1019</v>
      </c>
      <c r="AM23" s="9" t="s">
        <v>1020</v>
      </c>
      <c r="AN23" s="9" t="s">
        <v>1021</v>
      </c>
      <c r="AO23" s="9" t="s">
        <v>1022</v>
      </c>
      <c r="AP23" s="9" t="s">
        <v>1023</v>
      </c>
      <c r="AQ23" s="9" t="s">
        <v>1024</v>
      </c>
      <c r="AR23" s="9" t="s">
        <v>1025</v>
      </c>
      <c r="AS23" s="9" t="s">
        <v>1026</v>
      </c>
      <c r="AT23" s="9" t="s">
        <v>1027</v>
      </c>
      <c r="AU23" s="9" t="s">
        <v>1028</v>
      </c>
      <c r="AV23" s="9" t="s">
        <v>1029</v>
      </c>
      <c r="AW23" s="9" t="s">
        <v>1030</v>
      </c>
      <c r="AX23" s="9" t="s">
        <v>1031</v>
      </c>
      <c r="AY23" s="9" t="s">
        <v>1032</v>
      </c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>
        <f t="shared" si="2"/>
        <v>21</v>
      </c>
    </row>
    <row r="24" spans="1:63" x14ac:dyDescent="0.25">
      <c r="A24" s="5">
        <v>22</v>
      </c>
      <c r="B24" s="6" t="s">
        <v>1033</v>
      </c>
      <c r="C24" s="6" t="s">
        <v>1034</v>
      </c>
      <c r="D24" s="7" t="e">
        <f ca="1">_xll.BDH(Tickers!$C24,"px_last",[1]Futures!$A$9,[1]Futures!$A$9,"days=all")</f>
        <v>#NAME?</v>
      </c>
      <c r="E24" s="7" t="e">
        <f ca="1">_xll.BDP(C24,"QUOTE_UNITS")</f>
        <v>#NAME?</v>
      </c>
      <c r="F24" s="6" t="e">
        <f ca="1">_xll.BDP(C24,"FUT_CONT_SIZE")</f>
        <v>#NAME?</v>
      </c>
      <c r="G24" s="6"/>
      <c r="H24" s="6"/>
      <c r="I24" s="6"/>
      <c r="J24" s="6"/>
      <c r="K24" s="6"/>
      <c r="L24" s="6"/>
      <c r="M24" s="6"/>
      <c r="N24" s="6" t="s">
        <v>1035</v>
      </c>
      <c r="O24" s="6" t="s">
        <v>1036</v>
      </c>
      <c r="P24" s="6" t="s">
        <v>1037</v>
      </c>
      <c r="Q24" s="6" t="s">
        <v>1038</v>
      </c>
      <c r="R24" s="6" t="s">
        <v>1039</v>
      </c>
      <c r="S24" s="6" t="s">
        <v>1040</v>
      </c>
      <c r="T24" s="6" t="s">
        <v>1041</v>
      </c>
      <c r="U24" s="6" t="s">
        <v>1042</v>
      </c>
      <c r="V24" s="6" t="s">
        <v>1043</v>
      </c>
      <c r="W24" s="6" t="s">
        <v>1044</v>
      </c>
      <c r="X24" s="6" t="s">
        <v>1045</v>
      </c>
      <c r="Y24" s="6" t="s">
        <v>1046</v>
      </c>
      <c r="Z24" s="6" t="s">
        <v>1047</v>
      </c>
      <c r="AA24" s="6" t="s">
        <v>1048</v>
      </c>
      <c r="AB24" s="6" t="s">
        <v>1049</v>
      </c>
      <c r="AC24" s="6"/>
      <c r="AD24" s="6"/>
      <c r="AE24" s="9"/>
      <c r="AF24" s="9"/>
      <c r="AG24" s="9"/>
      <c r="AH24" s="9"/>
      <c r="AI24" s="9"/>
      <c r="AJ24" s="9"/>
      <c r="AK24" s="9"/>
      <c r="AL24" s="9" t="s">
        <v>1050</v>
      </c>
      <c r="AM24" s="9" t="s">
        <v>1051</v>
      </c>
      <c r="AN24" s="9" t="s">
        <v>1052</v>
      </c>
      <c r="AO24" s="9" t="s">
        <v>1053</v>
      </c>
      <c r="AP24" s="9" t="s">
        <v>1054</v>
      </c>
      <c r="AQ24" s="9" t="s">
        <v>1055</v>
      </c>
      <c r="AR24" s="9" t="s">
        <v>1056</v>
      </c>
      <c r="AS24" s="9" t="s">
        <v>1057</v>
      </c>
      <c r="AT24" s="9" t="s">
        <v>1058</v>
      </c>
      <c r="AU24" s="9" t="s">
        <v>1059</v>
      </c>
      <c r="AV24" s="9" t="s">
        <v>1060</v>
      </c>
      <c r="AW24" s="9" t="s">
        <v>1061</v>
      </c>
      <c r="AX24" s="9" t="s">
        <v>1062</v>
      </c>
      <c r="AY24" s="9" t="s">
        <v>1063</v>
      </c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>
        <f t="shared" si="2"/>
        <v>22</v>
      </c>
    </row>
    <row r="25" spans="1:63" x14ac:dyDescent="0.25">
      <c r="A25" s="5">
        <v>23</v>
      </c>
      <c r="B25" s="6" t="s">
        <v>1064</v>
      </c>
      <c r="C25" s="6" t="s">
        <v>1065</v>
      </c>
      <c r="D25" s="7" t="e">
        <f ca="1">_xll.BDH(Tickers!$C25,"px_last",[1]Futures!$A$9,[1]Futures!$A$9,"days=all")</f>
        <v>#NAME?</v>
      </c>
      <c r="E25" s="7" t="e">
        <f ca="1">_xll.BDP(C25,"QUOTE_UNITS")</f>
        <v>#NAME?</v>
      </c>
      <c r="F25" s="6" t="e">
        <f ca="1">_xll.BDP(C25,"FUT_CONT_SIZE")</f>
        <v>#NAME?</v>
      </c>
      <c r="G25" s="6" t="s">
        <v>1066</v>
      </c>
      <c r="H25" s="6" t="s">
        <v>1067</v>
      </c>
      <c r="I25" s="6" t="s">
        <v>1068</v>
      </c>
      <c r="J25" s="6" t="s">
        <v>1069</v>
      </c>
      <c r="K25" s="6" t="s">
        <v>1070</v>
      </c>
      <c r="L25" s="6" t="s">
        <v>1071</v>
      </c>
      <c r="M25" s="6" t="s">
        <v>1072</v>
      </c>
      <c r="N25" s="6" t="s">
        <v>1073</v>
      </c>
      <c r="O25" s="6" t="s">
        <v>1074</v>
      </c>
      <c r="P25" s="6" t="s">
        <v>1075</v>
      </c>
      <c r="Q25" s="6" t="s">
        <v>1076</v>
      </c>
      <c r="R25" s="6" t="s">
        <v>1077</v>
      </c>
      <c r="S25" s="6" t="s">
        <v>1078</v>
      </c>
      <c r="T25" s="6" t="s">
        <v>1079</v>
      </c>
      <c r="U25" s="6" t="s">
        <v>1080</v>
      </c>
      <c r="V25" s="6" t="s">
        <v>1081</v>
      </c>
      <c r="W25" s="6" t="s">
        <v>1082</v>
      </c>
      <c r="X25" s="6" t="s">
        <v>1083</v>
      </c>
      <c r="Y25" s="6" t="s">
        <v>1084</v>
      </c>
      <c r="Z25" s="6" t="s">
        <v>1085</v>
      </c>
      <c r="AA25" s="6" t="s">
        <v>1086</v>
      </c>
      <c r="AB25" s="6" t="s">
        <v>1087</v>
      </c>
      <c r="AC25" s="6"/>
      <c r="AD25" s="6"/>
      <c r="AE25" s="9" t="s">
        <v>1088</v>
      </c>
      <c r="AF25" s="9" t="s">
        <v>1089</v>
      </c>
      <c r="AG25" s="9" t="s">
        <v>1090</v>
      </c>
      <c r="AH25" s="9" t="s">
        <v>1091</v>
      </c>
      <c r="AI25" s="9" t="s">
        <v>1092</v>
      </c>
      <c r="AJ25" s="9" t="s">
        <v>1093</v>
      </c>
      <c r="AK25" s="9" t="s">
        <v>1094</v>
      </c>
      <c r="AL25" s="9" t="s">
        <v>1095</v>
      </c>
      <c r="AM25" s="9" t="s">
        <v>1096</v>
      </c>
      <c r="AN25" s="9" t="s">
        <v>1097</v>
      </c>
      <c r="AO25" s="9" t="s">
        <v>1098</v>
      </c>
      <c r="AP25" s="9" t="s">
        <v>1099</v>
      </c>
      <c r="AQ25" s="9" t="s">
        <v>1100</v>
      </c>
      <c r="AR25" s="9" t="s">
        <v>1101</v>
      </c>
      <c r="AS25" s="9" t="s">
        <v>1102</v>
      </c>
      <c r="AT25" s="9" t="s">
        <v>1103</v>
      </c>
      <c r="AU25" s="9" t="s">
        <v>1104</v>
      </c>
      <c r="AV25" s="9" t="s">
        <v>1105</v>
      </c>
      <c r="AW25" s="9" t="s">
        <v>1106</v>
      </c>
      <c r="AX25" s="9" t="s">
        <v>1107</v>
      </c>
      <c r="AY25" s="9" t="s">
        <v>1108</v>
      </c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>
        <f t="shared" si="2"/>
        <v>23</v>
      </c>
    </row>
    <row r="26" spans="1:63" x14ac:dyDescent="0.25">
      <c r="A26" s="5">
        <v>24</v>
      </c>
      <c r="B26" s="6" t="s">
        <v>1109</v>
      </c>
      <c r="C26" s="6" t="s">
        <v>1110</v>
      </c>
      <c r="D26" s="7" t="e">
        <f ca="1">_xll.BDH(Tickers!$C26,"px_last",[1]Futures!$A$9,[1]Futures!$A$9,"days=all")</f>
        <v>#NAME?</v>
      </c>
      <c r="E26" s="7" t="e">
        <f ca="1">_xll.BDP(C26,"QUOTE_UNITS")</f>
        <v>#NAME?</v>
      </c>
      <c r="F26" s="6" t="e">
        <f ca="1">_xll.BDP(C26,"FUT_CONT_SIZE")</f>
        <v>#NAME?</v>
      </c>
      <c r="G26" s="6" t="s">
        <v>1111</v>
      </c>
      <c r="H26" s="6" t="s">
        <v>1112</v>
      </c>
      <c r="I26" s="6" t="s">
        <v>1113</v>
      </c>
      <c r="J26" s="6" t="s">
        <v>1114</v>
      </c>
      <c r="K26" s="6" t="s">
        <v>1115</v>
      </c>
      <c r="L26" s="6" t="s">
        <v>1116</v>
      </c>
      <c r="M26" s="6" t="s">
        <v>1117</v>
      </c>
      <c r="N26" s="6" t="s">
        <v>1118</v>
      </c>
      <c r="O26" s="6" t="s">
        <v>1119</v>
      </c>
      <c r="P26" s="6" t="s">
        <v>1120</v>
      </c>
      <c r="Q26" s="6" t="s">
        <v>1121</v>
      </c>
      <c r="R26" s="6" t="s">
        <v>1122</v>
      </c>
      <c r="S26" s="6" t="s">
        <v>1123</v>
      </c>
      <c r="T26" s="6" t="s">
        <v>1124</v>
      </c>
      <c r="U26" s="6" t="s">
        <v>1125</v>
      </c>
      <c r="V26" s="6" t="s">
        <v>1126</v>
      </c>
      <c r="W26" s="6" t="s">
        <v>1127</v>
      </c>
      <c r="X26" s="6" t="s">
        <v>1128</v>
      </c>
      <c r="Y26" s="6" t="s">
        <v>1129</v>
      </c>
      <c r="Z26" s="6" t="s">
        <v>1130</v>
      </c>
      <c r="AA26" s="6" t="s">
        <v>1131</v>
      </c>
      <c r="AB26" s="6" t="s">
        <v>1132</v>
      </c>
      <c r="AC26" s="6"/>
      <c r="AD26" s="6"/>
      <c r="AE26" s="9" t="s">
        <v>1133</v>
      </c>
      <c r="AF26" s="9" t="s">
        <v>1134</v>
      </c>
      <c r="AG26" s="9" t="s">
        <v>1135</v>
      </c>
      <c r="AH26" s="9" t="s">
        <v>1136</v>
      </c>
      <c r="AI26" s="9" t="s">
        <v>1137</v>
      </c>
      <c r="AJ26" s="9" t="s">
        <v>1138</v>
      </c>
      <c r="AK26" s="9" t="s">
        <v>1139</v>
      </c>
      <c r="AL26" s="9" t="s">
        <v>1140</v>
      </c>
      <c r="AM26" s="9" t="s">
        <v>1141</v>
      </c>
      <c r="AN26" s="9" t="s">
        <v>1142</v>
      </c>
      <c r="AO26" s="9" t="s">
        <v>1143</v>
      </c>
      <c r="AP26" s="9" t="s">
        <v>1144</v>
      </c>
      <c r="AQ26" s="9" t="s">
        <v>1145</v>
      </c>
      <c r="AR26" s="9" t="s">
        <v>1146</v>
      </c>
      <c r="AS26" s="9" t="s">
        <v>1147</v>
      </c>
      <c r="AT26" s="9" t="s">
        <v>1148</v>
      </c>
      <c r="AU26" s="9" t="s">
        <v>1149</v>
      </c>
      <c r="AV26" s="9" t="s">
        <v>1150</v>
      </c>
      <c r="AW26" s="9" t="s">
        <v>1151</v>
      </c>
      <c r="AX26" s="9" t="s">
        <v>1152</v>
      </c>
      <c r="AY26" s="9" t="s">
        <v>1153</v>
      </c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>
        <f t="shared" si="2"/>
        <v>24</v>
      </c>
    </row>
    <row r="27" spans="1:63" x14ac:dyDescent="0.25">
      <c r="A27" s="5">
        <v>25</v>
      </c>
      <c r="B27" s="6" t="s">
        <v>1154</v>
      </c>
      <c r="C27" s="6" t="s">
        <v>1155</v>
      </c>
      <c r="D27" s="7" t="e">
        <f ca="1">_xll.BDH(Tickers!$C27,"px_last",[1]Futures!$A$9,[1]Futures!$A$9,"days=all")</f>
        <v>#NAME?</v>
      </c>
      <c r="E27" s="7" t="e">
        <f ca="1">_xll.BDP(C27,"QUOTE_UNITS")</f>
        <v>#NAME?</v>
      </c>
      <c r="F27" s="6" t="e">
        <f ca="1">_xll.BDP(C27,"FUT_CONT_SIZE")</f>
        <v>#NAME?</v>
      </c>
      <c r="G27" s="6" t="s">
        <v>1156</v>
      </c>
      <c r="H27" s="6" t="s">
        <v>1157</v>
      </c>
      <c r="I27" s="6" t="s">
        <v>1158</v>
      </c>
      <c r="J27" s="6" t="s">
        <v>1159</v>
      </c>
      <c r="K27" s="6" t="s">
        <v>1160</v>
      </c>
      <c r="L27" s="6" t="s">
        <v>1161</v>
      </c>
      <c r="M27" s="6" t="s">
        <v>1162</v>
      </c>
      <c r="N27" s="6" t="s">
        <v>1163</v>
      </c>
      <c r="O27" s="6" t="s">
        <v>1164</v>
      </c>
      <c r="P27" s="6" t="s">
        <v>1165</v>
      </c>
      <c r="Q27" s="6" t="s">
        <v>1166</v>
      </c>
      <c r="R27" s="6" t="s">
        <v>1167</v>
      </c>
      <c r="S27" s="6" t="s">
        <v>1168</v>
      </c>
      <c r="T27" s="6" t="s">
        <v>1169</v>
      </c>
      <c r="U27" s="6" t="s">
        <v>1170</v>
      </c>
      <c r="V27" s="6" t="s">
        <v>1171</v>
      </c>
      <c r="W27" s="6" t="s">
        <v>1172</v>
      </c>
      <c r="X27" s="6" t="s">
        <v>1173</v>
      </c>
      <c r="Y27" s="6" t="s">
        <v>1174</v>
      </c>
      <c r="Z27" s="6" t="s">
        <v>1175</v>
      </c>
      <c r="AA27" s="6" t="s">
        <v>1176</v>
      </c>
      <c r="AB27" s="8" t="s">
        <v>1177</v>
      </c>
      <c r="AC27" s="6"/>
      <c r="AD27" s="8"/>
      <c r="AE27" s="9" t="s">
        <v>1178</v>
      </c>
      <c r="AF27" s="9" t="s">
        <v>1179</v>
      </c>
      <c r="AG27" s="9" t="s">
        <v>1180</v>
      </c>
      <c r="AH27" s="9" t="s">
        <v>1181</v>
      </c>
      <c r="AI27" s="9" t="s">
        <v>1182</v>
      </c>
      <c r="AJ27" s="9" t="s">
        <v>1183</v>
      </c>
      <c r="AK27" s="9" t="s">
        <v>1184</v>
      </c>
      <c r="AL27" s="9" t="s">
        <v>1185</v>
      </c>
      <c r="AM27" s="9" t="s">
        <v>1186</v>
      </c>
      <c r="AN27" s="9" t="s">
        <v>1187</v>
      </c>
      <c r="AO27" s="9" t="s">
        <v>1188</v>
      </c>
      <c r="AP27" s="9" t="s">
        <v>1189</v>
      </c>
      <c r="AQ27" s="9" t="s">
        <v>1190</v>
      </c>
      <c r="AR27" s="9" t="s">
        <v>1191</v>
      </c>
      <c r="AS27" s="9" t="s">
        <v>1192</v>
      </c>
      <c r="AT27" s="9" t="s">
        <v>1193</v>
      </c>
      <c r="AU27" s="9" t="s">
        <v>1194</v>
      </c>
      <c r="AV27" s="9" t="s">
        <v>1195</v>
      </c>
      <c r="AW27" s="9" t="s">
        <v>1196</v>
      </c>
      <c r="AX27" s="9" t="s">
        <v>1197</v>
      </c>
      <c r="AY27" s="9" t="s">
        <v>1198</v>
      </c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>
        <f t="shared" si="2"/>
        <v>25</v>
      </c>
    </row>
    <row r="28" spans="1:63" x14ac:dyDescent="0.25">
      <c r="A28" s="5">
        <v>26</v>
      </c>
      <c r="B28" s="6" t="s">
        <v>1199</v>
      </c>
      <c r="C28" s="6" t="s">
        <v>1200</v>
      </c>
      <c r="D28" s="7" t="e">
        <f ca="1">_xll.BDH(Tickers!$C28,"px_last",[1]Futures!$A$9,[1]Futures!$A$9,"days=all")</f>
        <v>#NAME?</v>
      </c>
      <c r="E28" s="7" t="e">
        <f ca="1">_xll.BDP(C28,"QUOTE_UNITS")</f>
        <v>#NAME?</v>
      </c>
      <c r="F28" s="6" t="e">
        <f ca="1">_xll.BDP(C28,"FUT_CONT_SIZE")</f>
        <v>#NAME?</v>
      </c>
      <c r="G28" s="6" t="s">
        <v>1201</v>
      </c>
      <c r="H28" s="6" t="s">
        <v>1202</v>
      </c>
      <c r="I28" s="6" t="s">
        <v>1203</v>
      </c>
      <c r="J28" s="6" t="s">
        <v>1204</v>
      </c>
      <c r="K28" s="6" t="s">
        <v>1205</v>
      </c>
      <c r="L28" s="6" t="s">
        <v>1206</v>
      </c>
      <c r="M28" s="6" t="s">
        <v>1207</v>
      </c>
      <c r="N28" s="6" t="s">
        <v>1208</v>
      </c>
      <c r="O28" s="6" t="s">
        <v>1209</v>
      </c>
      <c r="P28" s="6" t="s">
        <v>1210</v>
      </c>
      <c r="Q28" s="6" t="s">
        <v>1211</v>
      </c>
      <c r="R28" s="6" t="s">
        <v>1212</v>
      </c>
      <c r="S28" s="6" t="s">
        <v>1213</v>
      </c>
      <c r="T28" s="6" t="s">
        <v>1214</v>
      </c>
      <c r="U28" s="6" t="s">
        <v>1215</v>
      </c>
      <c r="V28" s="6" t="s">
        <v>1216</v>
      </c>
      <c r="W28" s="6" t="s">
        <v>1217</v>
      </c>
      <c r="X28" s="6" t="s">
        <v>1218</v>
      </c>
      <c r="Y28" s="6" t="s">
        <v>1219</v>
      </c>
      <c r="Z28" s="6" t="s">
        <v>1220</v>
      </c>
      <c r="AA28" s="6" t="s">
        <v>1221</v>
      </c>
      <c r="AB28" s="8" t="s">
        <v>1222</v>
      </c>
      <c r="AC28" s="6"/>
      <c r="AD28" s="8"/>
      <c r="AE28" s="9" t="s">
        <v>1223</v>
      </c>
      <c r="AF28" s="9" t="s">
        <v>1224</v>
      </c>
      <c r="AG28" s="9" t="s">
        <v>1225</v>
      </c>
      <c r="AH28" s="9" t="s">
        <v>1226</v>
      </c>
      <c r="AI28" s="9" t="s">
        <v>1227</v>
      </c>
      <c r="AJ28" s="9" t="s">
        <v>1228</v>
      </c>
      <c r="AK28" s="9" t="s">
        <v>1229</v>
      </c>
      <c r="AL28" s="9" t="s">
        <v>1230</v>
      </c>
      <c r="AM28" s="9" t="s">
        <v>1231</v>
      </c>
      <c r="AN28" s="9" t="s">
        <v>1232</v>
      </c>
      <c r="AO28" s="9" t="s">
        <v>1233</v>
      </c>
      <c r="AP28" s="9" t="s">
        <v>1234</v>
      </c>
      <c r="AQ28" s="9" t="s">
        <v>1235</v>
      </c>
      <c r="AR28" s="9" t="s">
        <v>1236</v>
      </c>
      <c r="AS28" s="9" t="s">
        <v>1237</v>
      </c>
      <c r="AT28" s="9" t="s">
        <v>1238</v>
      </c>
      <c r="AU28" s="9" t="s">
        <v>1239</v>
      </c>
      <c r="AV28" s="9" t="s">
        <v>1240</v>
      </c>
      <c r="AW28" s="9" t="s">
        <v>1241</v>
      </c>
      <c r="AX28" s="9" t="s">
        <v>1242</v>
      </c>
      <c r="AY28" s="9" t="s">
        <v>1243</v>
      </c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>
        <f t="shared" si="2"/>
        <v>26</v>
      </c>
    </row>
    <row r="29" spans="1:63" x14ac:dyDescent="0.25">
      <c r="A29" s="5">
        <v>27</v>
      </c>
      <c r="B29" s="6" t="s">
        <v>1244</v>
      </c>
      <c r="C29" s="6" t="s">
        <v>1245</v>
      </c>
      <c r="D29" s="7" t="e">
        <f ca="1">_xll.BDH(Tickers!$C29,"px_last",[1]Futures!$A$9,[1]Futures!$A$9,"days=all")</f>
        <v>#NAME?</v>
      </c>
      <c r="E29" s="7" t="e">
        <f ca="1">_xll.BDP(C29,"QUOTE_UNITS")</f>
        <v>#NAME?</v>
      </c>
      <c r="F29" s="6" t="e">
        <f ca="1">_xll.BDP(C29,"FUT_CONT_SIZE")</f>
        <v>#NAME?</v>
      </c>
      <c r="G29" s="6" t="s">
        <v>1246</v>
      </c>
      <c r="H29" s="6" t="s">
        <v>1247</v>
      </c>
      <c r="I29" s="6" t="s">
        <v>1248</v>
      </c>
      <c r="J29" s="6" t="s">
        <v>1249</v>
      </c>
      <c r="K29" s="6" t="s">
        <v>1250</v>
      </c>
      <c r="L29" s="6" t="s">
        <v>1251</v>
      </c>
      <c r="M29" s="6" t="s">
        <v>1252</v>
      </c>
      <c r="N29" s="6" t="s">
        <v>1253</v>
      </c>
      <c r="O29" s="6" t="s">
        <v>1254</v>
      </c>
      <c r="P29" s="6" t="s">
        <v>1255</v>
      </c>
      <c r="Q29" s="6" t="s">
        <v>1256</v>
      </c>
      <c r="R29" s="6" t="s">
        <v>1257</v>
      </c>
      <c r="S29" s="6" t="s">
        <v>1258</v>
      </c>
      <c r="T29" s="6" t="s">
        <v>1259</v>
      </c>
      <c r="U29" s="6" t="s">
        <v>1260</v>
      </c>
      <c r="V29" s="6" t="s">
        <v>1261</v>
      </c>
      <c r="W29" s="6" t="s">
        <v>1262</v>
      </c>
      <c r="X29" s="6" t="s">
        <v>1263</v>
      </c>
      <c r="Y29" s="6" t="s">
        <v>1264</v>
      </c>
      <c r="Z29" s="6" t="s">
        <v>1265</v>
      </c>
      <c r="AA29" s="6" t="s">
        <v>1266</v>
      </c>
      <c r="AB29" s="8" t="s">
        <v>1267</v>
      </c>
      <c r="AC29" s="6"/>
      <c r="AD29" s="8"/>
      <c r="AE29" s="9" t="s">
        <v>1268</v>
      </c>
      <c r="AF29" s="9" t="s">
        <v>1269</v>
      </c>
      <c r="AG29" s="9" t="s">
        <v>1270</v>
      </c>
      <c r="AH29" s="9" t="s">
        <v>1271</v>
      </c>
      <c r="AI29" s="9" t="s">
        <v>1272</v>
      </c>
      <c r="AJ29" s="9" t="s">
        <v>1273</v>
      </c>
      <c r="AK29" s="9" t="s">
        <v>1274</v>
      </c>
      <c r="AL29" s="9" t="s">
        <v>1275</v>
      </c>
      <c r="AM29" s="9" t="s">
        <v>1276</v>
      </c>
      <c r="AN29" s="9" t="s">
        <v>1277</v>
      </c>
      <c r="AO29" s="9" t="s">
        <v>1278</v>
      </c>
      <c r="AP29" s="9" t="s">
        <v>1279</v>
      </c>
      <c r="AQ29" s="9" t="s">
        <v>1280</v>
      </c>
      <c r="AR29" s="9" t="s">
        <v>1281</v>
      </c>
      <c r="AS29" s="9" t="s">
        <v>1282</v>
      </c>
      <c r="AT29" s="9" t="s">
        <v>1283</v>
      </c>
      <c r="AU29" s="9" t="s">
        <v>1284</v>
      </c>
      <c r="AV29" s="9" t="s">
        <v>1285</v>
      </c>
      <c r="AW29" s="9" t="s">
        <v>1286</v>
      </c>
      <c r="AX29" s="9" t="s">
        <v>1287</v>
      </c>
      <c r="AY29" s="9" t="s">
        <v>1288</v>
      </c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>
        <f t="shared" si="2"/>
        <v>27</v>
      </c>
    </row>
    <row r="30" spans="1:63" x14ac:dyDescent="0.25">
      <c r="A30" s="5">
        <v>28</v>
      </c>
      <c r="B30" s="6" t="s">
        <v>1289</v>
      </c>
      <c r="C30" s="6" t="s">
        <v>1290</v>
      </c>
      <c r="D30" s="7" t="e">
        <f ca="1">_xll.BDH(Tickers!$C30,"px_last",[1]Futures!$A$9,[1]Futures!$A$9,"days=all")</f>
        <v>#NAME?</v>
      </c>
      <c r="E30" s="7" t="e">
        <f ca="1">_xll.BDP(C30,"QUOTE_UNITS")</f>
        <v>#NAME?</v>
      </c>
      <c r="F30" s="6" t="e">
        <f ca="1">_xll.BDP(C30,"FUT_CONT_SIZE")</f>
        <v>#NAME?</v>
      </c>
      <c r="G30" s="6" t="s">
        <v>1291</v>
      </c>
      <c r="H30" s="6" t="s">
        <v>1292</v>
      </c>
      <c r="I30" s="6" t="s">
        <v>1293</v>
      </c>
      <c r="J30" s="6" t="s">
        <v>1294</v>
      </c>
      <c r="K30" s="6" t="s">
        <v>1295</v>
      </c>
      <c r="L30" s="6" t="s">
        <v>1296</v>
      </c>
      <c r="M30" s="6" t="s">
        <v>1297</v>
      </c>
      <c r="N30" s="6" t="s">
        <v>1298</v>
      </c>
      <c r="O30" s="6" t="s">
        <v>1299</v>
      </c>
      <c r="P30" s="6" t="s">
        <v>1300</v>
      </c>
      <c r="Q30" s="6" t="s">
        <v>1301</v>
      </c>
      <c r="R30" s="6" t="s">
        <v>1302</v>
      </c>
      <c r="S30" s="6" t="s">
        <v>1303</v>
      </c>
      <c r="T30" s="6" t="s">
        <v>1304</v>
      </c>
      <c r="U30" s="6" t="s">
        <v>1305</v>
      </c>
      <c r="V30" s="6" t="s">
        <v>1306</v>
      </c>
      <c r="W30" s="6" t="s">
        <v>1307</v>
      </c>
      <c r="X30" s="6" t="s">
        <v>1308</v>
      </c>
      <c r="Y30" s="6" t="s">
        <v>1309</v>
      </c>
      <c r="Z30" s="6" t="s">
        <v>1310</v>
      </c>
      <c r="AA30" s="6" t="s">
        <v>1311</v>
      </c>
      <c r="AB30" s="8" t="s">
        <v>1312</v>
      </c>
      <c r="AC30" s="6"/>
      <c r="AD30" s="8"/>
      <c r="AE30" s="9" t="s">
        <v>1313</v>
      </c>
      <c r="AF30" s="9" t="s">
        <v>1314</v>
      </c>
      <c r="AG30" s="9" t="s">
        <v>1315</v>
      </c>
      <c r="AH30" s="9" t="s">
        <v>1316</v>
      </c>
      <c r="AI30" s="9" t="s">
        <v>1317</v>
      </c>
      <c r="AJ30" s="9" t="s">
        <v>1318</v>
      </c>
      <c r="AK30" s="9" t="s">
        <v>1319</v>
      </c>
      <c r="AL30" s="9" t="s">
        <v>1320</v>
      </c>
      <c r="AM30" s="9" t="s">
        <v>1321</v>
      </c>
      <c r="AN30" s="9" t="s">
        <v>1322</v>
      </c>
      <c r="AO30" s="9" t="s">
        <v>1323</v>
      </c>
      <c r="AP30" s="9" t="s">
        <v>1324</v>
      </c>
      <c r="AQ30" s="9" t="s">
        <v>1325</v>
      </c>
      <c r="AR30" s="9" t="s">
        <v>1326</v>
      </c>
      <c r="AS30" s="9" t="s">
        <v>1327</v>
      </c>
      <c r="AT30" s="9" t="s">
        <v>1328</v>
      </c>
      <c r="AU30" s="9" t="s">
        <v>1329</v>
      </c>
      <c r="AV30" s="9" t="s">
        <v>1330</v>
      </c>
      <c r="AW30" s="9" t="s">
        <v>1331</v>
      </c>
      <c r="AX30" s="9" t="s">
        <v>1332</v>
      </c>
      <c r="AY30" s="9" t="s">
        <v>1333</v>
      </c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>
        <f t="shared" si="2"/>
        <v>28</v>
      </c>
    </row>
    <row r="31" spans="1:63" x14ac:dyDescent="0.25">
      <c r="A31" s="5">
        <v>29</v>
      </c>
      <c r="B31" s="6" t="s">
        <v>1334</v>
      </c>
      <c r="C31" s="6" t="s">
        <v>1335</v>
      </c>
      <c r="D31" s="7" t="e">
        <f ca="1">_xll.BDH(Tickers!$C31,"px_last",[1]Futures!$A$9,[1]Futures!$A$9,"days=all")</f>
        <v>#NAME?</v>
      </c>
      <c r="E31" s="7" t="e">
        <f ca="1">_xll.BDP(C31,"QUOTE_UNITS")</f>
        <v>#NAME?</v>
      </c>
      <c r="F31" s="6" t="e">
        <f ca="1">_xll.BDP(C31,"FUT_CONT_SIZE")/100</f>
        <v>#NAME?</v>
      </c>
      <c r="G31" s="6" t="s">
        <v>1336</v>
      </c>
      <c r="H31" s="6" t="s">
        <v>1337</v>
      </c>
      <c r="I31" s="6" t="s">
        <v>1338</v>
      </c>
      <c r="J31" s="6" t="s">
        <v>1339</v>
      </c>
      <c r="K31" s="6" t="s">
        <v>1340</v>
      </c>
      <c r="L31" s="6" t="s">
        <v>1341</v>
      </c>
      <c r="M31" s="6" t="s">
        <v>1342</v>
      </c>
      <c r="N31" s="6" t="s">
        <v>1343</v>
      </c>
      <c r="O31" s="6" t="s">
        <v>1344</v>
      </c>
      <c r="P31" s="6" t="s">
        <v>1345</v>
      </c>
      <c r="Q31" s="6" t="s">
        <v>1346</v>
      </c>
      <c r="R31" s="6" t="s">
        <v>1347</v>
      </c>
      <c r="S31" s="6" t="s">
        <v>1348</v>
      </c>
      <c r="T31" s="6" t="s">
        <v>1349</v>
      </c>
      <c r="U31" s="6" t="s">
        <v>1350</v>
      </c>
      <c r="V31" s="6" t="s">
        <v>1351</v>
      </c>
      <c r="W31" s="6" t="s">
        <v>1352</v>
      </c>
      <c r="X31" s="6" t="s">
        <v>1353</v>
      </c>
      <c r="Y31" s="6" t="s">
        <v>1354</v>
      </c>
      <c r="Z31" s="6" t="s">
        <v>1355</v>
      </c>
      <c r="AA31" s="6" t="s">
        <v>1356</v>
      </c>
      <c r="AB31" s="8" t="s">
        <v>1357</v>
      </c>
      <c r="AC31" s="6"/>
      <c r="AD31" s="8"/>
      <c r="AE31" s="9" t="s">
        <v>1358</v>
      </c>
      <c r="AF31" s="9" t="s">
        <v>1359</v>
      </c>
      <c r="AG31" s="9" t="s">
        <v>1360</v>
      </c>
      <c r="AH31" s="9" t="s">
        <v>1361</v>
      </c>
      <c r="AI31" s="9" t="s">
        <v>1362</v>
      </c>
      <c r="AJ31" s="9" t="s">
        <v>1363</v>
      </c>
      <c r="AK31" s="9" t="s">
        <v>1364</v>
      </c>
      <c r="AL31" s="9" t="s">
        <v>1365</v>
      </c>
      <c r="AM31" s="9" t="s">
        <v>1366</v>
      </c>
      <c r="AN31" s="9" t="s">
        <v>1367</v>
      </c>
      <c r="AO31" s="9" t="s">
        <v>1368</v>
      </c>
      <c r="AP31" s="9" t="s">
        <v>1369</v>
      </c>
      <c r="AQ31" s="9" t="s">
        <v>1370</v>
      </c>
      <c r="AR31" s="9" t="s">
        <v>1371</v>
      </c>
      <c r="AS31" s="9" t="s">
        <v>1372</v>
      </c>
      <c r="AT31" s="9" t="s">
        <v>1373</v>
      </c>
      <c r="AU31" s="9" t="s">
        <v>1374</v>
      </c>
      <c r="AV31" s="9" t="s">
        <v>1375</v>
      </c>
      <c r="AW31" s="9" t="s">
        <v>1376</v>
      </c>
      <c r="AX31" s="9" t="s">
        <v>1377</v>
      </c>
      <c r="AY31" s="9" t="s">
        <v>1378</v>
      </c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>
        <f t="shared" si="2"/>
        <v>29</v>
      </c>
    </row>
    <row r="32" spans="1:63" x14ac:dyDescent="0.25">
      <c r="A32" s="5">
        <v>30</v>
      </c>
      <c r="B32" s="6" t="s">
        <v>1379</v>
      </c>
      <c r="C32" s="6" t="s">
        <v>1380</v>
      </c>
      <c r="D32" s="7" t="e">
        <f ca="1">_xll.BDH(Tickers!$C32,"px_last",[1]Futures!$A$9,[1]Futures!$A$9,"days=all")</f>
        <v>#NAME?</v>
      </c>
      <c r="E32" s="7" t="e">
        <f ca="1">_xll.BDP(C32,"QUOTE_UNITS")</f>
        <v>#NAME?</v>
      </c>
      <c r="F32" s="6" t="e">
        <f ca="1">_xll.BDP(C32,"FUT_CONT_SIZE")/100</f>
        <v>#NAME?</v>
      </c>
      <c r="G32" s="6" t="s">
        <v>1381</v>
      </c>
      <c r="H32" s="6" t="s">
        <v>1382</v>
      </c>
      <c r="I32" s="6" t="s">
        <v>1383</v>
      </c>
      <c r="J32" s="6" t="s">
        <v>1384</v>
      </c>
      <c r="K32" s="6" t="s">
        <v>1385</v>
      </c>
      <c r="L32" s="6" t="s">
        <v>1386</v>
      </c>
      <c r="M32" s="6" t="s">
        <v>1387</v>
      </c>
      <c r="N32" s="6" t="s">
        <v>1388</v>
      </c>
      <c r="O32" s="6" t="s">
        <v>1389</v>
      </c>
      <c r="P32" s="6" t="s">
        <v>1390</v>
      </c>
      <c r="Q32" s="6" t="s">
        <v>1391</v>
      </c>
      <c r="R32" s="6" t="s">
        <v>1392</v>
      </c>
      <c r="S32" s="6" t="s">
        <v>1393</v>
      </c>
      <c r="T32" s="6" t="s">
        <v>1394</v>
      </c>
      <c r="U32" s="6" t="s">
        <v>1395</v>
      </c>
      <c r="V32" s="6" t="s">
        <v>1396</v>
      </c>
      <c r="W32" s="6" t="s">
        <v>1397</v>
      </c>
      <c r="X32" s="6" t="s">
        <v>1398</v>
      </c>
      <c r="Y32" s="6" t="s">
        <v>1399</v>
      </c>
      <c r="Z32" s="6" t="s">
        <v>1400</v>
      </c>
      <c r="AA32" s="6" t="s">
        <v>1401</v>
      </c>
      <c r="AB32" s="8" t="s">
        <v>1402</v>
      </c>
      <c r="AC32" s="6" t="s">
        <v>1403</v>
      </c>
      <c r="AD32" s="8" t="s">
        <v>1404</v>
      </c>
      <c r="AE32" s="9" t="s">
        <v>1405</v>
      </c>
      <c r="AF32" s="9" t="s">
        <v>1406</v>
      </c>
      <c r="AG32" s="9" t="s">
        <v>1407</v>
      </c>
      <c r="AH32" s="9" t="s">
        <v>1408</v>
      </c>
      <c r="AI32" s="9" t="s">
        <v>1409</v>
      </c>
      <c r="AJ32" s="9" t="s">
        <v>1410</v>
      </c>
      <c r="AK32" s="9" t="s">
        <v>1411</v>
      </c>
      <c r="AL32" s="9" t="s">
        <v>1412</v>
      </c>
      <c r="AM32" s="9" t="s">
        <v>1413</v>
      </c>
      <c r="AN32" s="9" t="s">
        <v>1414</v>
      </c>
      <c r="AO32" s="9" t="s">
        <v>1415</v>
      </c>
      <c r="AP32" s="9" t="s">
        <v>1416</v>
      </c>
      <c r="AQ32" s="9" t="s">
        <v>1417</v>
      </c>
      <c r="AR32" s="9" t="s">
        <v>1418</v>
      </c>
      <c r="AS32" s="9" t="s">
        <v>1419</v>
      </c>
      <c r="AT32" s="9" t="s">
        <v>1420</v>
      </c>
      <c r="AU32" s="9" t="s">
        <v>1421</v>
      </c>
      <c r="AV32" s="9" t="s">
        <v>1422</v>
      </c>
      <c r="AW32" s="9" t="s">
        <v>1423</v>
      </c>
      <c r="AX32" s="9" t="s">
        <v>1424</v>
      </c>
      <c r="AY32" s="9" t="s">
        <v>1425</v>
      </c>
      <c r="AZ32" s="9" t="s">
        <v>1412</v>
      </c>
      <c r="BA32" s="9" t="s">
        <v>1405</v>
      </c>
      <c r="BB32" s="9" t="s">
        <v>1406</v>
      </c>
      <c r="BC32" s="9" t="s">
        <v>1407</v>
      </c>
      <c r="BD32" s="9" t="s">
        <v>1426</v>
      </c>
      <c r="BE32" s="9" t="s">
        <v>1408</v>
      </c>
      <c r="BF32" s="9" t="s">
        <v>1409</v>
      </c>
      <c r="BG32" s="9" t="s">
        <v>1427</v>
      </c>
      <c r="BH32" s="9" t="s">
        <v>1413</v>
      </c>
      <c r="BI32" s="9" t="s">
        <v>1414</v>
      </c>
      <c r="BJ32" s="9" t="s">
        <v>1428</v>
      </c>
      <c r="BK32" s="9">
        <f t="shared" si="2"/>
        <v>30</v>
      </c>
    </row>
    <row r="33" spans="1:63" x14ac:dyDescent="0.25">
      <c r="A33" s="5">
        <v>31</v>
      </c>
      <c r="B33" s="6" t="s">
        <v>1429</v>
      </c>
      <c r="C33" s="6" t="s">
        <v>1430</v>
      </c>
      <c r="D33" s="7" t="e">
        <f ca="1">_xll.BDH(Tickers!$C33,"px_last",[1]Futures!$A$9,[1]Futures!$A$9,"days=all")</f>
        <v>#NAME?</v>
      </c>
      <c r="E33" s="7" t="e">
        <f ca="1">_xll.BDP(C33,"QUOTE_UNITS")</f>
        <v>#NAME?</v>
      </c>
      <c r="F33" s="6" t="e">
        <f ca="1">_xll.BDP(C33,"FUT_CONT_SIZE")/100</f>
        <v>#NAME?</v>
      </c>
      <c r="G33" s="6" t="s">
        <v>1431</v>
      </c>
      <c r="H33" s="6" t="s">
        <v>1432</v>
      </c>
      <c r="I33" s="6" t="s">
        <v>1433</v>
      </c>
      <c r="J33" s="6" t="s">
        <v>1434</v>
      </c>
      <c r="K33" s="6" t="s">
        <v>1435</v>
      </c>
      <c r="L33" s="6" t="s">
        <v>1436</v>
      </c>
      <c r="M33" s="6" t="s">
        <v>1437</v>
      </c>
      <c r="N33" s="6" t="s">
        <v>1438</v>
      </c>
      <c r="O33" s="6" t="s">
        <v>1439</v>
      </c>
      <c r="P33" s="6" t="s">
        <v>1440</v>
      </c>
      <c r="Q33" s="6" t="s">
        <v>1441</v>
      </c>
      <c r="R33" s="6" t="s">
        <v>1442</v>
      </c>
      <c r="S33" s="6" t="s">
        <v>1443</v>
      </c>
      <c r="T33" s="6" t="s">
        <v>1444</v>
      </c>
      <c r="U33" s="6" t="s">
        <v>1445</v>
      </c>
      <c r="V33" s="6" t="s">
        <v>1446</v>
      </c>
      <c r="W33" s="6" t="s">
        <v>1447</v>
      </c>
      <c r="X33" s="6" t="s">
        <v>1448</v>
      </c>
      <c r="Y33" s="6" t="s">
        <v>1449</v>
      </c>
      <c r="Z33" s="6" t="s">
        <v>1450</v>
      </c>
      <c r="AA33" s="6" t="s">
        <v>1451</v>
      </c>
      <c r="AB33" s="8" t="s">
        <v>1452</v>
      </c>
      <c r="AC33" s="6" t="s">
        <v>1453</v>
      </c>
      <c r="AD33" s="8" t="s">
        <v>1454</v>
      </c>
      <c r="AE33" s="9" t="s">
        <v>1455</v>
      </c>
      <c r="AF33" s="9" t="s">
        <v>1456</v>
      </c>
      <c r="AG33" s="9" t="s">
        <v>1457</v>
      </c>
      <c r="AH33" s="9" t="s">
        <v>1458</v>
      </c>
      <c r="AI33" s="9" t="s">
        <v>1459</v>
      </c>
      <c r="AJ33" s="9" t="s">
        <v>1460</v>
      </c>
      <c r="AK33" s="9" t="s">
        <v>1461</v>
      </c>
      <c r="AL33" s="9" t="s">
        <v>1462</v>
      </c>
      <c r="AM33" s="9" t="s">
        <v>1463</v>
      </c>
      <c r="AN33" s="9" t="s">
        <v>1464</v>
      </c>
      <c r="AO33" s="9" t="s">
        <v>1465</v>
      </c>
      <c r="AP33" s="9" t="s">
        <v>1466</v>
      </c>
      <c r="AQ33" s="9" t="s">
        <v>1467</v>
      </c>
      <c r="AR33" s="9" t="s">
        <v>1468</v>
      </c>
      <c r="AS33" s="9" t="s">
        <v>1469</v>
      </c>
      <c r="AT33" s="9" t="s">
        <v>1470</v>
      </c>
      <c r="AU33" s="9" t="s">
        <v>1471</v>
      </c>
      <c r="AV33" s="9" t="s">
        <v>1472</v>
      </c>
      <c r="AW33" s="9" t="s">
        <v>1473</v>
      </c>
      <c r="AX33" s="9" t="s">
        <v>1474</v>
      </c>
      <c r="AY33" s="9" t="s">
        <v>1475</v>
      </c>
      <c r="AZ33" s="9" t="s">
        <v>1462</v>
      </c>
      <c r="BA33" s="9" t="s">
        <v>1455</v>
      </c>
      <c r="BB33" s="9" t="s">
        <v>1456</v>
      </c>
      <c r="BC33" s="9" t="s">
        <v>1457</v>
      </c>
      <c r="BD33" s="9" t="s">
        <v>1476</v>
      </c>
      <c r="BE33" s="9" t="s">
        <v>1458</v>
      </c>
      <c r="BF33" s="9" t="s">
        <v>1459</v>
      </c>
      <c r="BG33" s="9" t="s">
        <v>1477</v>
      </c>
      <c r="BH33" s="9" t="s">
        <v>1463</v>
      </c>
      <c r="BI33" s="9" t="s">
        <v>1464</v>
      </c>
      <c r="BJ33" s="9" t="s">
        <v>1478</v>
      </c>
      <c r="BK33" s="9">
        <f t="shared" si="2"/>
        <v>31</v>
      </c>
    </row>
    <row r="34" spans="1:63" x14ac:dyDescent="0.25">
      <c r="A34" s="5">
        <v>32</v>
      </c>
      <c r="B34" s="6" t="s">
        <v>1479</v>
      </c>
      <c r="C34" s="6" t="s">
        <v>1480</v>
      </c>
      <c r="D34" s="7" t="e">
        <f ca="1">_xll.BDH(Tickers!$C34,"px_last",[1]Futures!$A$9,[1]Futures!$A$9,"days=all")</f>
        <v>#NAME?</v>
      </c>
      <c r="E34" s="7" t="e">
        <f ca="1">_xll.BDP(C34,"QUOTE_UNITS")</f>
        <v>#NAME?</v>
      </c>
      <c r="F34" s="6" t="e">
        <f ca="1">_xll.BDP(C34,"FUT_CONT_SIZE")/100</f>
        <v>#NAME?</v>
      </c>
      <c r="G34" s="6" t="s">
        <v>1481</v>
      </c>
      <c r="H34" s="6" t="s">
        <v>1482</v>
      </c>
      <c r="I34" s="6" t="s">
        <v>1483</v>
      </c>
      <c r="J34" s="6" t="s">
        <v>1484</v>
      </c>
      <c r="K34" s="6" t="s">
        <v>1485</v>
      </c>
      <c r="L34" s="6" t="s">
        <v>1486</v>
      </c>
      <c r="M34" s="6" t="s">
        <v>1487</v>
      </c>
      <c r="N34" s="6" t="s">
        <v>1488</v>
      </c>
      <c r="O34" s="6" t="s">
        <v>1489</v>
      </c>
      <c r="P34" s="6" t="s">
        <v>1490</v>
      </c>
      <c r="Q34" s="6" t="s">
        <v>1491</v>
      </c>
      <c r="R34" s="6" t="s">
        <v>1492</v>
      </c>
      <c r="S34" s="6" t="s">
        <v>1493</v>
      </c>
      <c r="T34" s="6" t="s">
        <v>1494</v>
      </c>
      <c r="U34" s="6" t="s">
        <v>1495</v>
      </c>
      <c r="V34" s="6" t="s">
        <v>1496</v>
      </c>
      <c r="W34" s="6" t="s">
        <v>1497</v>
      </c>
      <c r="X34" s="6" t="s">
        <v>1498</v>
      </c>
      <c r="Y34" s="6" t="s">
        <v>1499</v>
      </c>
      <c r="Z34" s="6" t="s">
        <v>1500</v>
      </c>
      <c r="AA34" s="6" t="s">
        <v>1501</v>
      </c>
      <c r="AB34" s="8" t="s">
        <v>1502</v>
      </c>
      <c r="AC34" s="6" t="s">
        <v>1503</v>
      </c>
      <c r="AD34" s="8" t="s">
        <v>1504</v>
      </c>
      <c r="AE34" s="9" t="s">
        <v>1505</v>
      </c>
      <c r="AF34" s="9" t="s">
        <v>1506</v>
      </c>
      <c r="AG34" s="9" t="s">
        <v>1507</v>
      </c>
      <c r="AH34" s="9" t="s">
        <v>1508</v>
      </c>
      <c r="AI34" s="9" t="s">
        <v>1509</v>
      </c>
      <c r="AJ34" s="9" t="s">
        <v>1510</v>
      </c>
      <c r="AK34" s="9" t="s">
        <v>1511</v>
      </c>
      <c r="AL34" s="9" t="s">
        <v>1512</v>
      </c>
      <c r="AM34" s="9" t="s">
        <v>1513</v>
      </c>
      <c r="AN34" s="9" t="s">
        <v>1514</v>
      </c>
      <c r="AO34" s="9" t="s">
        <v>1515</v>
      </c>
      <c r="AP34" s="9" t="s">
        <v>1516</v>
      </c>
      <c r="AQ34" s="9" t="s">
        <v>1517</v>
      </c>
      <c r="AR34" s="9" t="s">
        <v>1518</v>
      </c>
      <c r="AS34" s="9" t="s">
        <v>1519</v>
      </c>
      <c r="AT34" s="9" t="s">
        <v>1520</v>
      </c>
      <c r="AU34" s="9" t="s">
        <v>1521</v>
      </c>
      <c r="AV34" s="9" t="s">
        <v>1522</v>
      </c>
      <c r="AW34" s="9" t="s">
        <v>1523</v>
      </c>
      <c r="AX34" s="9" t="s">
        <v>1524</v>
      </c>
      <c r="AY34" s="9" t="s">
        <v>1525</v>
      </c>
      <c r="AZ34" s="9" t="s">
        <v>1512</v>
      </c>
      <c r="BA34" s="9" t="s">
        <v>1505</v>
      </c>
      <c r="BB34" s="9" t="s">
        <v>1506</v>
      </c>
      <c r="BC34" s="9" t="s">
        <v>1507</v>
      </c>
      <c r="BD34" s="9" t="s">
        <v>1526</v>
      </c>
      <c r="BE34" s="9" t="s">
        <v>1508</v>
      </c>
      <c r="BF34" s="9" t="s">
        <v>1509</v>
      </c>
      <c r="BG34" s="9" t="s">
        <v>1527</v>
      </c>
      <c r="BH34" s="9" t="s">
        <v>1513</v>
      </c>
      <c r="BI34" s="9" t="s">
        <v>1514</v>
      </c>
      <c r="BJ34" s="9" t="s">
        <v>1528</v>
      </c>
      <c r="BK34" s="9">
        <f t="shared" si="2"/>
        <v>32</v>
      </c>
    </row>
    <row r="35" spans="1:63" x14ac:dyDescent="0.25">
      <c r="A35" s="5">
        <v>33</v>
      </c>
      <c r="B35" s="6" t="s">
        <v>1529</v>
      </c>
      <c r="C35" s="6" t="s">
        <v>1530</v>
      </c>
      <c r="D35" s="7" t="e">
        <f ca="1">_xll.BDH(Tickers!$C35,"px_last",[1]Futures!$A$9,[1]Futures!$A$9,"days=all")</f>
        <v>#NAME?</v>
      </c>
      <c r="E35" s="7" t="e">
        <f ca="1">_xll.BDP(C35,"QUOTE_UNITS")</f>
        <v>#NAME?</v>
      </c>
      <c r="F35" s="6" t="e">
        <f ca="1">_xll.BDP(C35,"FUT_CONT_SIZE")/100</f>
        <v>#NAME?</v>
      </c>
      <c r="G35" s="6" t="s">
        <v>1531</v>
      </c>
      <c r="H35" s="6" t="s">
        <v>1532</v>
      </c>
      <c r="I35" s="6" t="s">
        <v>1533</v>
      </c>
      <c r="J35" s="6" t="s">
        <v>1534</v>
      </c>
      <c r="K35" s="6" t="s">
        <v>1535</v>
      </c>
      <c r="L35" s="6" t="s">
        <v>1536</v>
      </c>
      <c r="M35" s="6" t="s">
        <v>1537</v>
      </c>
      <c r="N35" s="6" t="s">
        <v>1538</v>
      </c>
      <c r="O35" s="6" t="s">
        <v>1539</v>
      </c>
      <c r="P35" s="6" t="s">
        <v>1540</v>
      </c>
      <c r="Q35" s="6" t="s">
        <v>1541</v>
      </c>
      <c r="R35" s="6" t="s">
        <v>1542</v>
      </c>
      <c r="S35" s="6" t="s">
        <v>1543</v>
      </c>
      <c r="T35" s="6" t="s">
        <v>1544</v>
      </c>
      <c r="U35" s="6" t="s">
        <v>1545</v>
      </c>
      <c r="V35" s="6" t="s">
        <v>1546</v>
      </c>
      <c r="W35" s="6" t="s">
        <v>1547</v>
      </c>
      <c r="X35" s="6" t="s">
        <v>1548</v>
      </c>
      <c r="Y35" s="6" t="s">
        <v>1549</v>
      </c>
      <c r="Z35" s="6" t="s">
        <v>1550</v>
      </c>
      <c r="AA35" s="6" t="s">
        <v>1551</v>
      </c>
      <c r="AB35" s="8" t="s">
        <v>1552</v>
      </c>
      <c r="AC35" s="6"/>
      <c r="AD35" s="8"/>
      <c r="AE35" s="9" t="s">
        <v>1553</v>
      </c>
      <c r="AF35" s="9" t="s">
        <v>1554</v>
      </c>
      <c r="AG35" s="9" t="s">
        <v>1555</v>
      </c>
      <c r="AH35" s="9" t="s">
        <v>1556</v>
      </c>
      <c r="AI35" s="9" t="s">
        <v>1557</v>
      </c>
      <c r="AJ35" s="9" t="s">
        <v>1558</v>
      </c>
      <c r="AK35" s="9" t="s">
        <v>1559</v>
      </c>
      <c r="AL35" s="9" t="s">
        <v>1560</v>
      </c>
      <c r="AM35" s="9" t="s">
        <v>1561</v>
      </c>
      <c r="AN35" s="9" t="s">
        <v>1562</v>
      </c>
      <c r="AO35" s="9" t="s">
        <v>1563</v>
      </c>
      <c r="AP35" s="9" t="s">
        <v>1564</v>
      </c>
      <c r="AQ35" s="9" t="s">
        <v>1565</v>
      </c>
      <c r="AR35" s="9" t="s">
        <v>1566</v>
      </c>
      <c r="AS35" s="9" t="s">
        <v>1567</v>
      </c>
      <c r="AT35" s="9" t="s">
        <v>1568</v>
      </c>
      <c r="AU35" s="9" t="s">
        <v>1569</v>
      </c>
      <c r="AV35" s="9" t="s">
        <v>1570</v>
      </c>
      <c r="AW35" s="9" t="s">
        <v>1571</v>
      </c>
      <c r="AX35" s="9" t="s">
        <v>1572</v>
      </c>
      <c r="AY35" s="9" t="s">
        <v>1573</v>
      </c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>
        <f t="shared" si="2"/>
        <v>33</v>
      </c>
    </row>
    <row r="36" spans="1:63" x14ac:dyDescent="0.25">
      <c r="A36" s="5">
        <v>34</v>
      </c>
      <c r="B36" s="6" t="s">
        <v>1574</v>
      </c>
      <c r="C36" s="6" t="s">
        <v>1575</v>
      </c>
      <c r="D36" s="7" t="e">
        <f ca="1">_xll.BDH(Tickers!$C36,"px_last",[1]Futures!$A$9,[1]Futures!$A$9,"days=all")</f>
        <v>#NAME?</v>
      </c>
      <c r="E36" s="7" t="e">
        <f ca="1">_xll.BDP(C36,"QUOTE_UNITS")</f>
        <v>#NAME?</v>
      </c>
      <c r="F36" s="6" t="e">
        <f ca="1">_xll.BDP(C36,"FUT_CONT_SIZE")</f>
        <v>#NAME?</v>
      </c>
      <c r="G36" s="6" t="s">
        <v>1576</v>
      </c>
      <c r="H36" s="6" t="s">
        <v>1577</v>
      </c>
      <c r="I36" s="6" t="s">
        <v>1578</v>
      </c>
      <c r="J36" s="6" t="s">
        <v>1579</v>
      </c>
      <c r="K36" s="6" t="s">
        <v>1580</v>
      </c>
      <c r="L36" s="6" t="s">
        <v>1581</v>
      </c>
      <c r="M36" s="6" t="s">
        <v>1582</v>
      </c>
      <c r="N36" s="6" t="s">
        <v>1583</v>
      </c>
      <c r="O36" s="6" t="s">
        <v>1584</v>
      </c>
      <c r="P36" s="6" t="s">
        <v>1585</v>
      </c>
      <c r="Q36" s="6" t="s">
        <v>1586</v>
      </c>
      <c r="R36" s="6" t="s">
        <v>1587</v>
      </c>
      <c r="S36" s="6" t="s">
        <v>1588</v>
      </c>
      <c r="T36" s="6" t="s">
        <v>1589</v>
      </c>
      <c r="U36" s="6" t="s">
        <v>1590</v>
      </c>
      <c r="V36" s="6" t="s">
        <v>1591</v>
      </c>
      <c r="W36" s="6" t="s">
        <v>1592</v>
      </c>
      <c r="X36" s="6" t="s">
        <v>1593</v>
      </c>
      <c r="Y36" s="6" t="s">
        <v>1594</v>
      </c>
      <c r="Z36" s="6" t="s">
        <v>1595</v>
      </c>
      <c r="AA36" s="6" t="s">
        <v>1596</v>
      </c>
      <c r="AB36" s="8" t="s">
        <v>1597</v>
      </c>
      <c r="AC36" s="6" t="s">
        <v>1598</v>
      </c>
      <c r="AD36" s="8" t="s">
        <v>1599</v>
      </c>
      <c r="AE36" s="9" t="s">
        <v>1600</v>
      </c>
      <c r="AF36" s="9" t="s">
        <v>1601</v>
      </c>
      <c r="AG36" s="9" t="s">
        <v>1602</v>
      </c>
      <c r="AH36" s="9" t="s">
        <v>1603</v>
      </c>
      <c r="AI36" s="9" t="s">
        <v>1604</v>
      </c>
      <c r="AJ36" s="9" t="s">
        <v>1605</v>
      </c>
      <c r="AK36" s="9" t="s">
        <v>1606</v>
      </c>
      <c r="AL36" s="9" t="s">
        <v>1607</v>
      </c>
      <c r="AM36" s="9" t="s">
        <v>1608</v>
      </c>
      <c r="AN36" s="9" t="s">
        <v>1609</v>
      </c>
      <c r="AO36" s="9" t="s">
        <v>1610</v>
      </c>
      <c r="AP36" s="9" t="s">
        <v>1611</v>
      </c>
      <c r="AQ36" s="9" t="s">
        <v>1612</v>
      </c>
      <c r="AR36" s="9" t="s">
        <v>1613</v>
      </c>
      <c r="AS36" s="9" t="s">
        <v>1614</v>
      </c>
      <c r="AT36" s="9" t="s">
        <v>1615</v>
      </c>
      <c r="AU36" s="9" t="s">
        <v>1616</v>
      </c>
      <c r="AV36" s="9" t="s">
        <v>1617</v>
      </c>
      <c r="AW36" s="9" t="s">
        <v>1618</v>
      </c>
      <c r="AX36" s="9" t="s">
        <v>1619</v>
      </c>
      <c r="AY36" s="9" t="s">
        <v>1620</v>
      </c>
      <c r="AZ36" s="9" t="s">
        <v>1607</v>
      </c>
      <c r="BA36" s="9" t="s">
        <v>1600</v>
      </c>
      <c r="BB36" s="9" t="s">
        <v>1601</v>
      </c>
      <c r="BC36" s="9" t="s">
        <v>1602</v>
      </c>
      <c r="BD36" s="9" t="s">
        <v>1621</v>
      </c>
      <c r="BE36" s="9" t="s">
        <v>1603</v>
      </c>
      <c r="BF36" s="9" t="s">
        <v>1604</v>
      </c>
      <c r="BG36" s="9" t="s">
        <v>1622</v>
      </c>
      <c r="BH36" s="9" t="s">
        <v>1608</v>
      </c>
      <c r="BI36" s="9" t="s">
        <v>1609</v>
      </c>
      <c r="BJ36" s="9" t="s">
        <v>1623</v>
      </c>
      <c r="BK36" s="9">
        <f t="shared" si="2"/>
        <v>34</v>
      </c>
    </row>
    <row r="37" spans="1:63" x14ac:dyDescent="0.25">
      <c r="A37" s="5">
        <v>35</v>
      </c>
      <c r="B37" s="6" t="s">
        <v>1624</v>
      </c>
      <c r="C37" s="6" t="s">
        <v>1625</v>
      </c>
      <c r="D37" s="7" t="e">
        <f ca="1">_xll.BDH(Tickers!$C37,"px_last",[1]Futures!$A$9,[1]Futures!$A$9,"days=all")</f>
        <v>#NAME?</v>
      </c>
      <c r="E37" s="7" t="e">
        <f ca="1">_xll.BDP(C37,"QUOTE_UNITS")</f>
        <v>#NAME?</v>
      </c>
      <c r="F37" s="6" t="e">
        <f ca="1">_xll.BDP(C37,"FUT_CONT_SIZE")</f>
        <v>#NAME?</v>
      </c>
      <c r="G37" s="6"/>
      <c r="H37" s="6"/>
      <c r="I37" s="6"/>
      <c r="J37" s="6"/>
      <c r="K37" s="6"/>
      <c r="L37" s="6"/>
      <c r="M37" s="6"/>
      <c r="N37" s="6" t="s">
        <v>1626</v>
      </c>
      <c r="O37" s="6" t="s">
        <v>1627</v>
      </c>
      <c r="P37" s="6" t="s">
        <v>1628</v>
      </c>
      <c r="Q37" s="6" t="s">
        <v>1629</v>
      </c>
      <c r="R37" s="6" t="s">
        <v>1630</v>
      </c>
      <c r="S37" s="6" t="s">
        <v>1631</v>
      </c>
      <c r="T37" s="6" t="s">
        <v>1632</v>
      </c>
      <c r="U37" s="6" t="s">
        <v>1633</v>
      </c>
      <c r="V37" s="6" t="s">
        <v>1634</v>
      </c>
      <c r="W37" s="6" t="s">
        <v>1635</v>
      </c>
      <c r="X37" s="6" t="s">
        <v>1636</v>
      </c>
      <c r="Y37" s="6" t="s">
        <v>1637</v>
      </c>
      <c r="Z37" s="6" t="s">
        <v>1638</v>
      </c>
      <c r="AA37" s="6" t="s">
        <v>1639</v>
      </c>
      <c r="AB37" s="6"/>
      <c r="AC37" s="6"/>
      <c r="AD37" s="6"/>
      <c r="AE37" s="9"/>
      <c r="AF37" s="9"/>
      <c r="AG37" s="9"/>
      <c r="AH37" s="9"/>
      <c r="AI37" s="9"/>
      <c r="AJ37" s="9"/>
      <c r="AK37" s="9"/>
      <c r="AL37" s="9" t="s">
        <v>1640</v>
      </c>
      <c r="AM37" s="9" t="s">
        <v>1641</v>
      </c>
      <c r="AN37" s="9" t="s">
        <v>1642</v>
      </c>
      <c r="AO37" s="9" t="s">
        <v>1643</v>
      </c>
      <c r="AP37" s="9" t="s">
        <v>1644</v>
      </c>
      <c r="AQ37" s="9" t="s">
        <v>1645</v>
      </c>
      <c r="AR37" s="9" t="s">
        <v>1646</v>
      </c>
      <c r="AS37" s="9" t="s">
        <v>1647</v>
      </c>
      <c r="AT37" s="9" t="s">
        <v>1648</v>
      </c>
      <c r="AU37" s="9" t="s">
        <v>1649</v>
      </c>
      <c r="AV37" s="9" t="s">
        <v>1650</v>
      </c>
      <c r="AW37" s="9" t="s">
        <v>1651</v>
      </c>
      <c r="AX37" s="9" t="s">
        <v>1652</v>
      </c>
      <c r="AY37" s="9" t="s">
        <v>1653</v>
      </c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>
        <f t="shared" si="2"/>
        <v>35</v>
      </c>
    </row>
    <row r="38" spans="1:63" x14ac:dyDescent="0.25">
      <c r="A38" s="5">
        <v>36</v>
      </c>
      <c r="B38" s="6" t="s">
        <v>1654</v>
      </c>
      <c r="C38" s="6" t="s">
        <v>1655</v>
      </c>
      <c r="D38" s="7" t="e">
        <f ca="1">_xll.BDH(Tickers!$C38,"px_last",[1]Futures!$A$9,[1]Futures!$A$9,"days=all")</f>
        <v>#NAME?</v>
      </c>
      <c r="E38" s="7" t="e">
        <f ca="1">_xll.BDP(C38,"QUOTE_UNITS")</f>
        <v>#NAME?</v>
      </c>
      <c r="F38" s="6" t="e">
        <f ca="1">_xll.BDP(C38,"FUT_CONT_SIZE")</f>
        <v>#NAME?</v>
      </c>
      <c r="G38" s="6"/>
      <c r="H38" s="6"/>
      <c r="I38" s="6"/>
      <c r="J38" s="6"/>
      <c r="K38" s="6"/>
      <c r="L38" s="6"/>
      <c r="M38" s="6"/>
      <c r="N38" s="6" t="s">
        <v>1656</v>
      </c>
      <c r="O38" s="6" t="s">
        <v>1657</v>
      </c>
      <c r="P38" s="6" t="s">
        <v>1658</v>
      </c>
      <c r="Q38" s="6" t="s">
        <v>1659</v>
      </c>
      <c r="R38" s="6" t="s">
        <v>1660</v>
      </c>
      <c r="S38" s="6" t="s">
        <v>1661</v>
      </c>
      <c r="T38" s="6" t="s">
        <v>1662</v>
      </c>
      <c r="U38" s="6" t="s">
        <v>1663</v>
      </c>
      <c r="V38" s="6" t="s">
        <v>1664</v>
      </c>
      <c r="W38" s="6" t="s">
        <v>1665</v>
      </c>
      <c r="X38" s="6" t="s">
        <v>1666</v>
      </c>
      <c r="Y38" s="6" t="s">
        <v>1667</v>
      </c>
      <c r="Z38" s="6" t="s">
        <v>1668</v>
      </c>
      <c r="AA38" s="6" t="s">
        <v>1669</v>
      </c>
      <c r="AB38" s="6"/>
      <c r="AC38" s="6"/>
      <c r="AD38" s="6"/>
      <c r="AE38" s="9"/>
      <c r="AF38" s="9"/>
      <c r="AG38" s="9"/>
      <c r="AH38" s="9"/>
      <c r="AI38" s="9"/>
      <c r="AJ38" s="9"/>
      <c r="AK38" s="9"/>
      <c r="AL38" s="9" t="s">
        <v>1670</v>
      </c>
      <c r="AM38" s="9" t="s">
        <v>1671</v>
      </c>
      <c r="AN38" s="9" t="s">
        <v>1672</v>
      </c>
      <c r="AO38" s="9" t="s">
        <v>1673</v>
      </c>
      <c r="AP38" s="9" t="s">
        <v>1674</v>
      </c>
      <c r="AQ38" s="9" t="s">
        <v>1675</v>
      </c>
      <c r="AR38" s="9" t="s">
        <v>1676</v>
      </c>
      <c r="AS38" s="9" t="s">
        <v>1677</v>
      </c>
      <c r="AT38" s="9" t="s">
        <v>1678</v>
      </c>
      <c r="AU38" s="9" t="s">
        <v>1679</v>
      </c>
      <c r="AV38" s="9" t="s">
        <v>1680</v>
      </c>
      <c r="AW38" s="9" t="s">
        <v>1681</v>
      </c>
      <c r="AX38" s="9" t="s">
        <v>1682</v>
      </c>
      <c r="AY38" s="9" t="s">
        <v>1683</v>
      </c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>
        <f t="shared" si="2"/>
        <v>36</v>
      </c>
    </row>
    <row r="39" spans="1:63" x14ac:dyDescent="0.25">
      <c r="A39" s="5">
        <v>37</v>
      </c>
      <c r="B39" s="6" t="s">
        <v>1684</v>
      </c>
      <c r="C39" s="6" t="s">
        <v>1685</v>
      </c>
      <c r="D39" s="7" t="e">
        <f ca="1">_xll.BDH(Tickers!$C39,"px_last",[1]Futures!$A$9,[1]Futures!$A$9,"days=all")</f>
        <v>#NAME?</v>
      </c>
      <c r="E39" s="6" t="e">
        <f ca="1">_xll.BDP(C39,"QUOTE_UNITS")</f>
        <v>#NAME?</v>
      </c>
      <c r="F39" s="6" t="e">
        <f ca="1">_xll.BDP(C39,"FUT_CONT_SIZE")/100</f>
        <v>#NAME?</v>
      </c>
      <c r="G39" s="6" t="s">
        <v>1686</v>
      </c>
      <c r="H39" s="6" t="s">
        <v>1687</v>
      </c>
      <c r="I39" s="6" t="s">
        <v>1688</v>
      </c>
      <c r="J39" s="6" t="s">
        <v>1689</v>
      </c>
      <c r="K39" s="6" t="s">
        <v>1690</v>
      </c>
      <c r="L39" s="6" t="s">
        <v>1691</v>
      </c>
      <c r="M39" s="6" t="s">
        <v>1692</v>
      </c>
      <c r="N39" s="6" t="s">
        <v>1693</v>
      </c>
      <c r="O39" s="6" t="s">
        <v>1694</v>
      </c>
      <c r="P39" s="6" t="s">
        <v>1695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8" t="s">
        <v>1696</v>
      </c>
      <c r="AC39" s="6"/>
      <c r="AD39" s="8"/>
      <c r="AE39" s="9" t="s">
        <v>1697</v>
      </c>
      <c r="AF39" s="9" t="s">
        <v>1698</v>
      </c>
      <c r="AG39" s="9" t="s">
        <v>1699</v>
      </c>
      <c r="AH39" s="9" t="s">
        <v>1700</v>
      </c>
      <c r="AI39" s="9" t="s">
        <v>1701</v>
      </c>
      <c r="AJ39" s="9" t="s">
        <v>1702</v>
      </c>
      <c r="AK39" s="9" t="s">
        <v>1703</v>
      </c>
      <c r="AL39" s="9" t="s">
        <v>1704</v>
      </c>
      <c r="AM39" s="9" t="s">
        <v>1705</v>
      </c>
      <c r="AN39" s="9" t="s">
        <v>1706</v>
      </c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>
        <f t="shared" si="2"/>
        <v>37</v>
      </c>
    </row>
    <row r="40" spans="1:63" x14ac:dyDescent="0.25">
      <c r="A40" s="5">
        <v>38</v>
      </c>
      <c r="B40" s="6" t="s">
        <v>1707</v>
      </c>
      <c r="C40" s="6" t="s">
        <v>1708</v>
      </c>
      <c r="D40" s="7" t="e">
        <f ca="1">_xll.BDH(Tickers!$C40,"px_last",[1]Futures!$A$9,[1]Futures!$A$9,"days=all")</f>
        <v>#NAME?</v>
      </c>
      <c r="E40" s="6" t="e">
        <f ca="1">_xll.BDP(C40,"QUOTE_UNITS")</f>
        <v>#NAME?</v>
      </c>
      <c r="F40" s="6" t="e">
        <f ca="1">_xll.BDP(C40,"FUT_CONT_SIZE")</f>
        <v>#NAME?</v>
      </c>
      <c r="G40" s="6" t="s">
        <v>1709</v>
      </c>
      <c r="H40" s="6" t="s">
        <v>1710</v>
      </c>
      <c r="I40" s="6" t="s">
        <v>1711</v>
      </c>
      <c r="J40" s="6" t="s">
        <v>1712</v>
      </c>
      <c r="K40" s="6" t="s">
        <v>1713</v>
      </c>
      <c r="L40" s="6" t="s">
        <v>1714</v>
      </c>
      <c r="M40" s="6" t="s">
        <v>1715</v>
      </c>
      <c r="N40" s="6" t="s">
        <v>1716</v>
      </c>
      <c r="O40" s="6" t="s">
        <v>1717</v>
      </c>
      <c r="P40" s="6" t="s">
        <v>1718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8" t="s">
        <v>1719</v>
      </c>
      <c r="AC40" s="6"/>
      <c r="AD40" s="8"/>
      <c r="AE40" s="9" t="s">
        <v>1720</v>
      </c>
      <c r="AF40" s="9" t="s">
        <v>1721</v>
      </c>
      <c r="AG40" s="9" t="s">
        <v>1722</v>
      </c>
      <c r="AH40" s="9" t="s">
        <v>1723</v>
      </c>
      <c r="AI40" s="9" t="s">
        <v>1724</v>
      </c>
      <c r="AJ40" s="9" t="s">
        <v>1725</v>
      </c>
      <c r="AK40" s="9" t="s">
        <v>1726</v>
      </c>
      <c r="AL40" s="9" t="s">
        <v>1727</v>
      </c>
      <c r="AM40" s="9" t="s">
        <v>1728</v>
      </c>
      <c r="AN40" s="9" t="s">
        <v>1729</v>
      </c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>
        <f t="shared" si="2"/>
        <v>38</v>
      </c>
    </row>
    <row r="41" spans="1:63" x14ac:dyDescent="0.25">
      <c r="A41" s="5">
        <v>39</v>
      </c>
      <c r="B41" s="6" t="s">
        <v>1730</v>
      </c>
      <c r="C41" s="6" t="s">
        <v>1731</v>
      </c>
      <c r="D41" s="7" t="e">
        <f ca="1">_xll.BDH(Tickers!$C41,"px_last",[1]Futures!$A$9,[1]Futures!$A$9,"days=all")</f>
        <v>#NAME?</v>
      </c>
      <c r="E41" s="6" t="e">
        <f ca="1">_xll.BDP(C41,"QUOTE_UNITS")</f>
        <v>#NAME?</v>
      </c>
      <c r="F41" s="6" t="e">
        <f ca="1">_xll.BDP(C41,"FUT_CONT_SIZE")/100</f>
        <v>#NAME?</v>
      </c>
      <c r="G41" s="6" t="s">
        <v>1732</v>
      </c>
      <c r="H41" s="6" t="s">
        <v>1733</v>
      </c>
      <c r="I41" s="6" t="s">
        <v>1734</v>
      </c>
      <c r="J41" s="6" t="s">
        <v>1735</v>
      </c>
      <c r="K41" s="6" t="s">
        <v>1736</v>
      </c>
      <c r="L41" s="6" t="s">
        <v>1737</v>
      </c>
      <c r="M41" s="6" t="s">
        <v>1738</v>
      </c>
      <c r="N41" s="6" t="s">
        <v>1739</v>
      </c>
      <c r="O41" s="6" t="s">
        <v>1740</v>
      </c>
      <c r="P41" s="6" t="s">
        <v>1741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8" t="s">
        <v>1742</v>
      </c>
      <c r="AC41" s="6"/>
      <c r="AD41" s="8"/>
      <c r="AE41" s="9" t="s">
        <v>1743</v>
      </c>
      <c r="AF41" s="9" t="s">
        <v>1744</v>
      </c>
      <c r="AG41" s="9" t="s">
        <v>1745</v>
      </c>
      <c r="AH41" s="9" t="s">
        <v>1746</v>
      </c>
      <c r="AI41" s="9" t="s">
        <v>1747</v>
      </c>
      <c r="AJ41" s="9" t="s">
        <v>1748</v>
      </c>
      <c r="AK41" s="9" t="s">
        <v>1749</v>
      </c>
      <c r="AL41" s="9" t="s">
        <v>1750</v>
      </c>
      <c r="AM41" s="9" t="s">
        <v>1751</v>
      </c>
      <c r="AN41" s="9" t="s">
        <v>1752</v>
      </c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>
        <f t="shared" si="2"/>
        <v>39</v>
      </c>
    </row>
    <row r="42" spans="1:63" x14ac:dyDescent="0.25">
      <c r="A42" s="5">
        <v>40</v>
      </c>
      <c r="B42" s="6" t="s">
        <v>1753</v>
      </c>
      <c r="C42" s="6" t="s">
        <v>1754</v>
      </c>
      <c r="D42" s="7" t="e">
        <f ca="1">_xll.BDH(Tickers!$C42,"px_last",[1]Futures!$A$9,[1]Futures!$A$9,"days=all")</f>
        <v>#NAME?</v>
      </c>
      <c r="E42" s="6" t="e">
        <f ca="1">_xll.BDP(C42,"QUOTE_UNITS")</f>
        <v>#NAME?</v>
      </c>
      <c r="F42" s="6" t="e">
        <f ca="1">_xll.BDP(C42,"FUT_CONT_SIZE")/100</f>
        <v>#NAME?</v>
      </c>
      <c r="G42" s="6" t="s">
        <v>1755</v>
      </c>
      <c r="H42" s="6" t="s">
        <v>1756</v>
      </c>
      <c r="I42" s="6" t="s">
        <v>1757</v>
      </c>
      <c r="J42" s="6" t="s">
        <v>1758</v>
      </c>
      <c r="K42" s="6" t="s">
        <v>1759</v>
      </c>
      <c r="L42" s="6" t="s">
        <v>1760</v>
      </c>
      <c r="M42" s="6" t="s">
        <v>1761</v>
      </c>
      <c r="N42" s="6" t="s">
        <v>1762</v>
      </c>
      <c r="O42" s="6" t="s">
        <v>1763</v>
      </c>
      <c r="P42" s="6" t="s">
        <v>1764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8" t="s">
        <v>1765</v>
      </c>
      <c r="AC42" s="6"/>
      <c r="AD42" s="8"/>
      <c r="AE42" s="9" t="s">
        <v>1766</v>
      </c>
      <c r="AF42" s="9" t="s">
        <v>1767</v>
      </c>
      <c r="AG42" s="9" t="s">
        <v>1768</v>
      </c>
      <c r="AH42" s="9" t="s">
        <v>1769</v>
      </c>
      <c r="AI42" s="9" t="s">
        <v>1770</v>
      </c>
      <c r="AJ42" s="9" t="s">
        <v>1771</v>
      </c>
      <c r="AK42" s="9" t="s">
        <v>1772</v>
      </c>
      <c r="AL42" s="9" t="s">
        <v>1773</v>
      </c>
      <c r="AM42" s="9" t="s">
        <v>1774</v>
      </c>
      <c r="AN42" s="9" t="s">
        <v>1775</v>
      </c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>
        <f t="shared" si="2"/>
        <v>40</v>
      </c>
    </row>
    <row r="43" spans="1:63" x14ac:dyDescent="0.25">
      <c r="A43" s="5">
        <v>41</v>
      </c>
      <c r="B43" s="6" t="s">
        <v>1776</v>
      </c>
      <c r="C43" s="6" t="s">
        <v>1777</v>
      </c>
      <c r="D43" s="7" t="e">
        <f ca="1">_xll.BDH(Tickers!$C43,"px_last",[1]Futures!$A$9,[1]Futures!$A$9,"days=all")</f>
        <v>#NAME?</v>
      </c>
      <c r="E43" s="6" t="e">
        <f ca="1">_xll.BDP(C43,"QUOTE_UNITS")</f>
        <v>#NAME?</v>
      </c>
      <c r="F43" s="6" t="e">
        <f ca="1">_xll.BDP(C43,"FUT_CONT_SIZE")/100</f>
        <v>#NAME?</v>
      </c>
      <c r="G43" s="6" t="s">
        <v>1778</v>
      </c>
      <c r="H43" s="6" t="s">
        <v>1779</v>
      </c>
      <c r="I43" s="6" t="s">
        <v>1780</v>
      </c>
      <c r="J43" s="6" t="s">
        <v>1781</v>
      </c>
      <c r="K43" s="6" t="s">
        <v>1782</v>
      </c>
      <c r="L43" s="6" t="s">
        <v>1783</v>
      </c>
      <c r="M43" s="6" t="s">
        <v>1784</v>
      </c>
      <c r="N43" s="6" t="s">
        <v>1785</v>
      </c>
      <c r="O43" s="6" t="s">
        <v>1786</v>
      </c>
      <c r="P43" s="6" t="s">
        <v>1787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8" t="s">
        <v>1788</v>
      </c>
      <c r="AC43" s="6"/>
      <c r="AD43" s="8"/>
      <c r="AE43" s="9" t="s">
        <v>1789</v>
      </c>
      <c r="AF43" s="9" t="s">
        <v>1790</v>
      </c>
      <c r="AG43" s="9" t="s">
        <v>1791</v>
      </c>
      <c r="AH43" s="9" t="s">
        <v>1792</v>
      </c>
      <c r="AI43" s="9" t="s">
        <v>1793</v>
      </c>
      <c r="AJ43" s="9" t="s">
        <v>1794</v>
      </c>
      <c r="AK43" s="9" t="s">
        <v>1795</v>
      </c>
      <c r="AL43" s="9" t="s">
        <v>1796</v>
      </c>
      <c r="AM43" s="9" t="s">
        <v>1797</v>
      </c>
      <c r="AN43" s="9" t="s">
        <v>1798</v>
      </c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>
        <f t="shared" si="2"/>
        <v>41</v>
      </c>
    </row>
    <row r="44" spans="1:63" x14ac:dyDescent="0.25">
      <c r="A44" s="5">
        <v>42</v>
      </c>
      <c r="B44" s="6" t="s">
        <v>1799</v>
      </c>
      <c r="C44" s="6" t="s">
        <v>1800</v>
      </c>
      <c r="D44" s="7" t="e">
        <f ca="1">_xll.BDH(Tickers!$C44,"px_last",[1]Futures!$A$9,[1]Futures!$A$9,"days=all")</f>
        <v>#NAME?</v>
      </c>
      <c r="E44" s="6" t="e">
        <f ca="1">_xll.BDP(C44,"QUOTE_UNITS")</f>
        <v>#NAME?</v>
      </c>
      <c r="F44" s="6" t="e">
        <f ca="1">_xll.BDP(C44,"FUT_CONT_SIZE")/10000</f>
        <v>#NAME?</v>
      </c>
      <c r="G44" s="6" t="s">
        <v>1801</v>
      </c>
      <c r="H44" s="6" t="s">
        <v>1802</v>
      </c>
      <c r="I44" s="6" t="s">
        <v>1803</v>
      </c>
      <c r="J44" s="6" t="s">
        <v>1804</v>
      </c>
      <c r="K44" s="6" t="s">
        <v>1805</v>
      </c>
      <c r="L44" s="6" t="s">
        <v>1806</v>
      </c>
      <c r="M44" s="6" t="s">
        <v>1807</v>
      </c>
      <c r="N44" s="6" t="s">
        <v>1808</v>
      </c>
      <c r="O44" s="6" t="s">
        <v>1809</v>
      </c>
      <c r="P44" s="6" t="s">
        <v>1810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8" t="s">
        <v>1811</v>
      </c>
      <c r="AC44" s="6"/>
      <c r="AD44" s="8"/>
      <c r="AE44" s="9" t="s">
        <v>1812</v>
      </c>
      <c r="AF44" s="9" t="s">
        <v>1813</v>
      </c>
      <c r="AG44" s="9" t="s">
        <v>1814</v>
      </c>
      <c r="AH44" s="9" t="s">
        <v>1815</v>
      </c>
      <c r="AI44" s="9" t="s">
        <v>1816</v>
      </c>
      <c r="AJ44" s="9" t="s">
        <v>1817</v>
      </c>
      <c r="AK44" s="9" t="s">
        <v>1818</v>
      </c>
      <c r="AL44" s="9" t="s">
        <v>1819</v>
      </c>
      <c r="AM44" s="9" t="s">
        <v>1820</v>
      </c>
      <c r="AN44" s="9" t="s">
        <v>1821</v>
      </c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>
        <f t="shared" si="2"/>
        <v>42</v>
      </c>
    </row>
    <row r="45" spans="1:63" x14ac:dyDescent="0.25">
      <c r="A45" s="5">
        <v>43</v>
      </c>
      <c r="B45" s="6" t="s">
        <v>1822</v>
      </c>
      <c r="C45" s="6" t="s">
        <v>1823</v>
      </c>
      <c r="D45" s="7" t="e">
        <f ca="1">_xll.BDH(Tickers!$C45,"px_last",[1]Futures!$A$9,[1]Futures!$A$9,"days=all")</f>
        <v>#NAME?</v>
      </c>
      <c r="E45" s="6" t="e">
        <f ca="1">_xll.BDP(C45,"QUOTE_UNITS")</f>
        <v>#NAME?</v>
      </c>
      <c r="F45" s="6" t="e">
        <f ca="1">_xll.BDP(C45,"FUT_CONT_SIZE")/100</f>
        <v>#NAME?</v>
      </c>
      <c r="G45" s="6" t="s">
        <v>1824</v>
      </c>
      <c r="H45" s="6" t="s">
        <v>1825</v>
      </c>
      <c r="I45" s="6" t="s">
        <v>1826</v>
      </c>
      <c r="J45" s="6" t="s">
        <v>1827</v>
      </c>
      <c r="K45" s="6" t="s">
        <v>1828</v>
      </c>
      <c r="L45" s="6" t="s">
        <v>1829</v>
      </c>
      <c r="M45" s="6" t="s">
        <v>1830</v>
      </c>
      <c r="N45" s="6" t="s">
        <v>1831</v>
      </c>
      <c r="O45" s="6" t="s">
        <v>1832</v>
      </c>
      <c r="P45" s="6" t="s">
        <v>1833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8" t="s">
        <v>1834</v>
      </c>
      <c r="AC45" s="6"/>
      <c r="AD45" s="8"/>
      <c r="AE45" s="9" t="s">
        <v>1835</v>
      </c>
      <c r="AF45" s="9" t="s">
        <v>1836</v>
      </c>
      <c r="AG45" s="9" t="s">
        <v>1837</v>
      </c>
      <c r="AH45" s="9" t="s">
        <v>1838</v>
      </c>
      <c r="AI45" s="9" t="s">
        <v>1839</v>
      </c>
      <c r="AJ45" s="9" t="s">
        <v>1840</v>
      </c>
      <c r="AK45" s="9" t="s">
        <v>1841</v>
      </c>
      <c r="AL45" s="9" t="s">
        <v>1842</v>
      </c>
      <c r="AM45" s="9" t="s">
        <v>1843</v>
      </c>
      <c r="AN45" s="9" t="s">
        <v>1844</v>
      </c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>
        <f t="shared" si="2"/>
        <v>43</v>
      </c>
    </row>
    <row r="46" spans="1:63" x14ac:dyDescent="0.25">
      <c r="A46" s="5">
        <v>44</v>
      </c>
      <c r="B46" s="6" t="s">
        <v>1845</v>
      </c>
      <c r="C46" s="6" t="s">
        <v>1846</v>
      </c>
      <c r="D46" s="7" t="e">
        <f ca="1">_xll.BDH(Tickers!$C46,"px_last",[1]Futures!$A$9,[1]Futures!$A$9,"days=all")</f>
        <v>#NAME?</v>
      </c>
      <c r="E46" s="6" t="e">
        <f ca="1">_xll.BDP(C46,"QUOTE_UNITS")</f>
        <v>#NAME?</v>
      </c>
      <c r="F46" s="6" t="e">
        <f ca="1">_xll.BDP(C46,"FUT_CONT_SIZE")/100</f>
        <v>#NAME?</v>
      </c>
      <c r="G46" s="6" t="s">
        <v>1847</v>
      </c>
      <c r="H46" s="6" t="s">
        <v>1848</v>
      </c>
      <c r="I46" s="6" t="s">
        <v>1849</v>
      </c>
      <c r="J46" s="6" t="s">
        <v>1850</v>
      </c>
      <c r="K46" s="6" t="s">
        <v>1851</v>
      </c>
      <c r="L46" s="6" t="s">
        <v>1852</v>
      </c>
      <c r="M46" s="6" t="s">
        <v>1853</v>
      </c>
      <c r="N46" s="6" t="s">
        <v>1854</v>
      </c>
      <c r="O46" s="6" t="s">
        <v>1855</v>
      </c>
      <c r="P46" s="6" t="s">
        <v>1856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8" t="s">
        <v>1857</v>
      </c>
      <c r="AC46" s="6"/>
      <c r="AD46" s="8"/>
      <c r="AE46" s="9" t="s">
        <v>1858</v>
      </c>
      <c r="AF46" s="9" t="s">
        <v>1859</v>
      </c>
      <c r="AG46" s="9" t="s">
        <v>1860</v>
      </c>
      <c r="AH46" s="9" t="s">
        <v>1861</v>
      </c>
      <c r="AI46" s="9" t="s">
        <v>1862</v>
      </c>
      <c r="AJ46" s="9" t="s">
        <v>1863</v>
      </c>
      <c r="AK46" s="9" t="s">
        <v>1864</v>
      </c>
      <c r="AL46" s="9" t="s">
        <v>1865</v>
      </c>
      <c r="AM46" s="9" t="s">
        <v>1866</v>
      </c>
      <c r="AN46" s="9" t="s">
        <v>1867</v>
      </c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>
        <f t="shared" si="2"/>
        <v>44</v>
      </c>
    </row>
    <row r="47" spans="1:63" x14ac:dyDescent="0.25">
      <c r="A47" s="5">
        <v>45</v>
      </c>
      <c r="B47" s="6" t="s">
        <v>1868</v>
      </c>
      <c r="C47" s="6" t="s">
        <v>1869</v>
      </c>
      <c r="D47" s="7" t="e">
        <f ca="1">_xll.BDH(Tickers!$C47,"px_last",[1]Futures!$A$9,[1]Futures!$A$9,"days=all")</f>
        <v>#NAME?</v>
      </c>
      <c r="E47" s="6" t="e">
        <f ca="1">_xll.BDP(C47,"QUOTE_UNITS")</f>
        <v>#NAME?</v>
      </c>
      <c r="F47" s="6" t="e">
        <f ca="1">_xll.BDP(C47,"FUT_CONT_SIZE")/100</f>
        <v>#NAME?</v>
      </c>
      <c r="G47" s="6" t="s">
        <v>1870</v>
      </c>
      <c r="H47" s="6" t="s">
        <v>1871</v>
      </c>
      <c r="I47" s="6" t="s">
        <v>1872</v>
      </c>
      <c r="J47" s="6" t="s">
        <v>1873</v>
      </c>
      <c r="K47" s="6" t="s">
        <v>1874</v>
      </c>
      <c r="L47" s="6" t="s">
        <v>1875</v>
      </c>
      <c r="M47" s="6" t="s">
        <v>1876</v>
      </c>
      <c r="N47" s="6" t="s">
        <v>1877</v>
      </c>
      <c r="O47" s="6" t="s">
        <v>1878</v>
      </c>
      <c r="P47" s="6" t="s">
        <v>1879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 t="s">
        <v>1880</v>
      </c>
      <c r="AC47" s="6"/>
      <c r="AD47" s="8"/>
      <c r="AE47" s="9" t="s">
        <v>1881</v>
      </c>
      <c r="AF47" s="9" t="s">
        <v>1882</v>
      </c>
      <c r="AG47" s="9" t="s">
        <v>1883</v>
      </c>
      <c r="AH47" s="9" t="s">
        <v>1884</v>
      </c>
      <c r="AI47" s="9" t="s">
        <v>1885</v>
      </c>
      <c r="AJ47" s="9" t="s">
        <v>1886</v>
      </c>
      <c r="AK47" s="9" t="s">
        <v>1887</v>
      </c>
      <c r="AL47" s="9" t="s">
        <v>1888</v>
      </c>
      <c r="AM47" s="9" t="s">
        <v>1889</v>
      </c>
      <c r="AN47" s="9" t="s">
        <v>1890</v>
      </c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>
        <f t="shared" si="2"/>
        <v>45</v>
      </c>
    </row>
    <row r="48" spans="1:63" x14ac:dyDescent="0.25">
      <c r="A48" s="5">
        <v>46</v>
      </c>
      <c r="B48" s="6" t="s">
        <v>1891</v>
      </c>
      <c r="C48" s="6" t="s">
        <v>1892</v>
      </c>
      <c r="D48" s="7" t="e">
        <f ca="1">_xll.BDH(Tickers!$C48,"px_last",[1]Futures!$A$9,[1]Futures!$A$9,"days=all")</f>
        <v>#NAME?</v>
      </c>
      <c r="E48" s="6" t="e">
        <f ca="1">_xll.BDP(C48,"QUOTE_UNITS")</f>
        <v>#NAME?</v>
      </c>
      <c r="F48" s="6" t="e">
        <f ca="1">_xll.BDP(C48,"FUT_CONT_SIZE")</f>
        <v>#NAME?</v>
      </c>
      <c r="G48" s="6" t="s">
        <v>1893</v>
      </c>
      <c r="H48" s="6" t="s">
        <v>1894</v>
      </c>
      <c r="I48" s="6" t="s">
        <v>1895</v>
      </c>
      <c r="J48" s="6" t="s">
        <v>1896</v>
      </c>
      <c r="K48" s="6" t="s">
        <v>1897</v>
      </c>
      <c r="L48" s="6" t="s">
        <v>1898</v>
      </c>
      <c r="M48" s="6" t="s">
        <v>1899</v>
      </c>
      <c r="N48" s="6" t="s">
        <v>1900</v>
      </c>
      <c r="O48" s="6" t="s">
        <v>1901</v>
      </c>
      <c r="P48" s="6" t="s">
        <v>1902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8" t="s">
        <v>1903</v>
      </c>
      <c r="AC48" s="6"/>
      <c r="AD48" s="8"/>
      <c r="AE48" s="9" t="s">
        <v>1904</v>
      </c>
      <c r="AF48" s="9" t="s">
        <v>1905</v>
      </c>
      <c r="AG48" s="9" t="s">
        <v>1906</v>
      </c>
      <c r="AH48" s="9" t="s">
        <v>1907</v>
      </c>
      <c r="AI48" s="9" t="s">
        <v>1908</v>
      </c>
      <c r="AJ48" s="9" t="s">
        <v>1909</v>
      </c>
      <c r="AK48" s="9" t="s">
        <v>1910</v>
      </c>
      <c r="AL48" s="9" t="s">
        <v>1911</v>
      </c>
      <c r="AM48" s="9" t="s">
        <v>1912</v>
      </c>
      <c r="AN48" s="9" t="s">
        <v>1913</v>
      </c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>
        <f t="shared" si="2"/>
        <v>46</v>
      </c>
    </row>
    <row r="49" spans="1:63" x14ac:dyDescent="0.25">
      <c r="A49" s="5">
        <v>47</v>
      </c>
      <c r="B49" s="6" t="s">
        <v>1914</v>
      </c>
      <c r="C49" s="6" t="s">
        <v>1915</v>
      </c>
      <c r="D49" s="7" t="e">
        <f ca="1">_xll.BDH(Tickers!$C49,"px_last",[1]Futures!$A$9,[1]Futures!$A$9,"days=all")</f>
        <v>#NAME?</v>
      </c>
      <c r="E49" s="7" t="e">
        <f ca="1">_xll.BDP(C49,"QUOTE_UNITS")</f>
        <v>#NAME?</v>
      </c>
      <c r="F49" s="6" t="e">
        <f ca="1">_xll.BDP(C49,"FUT_CONT_SIZE")</f>
        <v>#NAME?</v>
      </c>
      <c r="G49" s="6" t="s">
        <v>1916</v>
      </c>
      <c r="H49" s="6" t="s">
        <v>1917</v>
      </c>
      <c r="I49" s="6" t="s">
        <v>1918</v>
      </c>
      <c r="J49" s="6" t="s">
        <v>1919</v>
      </c>
      <c r="K49" s="6" t="s">
        <v>1920</v>
      </c>
      <c r="L49" s="6" t="s">
        <v>1921</v>
      </c>
      <c r="M49" s="6" t="s">
        <v>1922</v>
      </c>
      <c r="N49" s="6" t="s">
        <v>1923</v>
      </c>
      <c r="O49" s="6" t="s">
        <v>1924</v>
      </c>
      <c r="P49" s="6" t="s">
        <v>1925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8" t="s">
        <v>1926</v>
      </c>
      <c r="AC49" s="6"/>
      <c r="AD49" s="8"/>
      <c r="AE49" s="9" t="s">
        <v>1927</v>
      </c>
      <c r="AF49" s="9" t="s">
        <v>1928</v>
      </c>
      <c r="AG49" s="9" t="s">
        <v>1929</v>
      </c>
      <c r="AH49" s="9" t="s">
        <v>1930</v>
      </c>
      <c r="AI49" s="9" t="s">
        <v>1931</v>
      </c>
      <c r="AJ49" s="9" t="s">
        <v>1932</v>
      </c>
      <c r="AK49" s="9" t="s">
        <v>1933</v>
      </c>
      <c r="AL49" s="9" t="s">
        <v>1934</v>
      </c>
      <c r="AM49" s="9" t="s">
        <v>1935</v>
      </c>
      <c r="AN49" s="9" t="s">
        <v>1936</v>
      </c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>
        <f t="shared" si="2"/>
        <v>47</v>
      </c>
    </row>
    <row r="50" spans="1:63" x14ac:dyDescent="0.25">
      <c r="A50" s="5">
        <v>48</v>
      </c>
      <c r="B50" s="6" t="s">
        <v>1937</v>
      </c>
      <c r="C50" s="6" t="s">
        <v>1938</v>
      </c>
      <c r="D50" s="7" t="e">
        <f ca="1">_xll.BDH(Tickers!$C50,"px_last",[1]Futures!$A$9,[1]Futures!$A$9,"days=all")</f>
        <v>#NAME?</v>
      </c>
      <c r="E50" s="7" t="e">
        <f ca="1">_xll.BDP(C50,"QUOTE_UNITS")</f>
        <v>#NAME?</v>
      </c>
      <c r="F50" s="6" t="e">
        <f ca="1">_xll.BDP(C50,"FUT_CONT_SIZE")</f>
        <v>#NAME?</v>
      </c>
      <c r="G50" s="6" t="s">
        <v>1939</v>
      </c>
      <c r="H50" s="6" t="s">
        <v>1940</v>
      </c>
      <c r="I50" s="6" t="s">
        <v>1941</v>
      </c>
      <c r="J50" s="6" t="s">
        <v>1942</v>
      </c>
      <c r="K50" s="6" t="s">
        <v>1943</v>
      </c>
      <c r="L50" s="6" t="s">
        <v>1944</v>
      </c>
      <c r="M50" s="6" t="s">
        <v>1945</v>
      </c>
      <c r="N50" s="6" t="s">
        <v>1946</v>
      </c>
      <c r="O50" s="6" t="s">
        <v>1947</v>
      </c>
      <c r="P50" s="6" t="s">
        <v>1948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8" t="s">
        <v>1949</v>
      </c>
      <c r="AC50" s="6"/>
      <c r="AD50" s="8"/>
      <c r="AE50" s="9" t="s">
        <v>1950</v>
      </c>
      <c r="AF50" s="9" t="s">
        <v>1951</v>
      </c>
      <c r="AG50" s="9" t="s">
        <v>1952</v>
      </c>
      <c r="AH50" s="9" t="s">
        <v>1953</v>
      </c>
      <c r="AI50" s="9" t="s">
        <v>1954</v>
      </c>
      <c r="AJ50" s="9" t="s">
        <v>1955</v>
      </c>
      <c r="AK50" s="9" t="s">
        <v>1956</v>
      </c>
      <c r="AL50" s="9" t="s">
        <v>1957</v>
      </c>
      <c r="AM50" s="9" t="s">
        <v>1958</v>
      </c>
      <c r="AN50" s="9" t="s">
        <v>1959</v>
      </c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>
        <f t="shared" si="2"/>
        <v>48</v>
      </c>
    </row>
    <row r="51" spans="1:63" x14ac:dyDescent="0.25">
      <c r="A51" s="5">
        <v>49</v>
      </c>
      <c r="B51" s="6" t="s">
        <v>1960</v>
      </c>
      <c r="C51" s="6" t="s">
        <v>1961</v>
      </c>
      <c r="D51" s="7" t="e">
        <f ca="1">_xll.BDH(Tickers!$C51,"px_last",[1]Futures!$A$9,[1]Futures!$A$9,"days=all")</f>
        <v>#NAME?</v>
      </c>
      <c r="E51" s="7" t="e">
        <f ca="1">_xll.BDP(C51,"QUOTE_UNITS")</f>
        <v>#NAME?</v>
      </c>
      <c r="F51" s="6" t="e">
        <f ca="1">_xll.BDP(C51,"FUT_CONT_SIZE")</f>
        <v>#NAME?</v>
      </c>
      <c r="G51" s="6" t="s">
        <v>1962</v>
      </c>
      <c r="H51" s="6" t="s">
        <v>1963</v>
      </c>
      <c r="I51" s="6" t="s">
        <v>1964</v>
      </c>
      <c r="J51" s="6" t="s">
        <v>1965</v>
      </c>
      <c r="K51" s="6" t="s">
        <v>1966</v>
      </c>
      <c r="L51" s="6" t="s">
        <v>1967</v>
      </c>
      <c r="M51" s="6" t="s">
        <v>1968</v>
      </c>
      <c r="N51" s="6" t="s">
        <v>1969</v>
      </c>
      <c r="O51" s="6" t="s">
        <v>1970</v>
      </c>
      <c r="P51" s="6" t="s">
        <v>1971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8" t="s">
        <v>1972</v>
      </c>
      <c r="AC51" s="6"/>
      <c r="AD51" s="8"/>
      <c r="AE51" s="9" t="s">
        <v>1973</v>
      </c>
      <c r="AF51" s="9" t="s">
        <v>1974</v>
      </c>
      <c r="AG51" s="9" t="s">
        <v>1975</v>
      </c>
      <c r="AH51" s="9" t="s">
        <v>1976</v>
      </c>
      <c r="AI51" s="9" t="s">
        <v>1977</v>
      </c>
      <c r="AJ51" s="9" t="s">
        <v>1978</v>
      </c>
      <c r="AK51" s="9" t="s">
        <v>1979</v>
      </c>
      <c r="AL51" s="9" t="s">
        <v>1980</v>
      </c>
      <c r="AM51" s="9" t="s">
        <v>1981</v>
      </c>
      <c r="AN51" s="9" t="s">
        <v>1982</v>
      </c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>
        <f t="shared" si="2"/>
        <v>49</v>
      </c>
    </row>
    <row r="52" spans="1:63" x14ac:dyDescent="0.25">
      <c r="A52" s="5">
        <v>50</v>
      </c>
      <c r="B52" s="6" t="s">
        <v>1983</v>
      </c>
      <c r="C52" s="6" t="s">
        <v>1984</v>
      </c>
      <c r="D52" s="7" t="e">
        <f ca="1">_xll.BDH(Tickers!$C52,"px_last",[1]Futures!$A$9,[1]Futures!$A$9,"days=all")</f>
        <v>#NAME?</v>
      </c>
      <c r="E52" s="7" t="e">
        <f ca="1">_xll.BDP(C52,"QUOTE_UNITS")</f>
        <v>#NAME?</v>
      </c>
      <c r="F52" s="6" t="e">
        <f ca="1">_xll.BDP(C52,"FUT_CONT_SIZE")</f>
        <v>#NAME?</v>
      </c>
      <c r="G52" s="6" t="s">
        <v>1985</v>
      </c>
      <c r="H52" s="6" t="s">
        <v>1986</v>
      </c>
      <c r="I52" s="6" t="s">
        <v>1987</v>
      </c>
      <c r="J52" s="6" t="s">
        <v>1988</v>
      </c>
      <c r="K52" s="6" t="s">
        <v>1989</v>
      </c>
      <c r="L52" s="6" t="s">
        <v>1990</v>
      </c>
      <c r="M52" s="6" t="s">
        <v>1991</v>
      </c>
      <c r="N52" s="6" t="s">
        <v>1992</v>
      </c>
      <c r="O52" s="6" t="s">
        <v>1993</v>
      </c>
      <c r="P52" s="6" t="s">
        <v>1994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8" t="s">
        <v>1995</v>
      </c>
      <c r="AC52" s="6"/>
      <c r="AD52" s="8"/>
      <c r="AE52" s="9" t="s">
        <v>1996</v>
      </c>
      <c r="AF52" s="9" t="s">
        <v>1997</v>
      </c>
      <c r="AG52" s="9" t="s">
        <v>1998</v>
      </c>
      <c r="AH52" s="9" t="s">
        <v>1999</v>
      </c>
      <c r="AI52" s="9" t="s">
        <v>2000</v>
      </c>
      <c r="AJ52" s="9" t="s">
        <v>2001</v>
      </c>
      <c r="AK52" s="9" t="s">
        <v>2002</v>
      </c>
      <c r="AL52" s="9" t="s">
        <v>2003</v>
      </c>
      <c r="AM52" s="9" t="s">
        <v>2004</v>
      </c>
      <c r="AN52" s="9" t="s">
        <v>2005</v>
      </c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>
        <f t="shared" si="2"/>
        <v>50</v>
      </c>
    </row>
    <row r="53" spans="1:63" x14ac:dyDescent="0.25">
      <c r="A53" s="5">
        <v>51</v>
      </c>
      <c r="B53" s="6" t="s">
        <v>2006</v>
      </c>
      <c r="C53" s="6" t="s">
        <v>2007</v>
      </c>
      <c r="D53" s="7" t="e">
        <f ca="1">_xll.BDH(Tickers!$C53,"px_last",[1]Futures!$A$9,[1]Futures!$A$9,"days=all")</f>
        <v>#NAME?</v>
      </c>
      <c r="E53" s="7" t="e">
        <f ca="1">_xll.BDP(C53,"QUOTE_UNITS")</f>
        <v>#NAME?</v>
      </c>
      <c r="F53" s="6" t="e">
        <f ca="1">_xll.BDP(C53,"FUT_CONT_SIZE")/100</f>
        <v>#NAME?</v>
      </c>
      <c r="G53" s="6" t="s">
        <v>2008</v>
      </c>
      <c r="H53" s="6" t="s">
        <v>2009</v>
      </c>
      <c r="I53" s="6" t="s">
        <v>2010</v>
      </c>
      <c r="J53" s="6" t="s">
        <v>2011</v>
      </c>
      <c r="K53" s="6" t="s">
        <v>2012</v>
      </c>
      <c r="L53" s="6" t="s">
        <v>2013</v>
      </c>
      <c r="M53" s="6" t="s">
        <v>2014</v>
      </c>
      <c r="N53" s="6" t="s">
        <v>2015</v>
      </c>
      <c r="O53" s="6" t="s">
        <v>2016</v>
      </c>
      <c r="P53" s="6" t="s">
        <v>2017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 t="s">
        <v>2018</v>
      </c>
      <c r="AC53" s="6"/>
      <c r="AD53" s="6"/>
      <c r="AE53" s="9" t="s">
        <v>2019</v>
      </c>
      <c r="AF53" s="9" t="s">
        <v>2020</v>
      </c>
      <c r="AG53" s="9" t="s">
        <v>2021</v>
      </c>
      <c r="AH53" s="9" t="s">
        <v>2022</v>
      </c>
      <c r="AI53" s="9" t="s">
        <v>2023</v>
      </c>
      <c r="AJ53" s="9" t="s">
        <v>2024</v>
      </c>
      <c r="AK53" s="9" t="s">
        <v>2025</v>
      </c>
      <c r="AL53" s="9" t="s">
        <v>2026</v>
      </c>
      <c r="AM53" s="9" t="s">
        <v>2027</v>
      </c>
      <c r="AN53" s="9" t="s">
        <v>2028</v>
      </c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>
        <f t="shared" si="2"/>
        <v>51</v>
      </c>
    </row>
    <row r="54" spans="1:63" x14ac:dyDescent="0.25">
      <c r="A54" s="5">
        <v>52</v>
      </c>
      <c r="B54" s="6" t="s">
        <v>2029</v>
      </c>
      <c r="C54" s="6" t="s">
        <v>2030</v>
      </c>
      <c r="D54" s="7" t="e">
        <f ca="1">_xll.BDH(Tickers!$C54,"px_last",[1]Futures!$A$9,[1]Futures!$A$9,"days=all")</f>
        <v>#NAME?</v>
      </c>
      <c r="E54" s="7" t="e">
        <f ca="1">_xll.BDP(C54,"QUOTE_UNITS")</f>
        <v>#NAME?</v>
      </c>
      <c r="F54" s="6" t="e">
        <f ca="1">_xll.BDP(C54,"FUT_CONT_SIZE")/100</f>
        <v>#NAME?</v>
      </c>
      <c r="G54" s="6" t="s">
        <v>2031</v>
      </c>
      <c r="H54" s="6" t="s">
        <v>2032</v>
      </c>
      <c r="I54" s="6" t="s">
        <v>2033</v>
      </c>
      <c r="J54" s="6" t="s">
        <v>2034</v>
      </c>
      <c r="K54" s="6" t="s">
        <v>2035</v>
      </c>
      <c r="L54" s="6" t="s">
        <v>2036</v>
      </c>
      <c r="M54" s="6" t="s">
        <v>2037</v>
      </c>
      <c r="N54" s="6" t="s">
        <v>2038</v>
      </c>
      <c r="O54" s="6" t="s">
        <v>2039</v>
      </c>
      <c r="P54" s="6" t="s">
        <v>2040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8" t="s">
        <v>2041</v>
      </c>
      <c r="AC54" s="6"/>
      <c r="AD54" s="8"/>
      <c r="AE54" s="9" t="s">
        <v>2042</v>
      </c>
      <c r="AF54" s="9" t="s">
        <v>2043</v>
      </c>
      <c r="AG54" s="9" t="s">
        <v>2044</v>
      </c>
      <c r="AH54" s="9" t="s">
        <v>2045</v>
      </c>
      <c r="AI54" s="9" t="s">
        <v>2046</v>
      </c>
      <c r="AJ54" s="9" t="s">
        <v>2047</v>
      </c>
      <c r="AK54" s="9" t="s">
        <v>2048</v>
      </c>
      <c r="AL54" s="9" t="s">
        <v>2049</v>
      </c>
      <c r="AM54" s="9" t="s">
        <v>2050</v>
      </c>
      <c r="AN54" s="9" t="s">
        <v>2051</v>
      </c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>
        <f t="shared" si="2"/>
        <v>52</v>
      </c>
    </row>
    <row r="55" spans="1:63" x14ac:dyDescent="0.25">
      <c r="A55" s="5">
        <v>53</v>
      </c>
      <c r="B55" s="6" t="s">
        <v>2052</v>
      </c>
      <c r="C55" s="6" t="s">
        <v>2053</v>
      </c>
      <c r="D55" s="7" t="e">
        <f ca="1">_xll.BDH(Tickers!$C55,"px_last",[1]Futures!$A$9,[1]Futures!$A$9,"days=all")</f>
        <v>#NAME?</v>
      </c>
      <c r="E55" s="7" t="e">
        <f ca="1">_xll.BDP(C55,"QUOTE_UNITS")</f>
        <v>#NAME?</v>
      </c>
      <c r="F55" s="6" t="e">
        <f ca="1">_xll.BDP(C55,"FUT_CONT_SIZE")/100</f>
        <v>#NAME?</v>
      </c>
      <c r="G55" s="6" t="s">
        <v>2054</v>
      </c>
      <c r="H55" s="6" t="s">
        <v>2055</v>
      </c>
      <c r="I55" s="6" t="s">
        <v>2056</v>
      </c>
      <c r="J55" s="6" t="s">
        <v>2057</v>
      </c>
      <c r="K55" s="6" t="s">
        <v>2058</v>
      </c>
      <c r="L55" s="6" t="s">
        <v>2059</v>
      </c>
      <c r="M55" s="6" t="s">
        <v>2060</v>
      </c>
      <c r="N55" s="6" t="s">
        <v>2061</v>
      </c>
      <c r="O55" s="6" t="s">
        <v>2062</v>
      </c>
      <c r="P55" s="6" t="s">
        <v>2063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8" t="s">
        <v>2064</v>
      </c>
      <c r="AC55" s="6"/>
      <c r="AD55" s="8"/>
      <c r="AE55" s="9" t="s">
        <v>2065</v>
      </c>
      <c r="AF55" s="9" t="s">
        <v>2066</v>
      </c>
      <c r="AG55" s="9" t="s">
        <v>2067</v>
      </c>
      <c r="AH55" s="9" t="s">
        <v>2068</v>
      </c>
      <c r="AI55" s="9" t="s">
        <v>2069</v>
      </c>
      <c r="AJ55" s="9" t="s">
        <v>2070</v>
      </c>
      <c r="AK55" s="9" t="s">
        <v>2071</v>
      </c>
      <c r="AL55" s="9" t="s">
        <v>2072</v>
      </c>
      <c r="AM55" s="9" t="s">
        <v>2073</v>
      </c>
      <c r="AN55" s="9" t="s">
        <v>2074</v>
      </c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>
        <f t="shared" si="2"/>
        <v>53</v>
      </c>
    </row>
    <row r="56" spans="1:63" x14ac:dyDescent="0.25">
      <c r="A56" s="5">
        <v>54</v>
      </c>
      <c r="B56" s="6" t="s">
        <v>2075</v>
      </c>
      <c r="C56" s="6" t="s">
        <v>2076</v>
      </c>
      <c r="D56" s="7" t="e">
        <f ca="1">_xll.BDH(Tickers!$C56,"px_last",[1]Futures!$A$9,[1]Futures!$A$9,"days=all")</f>
        <v>#NAME?</v>
      </c>
      <c r="E56" s="7" t="e">
        <f ca="1">_xll.BDP(C56,"QUOTE_UNITS")</f>
        <v>#NAME?</v>
      </c>
      <c r="F56" s="6" t="e">
        <f ca="1">_xll.BDP(C56,"FUT_CONT_SIZE")/100</f>
        <v>#NAME?</v>
      </c>
      <c r="G56" s="6" t="s">
        <v>2077</v>
      </c>
      <c r="H56" s="6" t="s">
        <v>2078</v>
      </c>
      <c r="I56" s="6" t="s">
        <v>2079</v>
      </c>
      <c r="J56" s="6" t="s">
        <v>2080</v>
      </c>
      <c r="K56" s="6" t="s">
        <v>2081</v>
      </c>
      <c r="L56" s="6" t="s">
        <v>2082</v>
      </c>
      <c r="M56" s="6" t="s">
        <v>2083</v>
      </c>
      <c r="N56" s="6" t="s">
        <v>2084</v>
      </c>
      <c r="O56" s="6" t="s">
        <v>2085</v>
      </c>
      <c r="P56" s="6" t="s">
        <v>2086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8" t="s">
        <v>2087</v>
      </c>
      <c r="AC56" s="6"/>
      <c r="AD56" s="8"/>
      <c r="AE56" s="9" t="s">
        <v>2088</v>
      </c>
      <c r="AF56" s="9" t="s">
        <v>2089</v>
      </c>
      <c r="AG56" s="9" t="s">
        <v>2090</v>
      </c>
      <c r="AH56" s="9" t="s">
        <v>2091</v>
      </c>
      <c r="AI56" s="9" t="s">
        <v>2092</v>
      </c>
      <c r="AJ56" s="9" t="s">
        <v>2093</v>
      </c>
      <c r="AK56" s="9" t="s">
        <v>2094</v>
      </c>
      <c r="AL56" s="9" t="s">
        <v>2095</v>
      </c>
      <c r="AM56" s="9" t="s">
        <v>2096</v>
      </c>
      <c r="AN56" s="9" t="s">
        <v>2097</v>
      </c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>
        <f t="shared" si="2"/>
        <v>54</v>
      </c>
    </row>
    <row r="57" spans="1:63" x14ac:dyDescent="0.25">
      <c r="A57" s="5">
        <v>55</v>
      </c>
      <c r="B57" s="6" t="s">
        <v>2098</v>
      </c>
      <c r="C57" s="6" t="s">
        <v>2099</v>
      </c>
      <c r="D57" s="7" t="e">
        <f ca="1">_xll.BDH(Tickers!$C57,"px_last",[1]Futures!$A$9,[1]Futures!$A$9,"days=all")</f>
        <v>#NAME?</v>
      </c>
      <c r="E57" s="7" t="e">
        <f ca="1">_xll.BDP(C57,"QUOTE_UNITS")</f>
        <v>#NAME?</v>
      </c>
      <c r="F57" s="6" t="e">
        <f ca="1">_xll.BDP(C57,"FUT_CONT_SIZE")/100</f>
        <v>#NAME?</v>
      </c>
      <c r="G57" s="6" t="s">
        <v>2100</v>
      </c>
      <c r="H57" s="6" t="s">
        <v>2101</v>
      </c>
      <c r="I57" s="6" t="s">
        <v>2102</v>
      </c>
      <c r="J57" s="6" t="s">
        <v>2103</v>
      </c>
      <c r="K57" s="6" t="s">
        <v>2104</v>
      </c>
      <c r="L57" s="6" t="s">
        <v>2105</v>
      </c>
      <c r="M57" s="6" t="s">
        <v>2106</v>
      </c>
      <c r="N57" s="6" t="s">
        <v>2107</v>
      </c>
      <c r="O57" s="6" t="s">
        <v>2108</v>
      </c>
      <c r="P57" s="6" t="s">
        <v>2109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8" t="s">
        <v>2110</v>
      </c>
      <c r="AC57" s="6"/>
      <c r="AD57" s="8"/>
      <c r="AE57" s="9" t="s">
        <v>2111</v>
      </c>
      <c r="AF57" s="9" t="s">
        <v>2112</v>
      </c>
      <c r="AG57" s="9" t="s">
        <v>2113</v>
      </c>
      <c r="AH57" s="9" t="s">
        <v>2114</v>
      </c>
      <c r="AI57" s="9" t="s">
        <v>2115</v>
      </c>
      <c r="AJ57" s="9" t="s">
        <v>2116</v>
      </c>
      <c r="AK57" s="9" t="s">
        <v>2117</v>
      </c>
      <c r="AL57" s="9" t="s">
        <v>2118</v>
      </c>
      <c r="AM57" s="9" t="s">
        <v>2119</v>
      </c>
      <c r="AN57" s="9" t="s">
        <v>2120</v>
      </c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>
        <f t="shared" si="2"/>
        <v>55</v>
      </c>
    </row>
    <row r="58" spans="1:63" x14ac:dyDescent="0.25">
      <c r="A58" s="5">
        <v>56</v>
      </c>
      <c r="B58" s="6" t="s">
        <v>2121</v>
      </c>
      <c r="C58" s="6" t="s">
        <v>2122</v>
      </c>
      <c r="D58" s="7" t="e">
        <f ca="1">_xll.BDH(Tickers!$C58,"px_last",[1]Futures!$A$9,[1]Futures!$A$9,"days=all")</f>
        <v>#NAME?</v>
      </c>
      <c r="E58" s="7" t="e">
        <f ca="1">_xll.BDP(C58,"QUOTE_UNITS")</f>
        <v>#NAME?</v>
      </c>
      <c r="F58" s="6" t="e">
        <f ca="1">_xll.BDP(C58,"FUT_CONT_SIZE")/100</f>
        <v>#NAME?</v>
      </c>
      <c r="G58" s="6" t="s">
        <v>2123</v>
      </c>
      <c r="H58" s="6" t="s">
        <v>2124</v>
      </c>
      <c r="I58" s="6" t="s">
        <v>2125</v>
      </c>
      <c r="J58" s="6" t="s">
        <v>2126</v>
      </c>
      <c r="K58" s="6" t="s">
        <v>2127</v>
      </c>
      <c r="L58" s="6" t="s">
        <v>2128</v>
      </c>
      <c r="M58" s="6" t="s">
        <v>2129</v>
      </c>
      <c r="N58" s="6" t="s">
        <v>2130</v>
      </c>
      <c r="O58" s="6" t="s">
        <v>2131</v>
      </c>
      <c r="P58" s="6" t="s">
        <v>2132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 t="s">
        <v>2133</v>
      </c>
      <c r="AC58" s="6"/>
      <c r="AD58" s="8"/>
      <c r="AE58" s="9" t="s">
        <v>2134</v>
      </c>
      <c r="AF58" s="9" t="s">
        <v>2135</v>
      </c>
      <c r="AG58" s="9" t="s">
        <v>2136</v>
      </c>
      <c r="AH58" s="9" t="s">
        <v>2137</v>
      </c>
      <c r="AI58" s="9" t="s">
        <v>2138</v>
      </c>
      <c r="AJ58" s="9" t="s">
        <v>2139</v>
      </c>
      <c r="AK58" s="9" t="s">
        <v>2140</v>
      </c>
      <c r="AL58" s="9" t="s">
        <v>2141</v>
      </c>
      <c r="AM58" s="9" t="s">
        <v>2142</v>
      </c>
      <c r="AN58" s="9" t="s">
        <v>2143</v>
      </c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>
        <f t="shared" si="2"/>
        <v>56</v>
      </c>
    </row>
    <row r="59" spans="1:63" ht="14" x14ac:dyDescent="0.25">
      <c r="J59"/>
    </row>
    <row r="60" spans="1:63" ht="14" x14ac:dyDescent="0.25">
      <c r="J60"/>
    </row>
    <row r="61" spans="1:63" ht="14" x14ac:dyDescent="0.25">
      <c r="J61"/>
    </row>
    <row r="62" spans="1:63" ht="14" x14ac:dyDescent="0.25">
      <c r="J62"/>
    </row>
    <row r="63" spans="1:63" ht="14" x14ac:dyDescent="0.25">
      <c r="J63"/>
    </row>
    <row r="64" spans="1:63" ht="14" x14ac:dyDescent="0.25">
      <c r="J64"/>
    </row>
    <row r="65" spans="10:10" ht="14" x14ac:dyDescent="0.25">
      <c r="J65"/>
    </row>
    <row r="66" spans="10:10" ht="14" x14ac:dyDescent="0.25">
      <c r="J66"/>
    </row>
    <row r="67" spans="10:10" ht="14" x14ac:dyDescent="0.25">
      <c r="J67"/>
    </row>
    <row r="68" spans="10:10" ht="14" x14ac:dyDescent="0.25">
      <c r="J68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Tickers</vt:lpstr>
      <vt:lpstr>indexes</vt:lpstr>
      <vt:lpstr>LIST</vt:lpstr>
      <vt:lpstr>tag</vt:lpstr>
      <vt:lpstr>ticker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Federicka</dc:creator>
  <cp:lastModifiedBy>Federicka</cp:lastModifiedBy>
  <dcterms:created xsi:type="dcterms:W3CDTF">2025-10-14T18:46:21Z</dcterms:created>
  <dcterms:modified xsi:type="dcterms:W3CDTF">2025-10-14T20:06:31Z</dcterms:modified>
</cp:coreProperties>
</file>